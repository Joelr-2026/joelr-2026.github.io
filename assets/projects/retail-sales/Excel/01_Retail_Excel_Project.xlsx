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42c929b31fc6214/Desktop/project/Retail_Sales_Excel_Analysis/Excel/"/>
    </mc:Choice>
  </mc:AlternateContent>
  <xr:revisionPtr revIDLastSave="12" documentId="8_{FCA4043F-DE0F-465B-AE87-353E29E3B4B9}" xr6:coauthVersionLast="47" xr6:coauthVersionMax="47" xr10:uidLastSave="{BAB61C07-9F89-49F0-A8E2-AE4A09281516}"/>
  <bookViews>
    <workbookView xWindow="-120" yWindow="-120" windowWidth="29040" windowHeight="15840" activeTab="5" xr2:uid="{00000000-000D-0000-FFFF-FFFF00000000}"/>
  </bookViews>
  <sheets>
    <sheet name="README" sheetId="1" r:id="rId1"/>
    <sheet name="Retail_Raw" sheetId="2" r:id="rId2"/>
    <sheet name="Clean_Data" sheetId="3" r:id="rId3"/>
    <sheet name="Analysis" sheetId="4" r:id="rId4"/>
    <sheet name="Pivot_Tables" sheetId="5" r:id="rId5"/>
    <sheet name="Dashboard" sheetId="7" r:id="rId6"/>
  </sheets>
  <definedNames>
    <definedName name="_xlnm._FilterDatabase" localSheetId="2" hidden="1">Clean_Data!$A$1:$O$1201</definedName>
    <definedName name="Slicer_Category">#N/A</definedName>
    <definedName name="Slicer_Channel">#N/A</definedName>
    <definedName name="Slicer_City">#N/A</definedName>
    <definedName name="Slicer_Ord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7" i="4"/>
  <c r="B6" i="4"/>
  <c r="B5" i="4"/>
  <c r="B3" i="4"/>
  <c r="D7" i="7" s="1"/>
  <c r="B2" i="4"/>
  <c r="A7" i="7" s="1"/>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B4" i="4" l="1"/>
  <c r="G7" i="7" s="1"/>
  <c r="J7" i="7"/>
  <c r="B8" i="4"/>
  <c r="M7" i="7" s="1"/>
</calcChain>
</file>

<file path=xl/sharedStrings.xml><?xml version="1.0" encoding="utf-8"?>
<sst xmlns="http://schemas.openxmlformats.org/spreadsheetml/2006/main" count="19906" uniqueCount="1833">
  <si>
    <t>Field</t>
  </si>
  <si>
    <t>Details</t>
  </si>
  <si>
    <t>Project</t>
  </si>
  <si>
    <t>Retail Sales Analysis — Excel</t>
  </si>
  <si>
    <t>Dataset size</t>
  </si>
  <si>
    <t>Objective</t>
  </si>
  <si>
    <t>Clean retail sales data and build KPI/Pivot analysis.</t>
  </si>
  <si>
    <t>Intentional data issues</t>
  </si>
  <si>
    <t>5 duplicate rows; some blank/lowercase City values; trailing spaces in Category.</t>
  </si>
  <si>
    <t>Suggested analysis</t>
  </si>
  <si>
    <t>Revenue, profit, margin, category/city trends, returns, monthly trend, top products.</t>
  </si>
  <si>
    <t>Portfolio disclosure</t>
  </si>
  <si>
    <t>This project uses synthetic data created for learning and portfolio purposes.</t>
  </si>
  <si>
    <t>Tip</t>
  </si>
  <si>
    <t>Keep the RAW data unchanged. Clean/analyze in a separate sheet, SQL table, Power Query, or Python notebook.</t>
  </si>
  <si>
    <t>Order_ID</t>
  </si>
  <si>
    <t>Order_Date</t>
  </si>
  <si>
    <t>Customer_ID</t>
  </si>
  <si>
    <t>City</t>
  </si>
  <si>
    <t>Category</t>
  </si>
  <si>
    <t>Product</t>
  </si>
  <si>
    <t>Quantity</t>
  </si>
  <si>
    <t>Unit_Price</t>
  </si>
  <si>
    <t>Discount_Pct</t>
  </si>
  <si>
    <t>Sales</t>
  </si>
  <si>
    <t>Cost</t>
  </si>
  <si>
    <t>Profit</t>
  </si>
  <si>
    <t>Channel</t>
  </si>
  <si>
    <t>Payment_Mode</t>
  </si>
  <si>
    <t>Returned</t>
  </si>
  <si>
    <t>R00001</t>
  </si>
  <si>
    <t>C0474</t>
  </si>
  <si>
    <t>Jaipur</t>
  </si>
  <si>
    <t>Fashion</t>
  </si>
  <si>
    <t>T-Shirt</t>
  </si>
  <si>
    <t>Online</t>
  </si>
  <si>
    <t>Cash</t>
  </si>
  <si>
    <t>Yes</t>
  </si>
  <si>
    <t>R00002</t>
  </si>
  <si>
    <t>C0214</t>
  </si>
  <si>
    <t>Kolkata</t>
  </si>
  <si>
    <t>Electronics</t>
  </si>
  <si>
    <t>Headphones</t>
  </si>
  <si>
    <t>Card</t>
  </si>
  <si>
    <t>No</t>
  </si>
  <si>
    <t>R00003</t>
  </si>
  <si>
    <t>C0519</t>
  </si>
  <si>
    <t>Delhi</t>
  </si>
  <si>
    <t>Home</t>
  </si>
  <si>
    <t>Bottle</t>
  </si>
  <si>
    <t>R00004</t>
  </si>
  <si>
    <t>C0332</t>
  </si>
  <si>
    <t>Hyderabad</t>
  </si>
  <si>
    <t>Power Bank</t>
  </si>
  <si>
    <t>R00005</t>
  </si>
  <si>
    <t>C0017</t>
  </si>
  <si>
    <t>Noida</t>
  </si>
  <si>
    <t>Store</t>
  </si>
  <si>
    <t>R00006</t>
  </si>
  <si>
    <t>C0164</t>
  </si>
  <si>
    <t>Pune</t>
  </si>
  <si>
    <t>Beauty</t>
  </si>
  <si>
    <t>Face Wash</t>
  </si>
  <si>
    <t>UPI</t>
  </si>
  <si>
    <t>R00007</t>
  </si>
  <si>
    <t>C0021</t>
  </si>
  <si>
    <t>Mumbai</t>
  </si>
  <si>
    <t>Shoes</t>
  </si>
  <si>
    <t>R00008</t>
  </si>
  <si>
    <t>C0493</t>
  </si>
  <si>
    <t>Lamp</t>
  </si>
  <si>
    <t>Wallet</t>
  </si>
  <si>
    <t>R00009</t>
  </si>
  <si>
    <t>C0247</t>
  </si>
  <si>
    <t>Bengaluru</t>
  </si>
  <si>
    <t>R00010</t>
  </si>
  <si>
    <t>C0491</t>
  </si>
  <si>
    <t>R00011</t>
  </si>
  <si>
    <t>C0392</t>
  </si>
  <si>
    <t>R00012</t>
  </si>
  <si>
    <t>C0232</t>
  </si>
  <si>
    <t>Sunscreen</t>
  </si>
  <si>
    <t>R00013</t>
  </si>
  <si>
    <t>C0248</t>
  </si>
  <si>
    <t>Serum</t>
  </si>
  <si>
    <t>R00014</t>
  </si>
  <si>
    <t>C0051</t>
  </si>
  <si>
    <t>R00015</t>
  </si>
  <si>
    <t>C0162</t>
  </si>
  <si>
    <t>Perfume</t>
  </si>
  <si>
    <t>R00016</t>
  </si>
  <si>
    <t>C0108</t>
  </si>
  <si>
    <t>Jacket</t>
  </si>
  <si>
    <t>R00017</t>
  </si>
  <si>
    <t>C0072</t>
  </si>
  <si>
    <t>Chennai</t>
  </si>
  <si>
    <t>Backpack</t>
  </si>
  <si>
    <t>R00018</t>
  </si>
  <si>
    <t>C0313</t>
  </si>
  <si>
    <t>Mixer</t>
  </si>
  <si>
    <t>R00019</t>
  </si>
  <si>
    <t>C0444</t>
  </si>
  <si>
    <t>Bedsheet</t>
  </si>
  <si>
    <t>R00020</t>
  </si>
  <si>
    <t>C0007</t>
  </si>
  <si>
    <t>R00021</t>
  </si>
  <si>
    <t>C0425</t>
  </si>
  <si>
    <t>R00022</t>
  </si>
  <si>
    <t>C0216</t>
  </si>
  <si>
    <t>R00023</t>
  </si>
  <si>
    <t>C0308</t>
  </si>
  <si>
    <t>R00024</t>
  </si>
  <si>
    <t>C0322</t>
  </si>
  <si>
    <t>Cookware</t>
  </si>
  <si>
    <t>R00025</t>
  </si>
  <si>
    <t>C0070</t>
  </si>
  <si>
    <t>R00026</t>
  </si>
  <si>
    <t>C0317</t>
  </si>
  <si>
    <t>R00027</t>
  </si>
  <si>
    <t>Keyboard</t>
  </si>
  <si>
    <t>R00028</t>
  </si>
  <si>
    <t>C0514</t>
  </si>
  <si>
    <t>R00029</t>
  </si>
  <si>
    <t>C0031</t>
  </si>
  <si>
    <t>Mouse</t>
  </si>
  <si>
    <t>R00030</t>
  </si>
  <si>
    <t>R00031</t>
  </si>
  <si>
    <t>C0245</t>
  </si>
  <si>
    <t>R00032</t>
  </si>
  <si>
    <t>Shampoo</t>
  </si>
  <si>
    <t>R00033</t>
  </si>
  <si>
    <t>C0468</t>
  </si>
  <si>
    <t>R00034</t>
  </si>
  <si>
    <t>C0455</t>
  </si>
  <si>
    <t>Gurugram</t>
  </si>
  <si>
    <t>R00035</t>
  </si>
  <si>
    <t>C0386</t>
  </si>
  <si>
    <t>R00036</t>
  </si>
  <si>
    <t>C0220</t>
  </si>
  <si>
    <t>R00037</t>
  </si>
  <si>
    <t>C0389</t>
  </si>
  <si>
    <t>R00038</t>
  </si>
  <si>
    <t>C0411</t>
  </si>
  <si>
    <t>R00039</t>
  </si>
  <si>
    <t>C0316</t>
  </si>
  <si>
    <t>R00040</t>
  </si>
  <si>
    <t>C0369</t>
  </si>
  <si>
    <t>R00041</t>
  </si>
  <si>
    <t>C0483</t>
  </si>
  <si>
    <t>R00042</t>
  </si>
  <si>
    <t>C0288</t>
  </si>
  <si>
    <t>R00043</t>
  </si>
  <si>
    <t>C0303</t>
  </si>
  <si>
    <t>Smartwatch</t>
  </si>
  <si>
    <t>R00044</t>
  </si>
  <si>
    <t>C0412</t>
  </si>
  <si>
    <t>R00045</t>
  </si>
  <si>
    <t>C0282</t>
  </si>
  <si>
    <t>R00046</t>
  </si>
  <si>
    <t>C0353</t>
  </si>
  <si>
    <t>R00047</t>
  </si>
  <si>
    <t>C0136</t>
  </si>
  <si>
    <t>R00048</t>
  </si>
  <si>
    <t>R00049</t>
  </si>
  <si>
    <t>C0061</t>
  </si>
  <si>
    <t>R00050</t>
  </si>
  <si>
    <t>C0325</t>
  </si>
  <si>
    <t>R00051</t>
  </si>
  <si>
    <t>C0141</t>
  </si>
  <si>
    <t>R00052</t>
  </si>
  <si>
    <t>C0182</t>
  </si>
  <si>
    <t>R00053</t>
  </si>
  <si>
    <t>R00054</t>
  </si>
  <si>
    <t>C0065</t>
  </si>
  <si>
    <t>R00055</t>
  </si>
  <si>
    <t>C0326</t>
  </si>
  <si>
    <t>Jeans</t>
  </si>
  <si>
    <t>R00056</t>
  </si>
  <si>
    <t>R00057</t>
  </si>
  <si>
    <t>C0384</t>
  </si>
  <si>
    <t>R00058</t>
  </si>
  <si>
    <t>C0121</t>
  </si>
  <si>
    <t>mumbai</t>
  </si>
  <si>
    <t>R00059</t>
  </si>
  <si>
    <t>C0171</t>
  </si>
  <si>
    <t>R00060</t>
  </si>
  <si>
    <t>C0305</t>
  </si>
  <si>
    <t>R00061</t>
  </si>
  <si>
    <t>C0106</t>
  </si>
  <si>
    <t>R00062</t>
  </si>
  <si>
    <t>R00063</t>
  </si>
  <si>
    <t>C0348</t>
  </si>
  <si>
    <t>R00064</t>
  </si>
  <si>
    <t>C0458</t>
  </si>
  <si>
    <t>R00065</t>
  </si>
  <si>
    <t>C0360</t>
  </si>
  <si>
    <t>R00066</t>
  </si>
  <si>
    <t>C0515</t>
  </si>
  <si>
    <t>R00067</t>
  </si>
  <si>
    <t>C0226</t>
  </si>
  <si>
    <t>R00068</t>
  </si>
  <si>
    <t>C0459</t>
  </si>
  <si>
    <t>R00069</t>
  </si>
  <si>
    <t>C0203</t>
  </si>
  <si>
    <t>R00070</t>
  </si>
  <si>
    <t>C0261</t>
  </si>
  <si>
    <t>R00071</t>
  </si>
  <si>
    <t>C0137</t>
  </si>
  <si>
    <t>R00072</t>
  </si>
  <si>
    <t>C0393</t>
  </si>
  <si>
    <t>R00073</t>
  </si>
  <si>
    <t>C0277</t>
  </si>
  <si>
    <t>R00074</t>
  </si>
  <si>
    <t>C0046</t>
  </si>
  <si>
    <t>R00075</t>
  </si>
  <si>
    <t>C0097</t>
  </si>
  <si>
    <t>R00076</t>
  </si>
  <si>
    <t>C0122</t>
  </si>
  <si>
    <t>pune</t>
  </si>
  <si>
    <t>R00077</t>
  </si>
  <si>
    <t>C0407</t>
  </si>
  <si>
    <t>R00078</t>
  </si>
  <si>
    <t>C0476</t>
  </si>
  <si>
    <t>R00079</t>
  </si>
  <si>
    <t>C0210</t>
  </si>
  <si>
    <t>R00080</t>
  </si>
  <si>
    <t>C0101</t>
  </si>
  <si>
    <t>R00081</t>
  </si>
  <si>
    <t>C0269</t>
  </si>
  <si>
    <t>R00082</t>
  </si>
  <si>
    <t>C0118</t>
  </si>
  <si>
    <t>R00083</t>
  </si>
  <si>
    <t>C0251</t>
  </si>
  <si>
    <t>R00084</t>
  </si>
  <si>
    <t>C0211</t>
  </si>
  <si>
    <t>R00085</t>
  </si>
  <si>
    <t>C0324</t>
  </si>
  <si>
    <t>R00086</t>
  </si>
  <si>
    <t>R00087</t>
  </si>
  <si>
    <t>C0466</t>
  </si>
  <si>
    <t>R00088</t>
  </si>
  <si>
    <t>C0447</t>
  </si>
  <si>
    <t>R00089</t>
  </si>
  <si>
    <t>C0357</t>
  </si>
  <si>
    <t>R00090</t>
  </si>
  <si>
    <t>C0082</t>
  </si>
  <si>
    <t>R00091</t>
  </si>
  <si>
    <t>R00092</t>
  </si>
  <si>
    <t>C0206</t>
  </si>
  <si>
    <t>R00093</t>
  </si>
  <si>
    <t>C0452</t>
  </si>
  <si>
    <t>R00094</t>
  </si>
  <si>
    <t>C0364</t>
  </si>
  <si>
    <t>R00095</t>
  </si>
  <si>
    <t>C0228</t>
  </si>
  <si>
    <t>R00096</t>
  </si>
  <si>
    <t>C0183</t>
  </si>
  <si>
    <t>R00097</t>
  </si>
  <si>
    <t>R00098</t>
  </si>
  <si>
    <t>C0256</t>
  </si>
  <si>
    <t>R00099</t>
  </si>
  <si>
    <t>C0149</t>
  </si>
  <si>
    <t>R00100</t>
  </si>
  <si>
    <t>R00101</t>
  </si>
  <si>
    <t>C0168</t>
  </si>
  <si>
    <t>kolkata</t>
  </si>
  <si>
    <t>R00102</t>
  </si>
  <si>
    <t>C0456</t>
  </si>
  <si>
    <t>R00103</t>
  </si>
  <si>
    <t>C0397</t>
  </si>
  <si>
    <t>R00104</t>
  </si>
  <si>
    <t>C0148</t>
  </si>
  <si>
    <t>R00105</t>
  </si>
  <si>
    <t>C0471</t>
  </si>
  <si>
    <t>R00106</t>
  </si>
  <si>
    <t>R00107</t>
  </si>
  <si>
    <t>C0340</t>
  </si>
  <si>
    <t>R00108</t>
  </si>
  <si>
    <t>R00109</t>
  </si>
  <si>
    <t>C0158</t>
  </si>
  <si>
    <t>R00110</t>
  </si>
  <si>
    <t>C0406</t>
  </si>
  <si>
    <t>R00111</t>
  </si>
  <si>
    <t>R00112</t>
  </si>
  <si>
    <t>C0312</t>
  </si>
  <si>
    <t>R00113</t>
  </si>
  <si>
    <t>C0402</t>
  </si>
  <si>
    <t>R00114</t>
  </si>
  <si>
    <t>C0091</t>
  </si>
  <si>
    <t>R00115</t>
  </si>
  <si>
    <t>C0023</t>
  </si>
  <si>
    <t>R00116</t>
  </si>
  <si>
    <t>C0063</t>
  </si>
  <si>
    <t>R00117</t>
  </si>
  <si>
    <t>C0255</t>
  </si>
  <si>
    <t>R00118</t>
  </si>
  <si>
    <t>C0497</t>
  </si>
  <si>
    <t>R00119</t>
  </si>
  <si>
    <t>R00120</t>
  </si>
  <si>
    <t>R00121</t>
  </si>
  <si>
    <t>C0518</t>
  </si>
  <si>
    <t>R00122</t>
  </si>
  <si>
    <t>C0094</t>
  </si>
  <si>
    <t>R00123</t>
  </si>
  <si>
    <t>C0195</t>
  </si>
  <si>
    <t>R00124</t>
  </si>
  <si>
    <t>C0090</t>
  </si>
  <si>
    <t>R00125</t>
  </si>
  <si>
    <t>C0227</t>
  </si>
  <si>
    <t>R00126</t>
  </si>
  <si>
    <t>C0175</t>
  </si>
  <si>
    <t>R00127</t>
  </si>
  <si>
    <t>C0330</t>
  </si>
  <si>
    <t>R00128</t>
  </si>
  <si>
    <t>C0482</t>
  </si>
  <si>
    <t>R00129</t>
  </si>
  <si>
    <t>C0075</t>
  </si>
  <si>
    <t>R00130</t>
  </si>
  <si>
    <t>C0404</t>
  </si>
  <si>
    <t>R00131</t>
  </si>
  <si>
    <t>C0294</t>
  </si>
  <si>
    <t>R00132</t>
  </si>
  <si>
    <t>C0233</t>
  </si>
  <si>
    <t>R00133</t>
  </si>
  <si>
    <t>R00134</t>
  </si>
  <si>
    <t>R00135</t>
  </si>
  <si>
    <t>C0124</t>
  </si>
  <si>
    <t>R00136</t>
  </si>
  <si>
    <t>C0507</t>
  </si>
  <si>
    <t>R00137</t>
  </si>
  <si>
    <t>C0496</t>
  </si>
  <si>
    <t>R00138</t>
  </si>
  <si>
    <t>C0213</t>
  </si>
  <si>
    <t>R00139</t>
  </si>
  <si>
    <t>R00140</t>
  </si>
  <si>
    <t>C0140</t>
  </si>
  <si>
    <t>R00141</t>
  </si>
  <si>
    <t>C0156</t>
  </si>
  <si>
    <t>R00142</t>
  </si>
  <si>
    <t>C0449</t>
  </si>
  <si>
    <t>R00143</t>
  </si>
  <si>
    <t>C0172</t>
  </si>
  <si>
    <t>R00144</t>
  </si>
  <si>
    <t>R00145</t>
  </si>
  <si>
    <t>C0166</t>
  </si>
  <si>
    <t>R00146</t>
  </si>
  <si>
    <t>C0439</t>
  </si>
  <si>
    <t>R00147</t>
  </si>
  <si>
    <t>C0339</t>
  </si>
  <si>
    <t>R00148</t>
  </si>
  <si>
    <t>C0135</t>
  </si>
  <si>
    <t>R00149</t>
  </si>
  <si>
    <t>C0390</t>
  </si>
  <si>
    <t>R00150</t>
  </si>
  <si>
    <t>C0413</t>
  </si>
  <si>
    <t>R00151</t>
  </si>
  <si>
    <t>R00152</t>
  </si>
  <si>
    <t>R00153</t>
  </si>
  <si>
    <t>C0012</t>
  </si>
  <si>
    <t>R00154</t>
  </si>
  <si>
    <t>C0198</t>
  </si>
  <si>
    <t>R00155</t>
  </si>
  <si>
    <t>R00156</t>
  </si>
  <si>
    <t>C0257</t>
  </si>
  <si>
    <t>R00157</t>
  </si>
  <si>
    <t>R00158</t>
  </si>
  <si>
    <t>C0443</t>
  </si>
  <si>
    <t>R00159</t>
  </si>
  <si>
    <t>R00160</t>
  </si>
  <si>
    <t>C0420</t>
  </si>
  <si>
    <t>R00161</t>
  </si>
  <si>
    <t>R00162</t>
  </si>
  <si>
    <t>C0231</t>
  </si>
  <si>
    <t>R00163</t>
  </si>
  <si>
    <t>C0405</t>
  </si>
  <si>
    <t>R00164</t>
  </si>
  <si>
    <t>C0115</t>
  </si>
  <si>
    <t>R00165</t>
  </si>
  <si>
    <t>C0258</t>
  </si>
  <si>
    <t>R00166</t>
  </si>
  <si>
    <t>R00167</t>
  </si>
  <si>
    <t>R00168</t>
  </si>
  <si>
    <t>C0361</t>
  </si>
  <si>
    <t>R00169</t>
  </si>
  <si>
    <t>R00170</t>
  </si>
  <si>
    <t>C0379</t>
  </si>
  <si>
    <t>R00171</t>
  </si>
  <si>
    <t>C0033</t>
  </si>
  <si>
    <t>R00172</t>
  </si>
  <si>
    <t>C0299</t>
  </si>
  <si>
    <t>R00173</t>
  </si>
  <si>
    <t>R00174</t>
  </si>
  <si>
    <t>R00175</t>
  </si>
  <si>
    <t>C0274</t>
  </si>
  <si>
    <t>R00176</t>
  </si>
  <si>
    <t>R00177</t>
  </si>
  <si>
    <t>R00178</t>
  </si>
  <si>
    <t>C0328</t>
  </si>
  <si>
    <t>R00179</t>
  </si>
  <si>
    <t>C0396</t>
  </si>
  <si>
    <t>R00180</t>
  </si>
  <si>
    <t>C0295</t>
  </si>
  <si>
    <t>R00181</t>
  </si>
  <si>
    <t>R00182</t>
  </si>
  <si>
    <t>R00183</t>
  </si>
  <si>
    <t>C0041</t>
  </si>
  <si>
    <t>R00184</t>
  </si>
  <si>
    <t>R00185</t>
  </si>
  <si>
    <t>C0250</t>
  </si>
  <si>
    <t>R00186</t>
  </si>
  <si>
    <t>R00187</t>
  </si>
  <si>
    <t>R00188</t>
  </si>
  <si>
    <t>C0078</t>
  </si>
  <si>
    <t>R00189</t>
  </si>
  <si>
    <t>C0315</t>
  </si>
  <si>
    <t>R00190</t>
  </si>
  <si>
    <t>chennai</t>
  </si>
  <si>
    <t>R00191</t>
  </si>
  <si>
    <t>C0034</t>
  </si>
  <si>
    <t>R00192</t>
  </si>
  <si>
    <t>C0239</t>
  </si>
  <si>
    <t>R00193</t>
  </si>
  <si>
    <t>C0427</t>
  </si>
  <si>
    <t>R00194</t>
  </si>
  <si>
    <t>C0297</t>
  </si>
  <si>
    <t>R00195</t>
  </si>
  <si>
    <t>R00196</t>
  </si>
  <si>
    <t>C0374</t>
  </si>
  <si>
    <t>R00197</t>
  </si>
  <si>
    <t>C0002</t>
  </si>
  <si>
    <t>R00198</t>
  </si>
  <si>
    <t>C0207</t>
  </si>
  <si>
    <t>R00199</t>
  </si>
  <si>
    <t>C0128</t>
  </si>
  <si>
    <t>R00200</t>
  </si>
  <si>
    <t>C0038</t>
  </si>
  <si>
    <t>R00201</t>
  </si>
  <si>
    <t>C0292</t>
  </si>
  <si>
    <t>R00202</t>
  </si>
  <si>
    <t>C0477</t>
  </si>
  <si>
    <t>R00203</t>
  </si>
  <si>
    <t>C0080</t>
  </si>
  <si>
    <t>R00204</t>
  </si>
  <si>
    <t>C0509</t>
  </si>
  <si>
    <t>R00205</t>
  </si>
  <si>
    <t>C0011</t>
  </si>
  <si>
    <t>R00206</t>
  </si>
  <si>
    <t>C0336</t>
  </si>
  <si>
    <t>R00207</t>
  </si>
  <si>
    <t>C0177</t>
  </si>
  <si>
    <t>R00208</t>
  </si>
  <si>
    <t>R00209</t>
  </si>
  <si>
    <t>C0143</t>
  </si>
  <si>
    <t>R00210</t>
  </si>
  <si>
    <t>C0197</t>
  </si>
  <si>
    <t>R00211</t>
  </si>
  <si>
    <t>C0205</t>
  </si>
  <si>
    <t>R00212</t>
  </si>
  <si>
    <t>R00213</t>
  </si>
  <si>
    <t>C0469</t>
  </si>
  <si>
    <t>R00214</t>
  </si>
  <si>
    <t>C0510</t>
  </si>
  <si>
    <t>R00215</t>
  </si>
  <si>
    <t>R00216</t>
  </si>
  <si>
    <t>C0272</t>
  </si>
  <si>
    <t>R00217</t>
  </si>
  <si>
    <t>C0417</t>
  </si>
  <si>
    <t>R00218</t>
  </si>
  <si>
    <t>C0302</t>
  </si>
  <si>
    <t>R00219</t>
  </si>
  <si>
    <t>C0445</t>
  </si>
  <si>
    <t>R00220</t>
  </si>
  <si>
    <t>C0382</t>
  </si>
  <si>
    <t>R00221</t>
  </si>
  <si>
    <t>C0430</t>
  </si>
  <si>
    <t>R00222</t>
  </si>
  <si>
    <t>R00223</t>
  </si>
  <si>
    <t>C0178</t>
  </si>
  <si>
    <t>R00224</t>
  </si>
  <si>
    <t>R00225</t>
  </si>
  <si>
    <t>C0252</t>
  </si>
  <si>
    <t>R00226</t>
  </si>
  <si>
    <t>C0113</t>
  </si>
  <si>
    <t>R00227</t>
  </si>
  <si>
    <t>C0237</t>
  </si>
  <si>
    <t>R00228</t>
  </si>
  <si>
    <t>C0073</t>
  </si>
  <si>
    <t>R00229</t>
  </si>
  <si>
    <t>R00230</t>
  </si>
  <si>
    <t>C0092</t>
  </si>
  <si>
    <t>R00231</t>
  </si>
  <si>
    <t>R00232</t>
  </si>
  <si>
    <t>R00233</t>
  </si>
  <si>
    <t>C0259</t>
  </si>
  <si>
    <t>R00234</t>
  </si>
  <si>
    <t>R00235</t>
  </si>
  <si>
    <t>R00236</t>
  </si>
  <si>
    <t>C0202</t>
  </si>
  <si>
    <t>R00237</t>
  </si>
  <si>
    <t>C0054</t>
  </si>
  <si>
    <t>R00238</t>
  </si>
  <si>
    <t>R00239</t>
  </si>
  <si>
    <t>C0059</t>
  </si>
  <si>
    <t>R00240</t>
  </si>
  <si>
    <t>C0117</t>
  </si>
  <si>
    <t>R00241</t>
  </si>
  <si>
    <t>R00242</t>
  </si>
  <si>
    <t>C0512</t>
  </si>
  <si>
    <t>R00243</t>
  </si>
  <si>
    <t>C0048</t>
  </si>
  <si>
    <t>R00244</t>
  </si>
  <si>
    <t>C0133</t>
  </si>
  <si>
    <t>R00245</t>
  </si>
  <si>
    <t>C0130</t>
  </si>
  <si>
    <t>R00246</t>
  </si>
  <si>
    <t>C0254</t>
  </si>
  <si>
    <t>R00247</t>
  </si>
  <si>
    <t>C0186</t>
  </si>
  <si>
    <t>R00248</t>
  </si>
  <si>
    <t>C0307</t>
  </si>
  <si>
    <t>R00249</t>
  </si>
  <si>
    <t>C0311</t>
  </si>
  <si>
    <t>R00250</t>
  </si>
  <si>
    <t>C0154</t>
  </si>
  <si>
    <t>R00251</t>
  </si>
  <si>
    <t>R00252</t>
  </si>
  <si>
    <t>R00253</t>
  </si>
  <si>
    <t>C0410</t>
  </si>
  <si>
    <t>R00254</t>
  </si>
  <si>
    <t>C0286</t>
  </si>
  <si>
    <t>R00255</t>
  </si>
  <si>
    <t>C0067</t>
  </si>
  <si>
    <t>R00256</t>
  </si>
  <si>
    <t>C0480</t>
  </si>
  <si>
    <t>R00257</t>
  </si>
  <si>
    <t>R00258</t>
  </si>
  <si>
    <t>C0013</t>
  </si>
  <si>
    <t>R00259</t>
  </si>
  <si>
    <t>C0351</t>
  </si>
  <si>
    <t>R00260</t>
  </si>
  <si>
    <t>C0180</t>
  </si>
  <si>
    <t>R00261</t>
  </si>
  <si>
    <t>C0365</t>
  </si>
  <si>
    <t>R00262</t>
  </si>
  <si>
    <t>R00263</t>
  </si>
  <si>
    <t>C0192</t>
  </si>
  <si>
    <t>R00264</t>
  </si>
  <si>
    <t>C0504</t>
  </si>
  <si>
    <t>R00265</t>
  </si>
  <si>
    <t>R00266</t>
  </si>
  <si>
    <t>C0246</t>
  </si>
  <si>
    <t>R00267</t>
  </si>
  <si>
    <t>R00268</t>
  </si>
  <si>
    <t>C0408</t>
  </si>
  <si>
    <t>R00269</t>
  </si>
  <si>
    <t>C0502</t>
  </si>
  <si>
    <t>R00270</t>
  </si>
  <si>
    <t>C0249</t>
  </si>
  <si>
    <t>R00271</t>
  </si>
  <si>
    <t>R00272</t>
  </si>
  <si>
    <t>R00273</t>
  </si>
  <si>
    <t>C0014</t>
  </si>
  <si>
    <t>R00274</t>
  </si>
  <si>
    <t>R00275</t>
  </si>
  <si>
    <t>C0036</t>
  </si>
  <si>
    <t>R00276</t>
  </si>
  <si>
    <t>R00277</t>
  </si>
  <si>
    <t>R00278</t>
  </si>
  <si>
    <t>R00279</t>
  </si>
  <si>
    <t>C0450</t>
  </si>
  <si>
    <t>R00280</t>
  </si>
  <si>
    <t>R00281</t>
  </si>
  <si>
    <t>R00282</t>
  </si>
  <si>
    <t>C0399</t>
  </si>
  <si>
    <t>R00283</t>
  </si>
  <si>
    <t>C0260</t>
  </si>
  <si>
    <t>R00284</t>
  </si>
  <si>
    <t>C0314</t>
  </si>
  <si>
    <t>R00285</t>
  </si>
  <si>
    <t>C0441</t>
  </si>
  <si>
    <t>R00286</t>
  </si>
  <si>
    <t>R00287</t>
  </si>
  <si>
    <t>C0159</t>
  </si>
  <si>
    <t>R00288</t>
  </si>
  <si>
    <t>R00289</t>
  </si>
  <si>
    <t>R00290</t>
  </si>
  <si>
    <t>R00291</t>
  </si>
  <si>
    <t>R00292</t>
  </si>
  <si>
    <t>C0421</t>
  </si>
  <si>
    <t>R00293</t>
  </si>
  <si>
    <t>C0236</t>
  </si>
  <si>
    <t>R00294</t>
  </si>
  <si>
    <t>R00295</t>
  </si>
  <si>
    <t>R00296</t>
  </si>
  <si>
    <t>C0024</t>
  </si>
  <si>
    <t>R00297</t>
  </si>
  <si>
    <t>C0187</t>
  </si>
  <si>
    <t>R00298</t>
  </si>
  <si>
    <t>C0089</t>
  </si>
  <si>
    <t>R00299</t>
  </si>
  <si>
    <t>C0224</t>
  </si>
  <si>
    <t>R00300</t>
  </si>
  <si>
    <t>C0102</t>
  </si>
  <si>
    <t>R00301</t>
  </si>
  <si>
    <t>C0293</t>
  </si>
  <si>
    <t>R00302</t>
  </si>
  <si>
    <t>R00303</t>
  </si>
  <si>
    <t>C0437</t>
  </si>
  <si>
    <t>R00304</t>
  </si>
  <si>
    <t>R00305</t>
  </si>
  <si>
    <t>R00306</t>
  </si>
  <si>
    <t>C0074</t>
  </si>
  <si>
    <t>R00307</t>
  </si>
  <si>
    <t>C0016</t>
  </si>
  <si>
    <t>R00308</t>
  </si>
  <si>
    <t>R00309</t>
  </si>
  <si>
    <t>C0342</t>
  </si>
  <si>
    <t>R00310</t>
  </si>
  <si>
    <t>R00311</t>
  </si>
  <si>
    <t>C0279</t>
  </si>
  <si>
    <t>R00312</t>
  </si>
  <si>
    <t>C0376</t>
  </si>
  <si>
    <t>R00313</t>
  </si>
  <si>
    <t>C0424</t>
  </si>
  <si>
    <t>R00314</t>
  </si>
  <si>
    <t>C0451</t>
  </si>
  <si>
    <t>R00315</t>
  </si>
  <si>
    <t>R00316</t>
  </si>
  <si>
    <t>C0020</t>
  </si>
  <si>
    <t>R00317</t>
  </si>
  <si>
    <t>C0304</t>
  </si>
  <si>
    <t>R00318</t>
  </si>
  <si>
    <t>C0150</t>
  </si>
  <si>
    <t>R00319</t>
  </si>
  <si>
    <t>C0146</t>
  </si>
  <si>
    <t>R00320</t>
  </si>
  <si>
    <t>R00321</t>
  </si>
  <si>
    <t>R00322</t>
  </si>
  <si>
    <t>C0235</t>
  </si>
  <si>
    <t>R00323</t>
  </si>
  <si>
    <t>C0037</t>
  </si>
  <si>
    <t>R00324</t>
  </si>
  <si>
    <t>C0142</t>
  </si>
  <si>
    <t>R00325</t>
  </si>
  <si>
    <t>C0498</t>
  </si>
  <si>
    <t>R00326</t>
  </si>
  <si>
    <t>C0337</t>
  </si>
  <si>
    <t>R00327</t>
  </si>
  <si>
    <t>C0018</t>
  </si>
  <si>
    <t>R00328</t>
  </si>
  <si>
    <t>R00329</t>
  </si>
  <si>
    <t>C0087</t>
  </si>
  <si>
    <t>R00330</t>
  </si>
  <si>
    <t>R00331</t>
  </si>
  <si>
    <t>R00332</t>
  </si>
  <si>
    <t>C0363</t>
  </si>
  <si>
    <t>R00333</t>
  </si>
  <si>
    <t>C0354</t>
  </si>
  <si>
    <t>R00334</t>
  </si>
  <si>
    <t>C0426</t>
  </si>
  <si>
    <t>R00335</t>
  </si>
  <si>
    <t>C0380</t>
  </si>
  <si>
    <t>R00336</t>
  </si>
  <si>
    <t>C0398</t>
  </si>
  <si>
    <t>R00337</t>
  </si>
  <si>
    <t>C0306</t>
  </si>
  <si>
    <t>R00338</t>
  </si>
  <si>
    <t>C0225</t>
  </si>
  <si>
    <t>R00339</t>
  </si>
  <si>
    <t>R00340</t>
  </si>
  <si>
    <t>C0267</t>
  </si>
  <si>
    <t>R00341</t>
  </si>
  <si>
    <t>C0487</t>
  </si>
  <si>
    <t>R00342</t>
  </si>
  <si>
    <t>C0194</t>
  </si>
  <si>
    <t>R00343</t>
  </si>
  <si>
    <t>C0285</t>
  </si>
  <si>
    <t>R00344</t>
  </si>
  <si>
    <t>R00345</t>
  </si>
  <si>
    <t>C0418</t>
  </si>
  <si>
    <t>R00346</t>
  </si>
  <si>
    <t>R00347</t>
  </si>
  <si>
    <t>C0238</t>
  </si>
  <si>
    <t>R00348</t>
  </si>
  <si>
    <t>R00349</t>
  </si>
  <si>
    <t>C0005</t>
  </si>
  <si>
    <t>R00350</t>
  </si>
  <si>
    <t>R00351</t>
  </si>
  <si>
    <t>C0230</t>
  </si>
  <si>
    <t>R00352</t>
  </si>
  <si>
    <t>C0268</t>
  </si>
  <si>
    <t>R00353</t>
  </si>
  <si>
    <t>C0001</t>
  </si>
  <si>
    <t>R00354</t>
  </si>
  <si>
    <t>R00355</t>
  </si>
  <si>
    <t>C0270</t>
  </si>
  <si>
    <t>R00356</t>
  </si>
  <si>
    <t>R00357</t>
  </si>
  <si>
    <t>R00358</t>
  </si>
  <si>
    <t>R00359</t>
  </si>
  <si>
    <t>R00360</t>
  </si>
  <si>
    <t>R00361</t>
  </si>
  <si>
    <t>R00362</t>
  </si>
  <si>
    <t>C0079</t>
  </si>
  <si>
    <t>R00363</t>
  </si>
  <si>
    <t>R00364</t>
  </si>
  <si>
    <t>C0485</t>
  </si>
  <si>
    <t>R00365</t>
  </si>
  <si>
    <t>C0147</t>
  </si>
  <si>
    <t>R00366</t>
  </si>
  <si>
    <t>C0492</t>
  </si>
  <si>
    <t>R00367</t>
  </si>
  <si>
    <t>C0352</t>
  </si>
  <si>
    <t>R00368</t>
  </si>
  <si>
    <t>C0095</t>
  </si>
  <si>
    <t>R00369</t>
  </si>
  <si>
    <t>C0508</t>
  </si>
  <si>
    <t>R00370</t>
  </si>
  <si>
    <t>C0009</t>
  </si>
  <si>
    <t>R00371</t>
  </si>
  <si>
    <t>R00372</t>
  </si>
  <si>
    <t>R00373</t>
  </si>
  <si>
    <t>C0301</t>
  </si>
  <si>
    <t>R00374</t>
  </si>
  <si>
    <t>R00375</t>
  </si>
  <si>
    <t>C0240</t>
  </si>
  <si>
    <t>R00376</t>
  </si>
  <si>
    <t>C0446</t>
  </si>
  <si>
    <t>R00377</t>
  </si>
  <si>
    <t>C0105</t>
  </si>
  <si>
    <t>R00378</t>
  </si>
  <si>
    <t>C0394</t>
  </si>
  <si>
    <t>R00379</t>
  </si>
  <si>
    <t>R00380</t>
  </si>
  <si>
    <t>C0083</t>
  </si>
  <si>
    <t>R00381</t>
  </si>
  <si>
    <t>R00382</t>
  </si>
  <si>
    <t>C0167</t>
  </si>
  <si>
    <t>R00383</t>
  </si>
  <si>
    <t>C0217</t>
  </si>
  <si>
    <t>R00384</t>
  </si>
  <si>
    <t>C0027</t>
  </si>
  <si>
    <t>R00385</t>
  </si>
  <si>
    <t>C0119</t>
  </si>
  <si>
    <t>R00386</t>
  </si>
  <si>
    <t>R00387</t>
  </si>
  <si>
    <t>R00388</t>
  </si>
  <si>
    <t>R00389</t>
  </si>
  <si>
    <t>C0010</t>
  </si>
  <si>
    <t>R00390</t>
  </si>
  <si>
    <t>C0144</t>
  </si>
  <si>
    <t>R00391</t>
  </si>
  <si>
    <t>R00392</t>
  </si>
  <si>
    <t>R00393</t>
  </si>
  <si>
    <t>C0029</t>
  </si>
  <si>
    <t>R00394</t>
  </si>
  <si>
    <t>C0287</t>
  </si>
  <si>
    <t>R00395</t>
  </si>
  <si>
    <t>C0395</t>
  </si>
  <si>
    <t>R00396</t>
  </si>
  <si>
    <t>R00397</t>
  </si>
  <si>
    <t>R00398</t>
  </si>
  <si>
    <t>C0310</t>
  </si>
  <si>
    <t>R00399</t>
  </si>
  <si>
    <t>C0457</t>
  </si>
  <si>
    <t>R00400</t>
  </si>
  <si>
    <t>C0461</t>
  </si>
  <si>
    <t>R00401</t>
  </si>
  <si>
    <t>C0193</t>
  </si>
  <si>
    <t>R00402</t>
  </si>
  <si>
    <t>R00403</t>
  </si>
  <si>
    <t>C0022</t>
  </si>
  <si>
    <t>R00404</t>
  </si>
  <si>
    <t>C0495</t>
  </si>
  <si>
    <t>R00405</t>
  </si>
  <si>
    <t>C0291</t>
  </si>
  <si>
    <t>R00406</t>
  </si>
  <si>
    <t>R00407</t>
  </si>
  <si>
    <t>R00408</t>
  </si>
  <si>
    <t>R00409</t>
  </si>
  <si>
    <t>R00410</t>
  </si>
  <si>
    <t>R00411</t>
  </si>
  <si>
    <t>R00412</t>
  </si>
  <si>
    <t>R00413</t>
  </si>
  <si>
    <t>C0494</t>
  </si>
  <si>
    <t>R00414</t>
  </si>
  <si>
    <t>C0030</t>
  </si>
  <si>
    <t>R00415</t>
  </si>
  <si>
    <t>R00416</t>
  </si>
  <si>
    <t>R00417</t>
  </si>
  <si>
    <t>R00418</t>
  </si>
  <si>
    <t>C0104</t>
  </si>
  <si>
    <t>R00419</t>
  </si>
  <si>
    <t>R00420</t>
  </si>
  <si>
    <t>R00421</t>
  </si>
  <si>
    <t>R00422</t>
  </si>
  <si>
    <t>R00423</t>
  </si>
  <si>
    <t>R00424</t>
  </si>
  <si>
    <t>R00425</t>
  </si>
  <si>
    <t>C0043</t>
  </si>
  <si>
    <t>R00426</t>
  </si>
  <si>
    <t>R00427</t>
  </si>
  <si>
    <t>C0189</t>
  </si>
  <si>
    <t>R00428</t>
  </si>
  <si>
    <t>R00429</t>
  </si>
  <si>
    <t>R00430</t>
  </si>
  <si>
    <t>C0388</t>
  </si>
  <si>
    <t>R00431</t>
  </si>
  <si>
    <t>C0453</t>
  </si>
  <si>
    <t>R00432</t>
  </si>
  <si>
    <t>R00433</t>
  </si>
  <si>
    <t>C0500</t>
  </si>
  <si>
    <t>R00434</t>
  </si>
  <si>
    <t>R00435</t>
  </si>
  <si>
    <t>R00436</t>
  </si>
  <si>
    <t>C0181</t>
  </si>
  <si>
    <t>R00437</t>
  </si>
  <si>
    <t>R00438</t>
  </si>
  <si>
    <t>C0517</t>
  </si>
  <si>
    <t>R00439</t>
  </si>
  <si>
    <t>R00440</t>
  </si>
  <si>
    <t>R00441</t>
  </si>
  <si>
    <t>C0049</t>
  </si>
  <si>
    <t>R00442</t>
  </si>
  <si>
    <t>C0123</t>
  </si>
  <si>
    <t>R00443</t>
  </si>
  <si>
    <t>C0221</t>
  </si>
  <si>
    <t>R00444</t>
  </si>
  <si>
    <t>R00445</t>
  </si>
  <si>
    <t>C0004</t>
  </si>
  <si>
    <t>R00446</t>
  </si>
  <si>
    <t>R00447</t>
  </si>
  <si>
    <t>R00448</t>
  </si>
  <si>
    <t>C0265</t>
  </si>
  <si>
    <t>R00449</t>
  </si>
  <si>
    <t>C0266</t>
  </si>
  <si>
    <t>R00450</t>
  </si>
  <si>
    <t>C0309</t>
  </si>
  <si>
    <t>R00451</t>
  </si>
  <si>
    <t>C0373</t>
  </si>
  <si>
    <t>R00452</t>
  </si>
  <si>
    <t>R00453</t>
  </si>
  <si>
    <t>R00454</t>
  </si>
  <si>
    <t>C0472</t>
  </si>
  <si>
    <t>R00455</t>
  </si>
  <si>
    <t>R00456</t>
  </si>
  <si>
    <t>C0318</t>
  </si>
  <si>
    <t>R00457</t>
  </si>
  <si>
    <t>R00458</t>
  </si>
  <si>
    <t>C0084</t>
  </si>
  <si>
    <t>R00459</t>
  </si>
  <si>
    <t>C0077</t>
  </si>
  <si>
    <t>R00460</t>
  </si>
  <si>
    <t>R00461</t>
  </si>
  <si>
    <t>R00462</t>
  </si>
  <si>
    <t>R00463</t>
  </si>
  <si>
    <t>R00464</t>
  </si>
  <si>
    <t>C0064</t>
  </si>
  <si>
    <t>R00465</t>
  </si>
  <si>
    <t>C0499</t>
  </si>
  <si>
    <t>R00466</t>
  </si>
  <si>
    <t>R00467</t>
  </si>
  <si>
    <t>R00468</t>
  </si>
  <si>
    <t>R00469</t>
  </si>
  <si>
    <t>C0273</t>
  </si>
  <si>
    <t>R00470</t>
  </si>
  <si>
    <t>R00471</t>
  </si>
  <si>
    <t>R00472</t>
  </si>
  <si>
    <t>R00473</t>
  </si>
  <si>
    <t>R00474</t>
  </si>
  <si>
    <t>R00475</t>
  </si>
  <si>
    <t>C0190</t>
  </si>
  <si>
    <t>R00476</t>
  </si>
  <si>
    <t>R00477</t>
  </si>
  <si>
    <t>R00478</t>
  </si>
  <si>
    <t>R00479</t>
  </si>
  <si>
    <t>R00480</t>
  </si>
  <si>
    <t>R00481</t>
  </si>
  <si>
    <t>R00482</t>
  </si>
  <si>
    <t>R00483</t>
  </si>
  <si>
    <t>R00484</t>
  </si>
  <si>
    <t>R00485</t>
  </si>
  <si>
    <t>R00486</t>
  </si>
  <si>
    <t>R00487</t>
  </si>
  <si>
    <t>R00488</t>
  </si>
  <si>
    <t>C0179</t>
  </si>
  <si>
    <t>R00489</t>
  </si>
  <si>
    <t>R00490</t>
  </si>
  <si>
    <t>C0367</t>
  </si>
  <si>
    <t>R00491</t>
  </si>
  <si>
    <t>R00492</t>
  </si>
  <si>
    <t>R00493</t>
  </si>
  <si>
    <t>R00494</t>
  </si>
  <si>
    <t>R00495</t>
  </si>
  <si>
    <t>C0355</t>
  </si>
  <si>
    <t>R00496</t>
  </si>
  <si>
    <t>R00497</t>
  </si>
  <si>
    <t>C0068</t>
  </si>
  <si>
    <t>R00498</t>
  </si>
  <si>
    <t>R00499</t>
  </si>
  <si>
    <t>R00500</t>
  </si>
  <si>
    <t>C0440</t>
  </si>
  <si>
    <t>R00501</t>
  </si>
  <si>
    <t>C0435</t>
  </si>
  <si>
    <t>R00502</t>
  </si>
  <si>
    <t>R00503</t>
  </si>
  <si>
    <t>R00504</t>
  </si>
  <si>
    <t>R00505</t>
  </si>
  <si>
    <t>R00506</t>
  </si>
  <si>
    <t>C0109</t>
  </si>
  <si>
    <t>R00507</t>
  </si>
  <si>
    <t>R00508</t>
  </si>
  <si>
    <t>R00509</t>
  </si>
  <si>
    <t>R00510</t>
  </si>
  <si>
    <t>C0125</t>
  </si>
  <si>
    <t>R00511</t>
  </si>
  <si>
    <t>R00512</t>
  </si>
  <si>
    <t>R00513</t>
  </si>
  <si>
    <t>R00514</t>
  </si>
  <si>
    <t>R00515</t>
  </si>
  <si>
    <t>R00516</t>
  </si>
  <si>
    <t>R00517</t>
  </si>
  <si>
    <t>R00518</t>
  </si>
  <si>
    <t>C0329</t>
  </si>
  <si>
    <t>R00519</t>
  </si>
  <si>
    <t>R00520</t>
  </si>
  <si>
    <t>R00521</t>
  </si>
  <si>
    <t>C0429</t>
  </si>
  <si>
    <t>R00522</t>
  </si>
  <si>
    <t>R00523</t>
  </si>
  <si>
    <t>R00524</t>
  </si>
  <si>
    <t>C0157</t>
  </si>
  <si>
    <t>R00525</t>
  </si>
  <si>
    <t>R00526</t>
  </si>
  <si>
    <t>C0385</t>
  </si>
  <si>
    <t>R00527</t>
  </si>
  <si>
    <t>C0242</t>
  </si>
  <si>
    <t>R00528</t>
  </si>
  <si>
    <t>R00529</t>
  </si>
  <si>
    <t>C0327</t>
  </si>
  <si>
    <t>R00530</t>
  </si>
  <si>
    <t>C0368</t>
  </si>
  <si>
    <t>R00531</t>
  </si>
  <si>
    <t>C0218</t>
  </si>
  <si>
    <t>R00532</t>
  </si>
  <si>
    <t>R00533</t>
  </si>
  <si>
    <t>R00534</t>
  </si>
  <si>
    <t>R00535</t>
  </si>
  <si>
    <t>C0431</t>
  </si>
  <si>
    <t>R00536</t>
  </si>
  <si>
    <t>R00537</t>
  </si>
  <si>
    <t>R00538</t>
  </si>
  <si>
    <t>R00539</t>
  </si>
  <si>
    <t>R00540</t>
  </si>
  <si>
    <t>C0403</t>
  </si>
  <si>
    <t>R00541</t>
  </si>
  <si>
    <t>C0160</t>
  </si>
  <si>
    <t>R00542</t>
  </si>
  <si>
    <t>R00543</t>
  </si>
  <si>
    <t>R00544</t>
  </si>
  <si>
    <t>R00545</t>
  </si>
  <si>
    <t>R00546</t>
  </si>
  <si>
    <t>C0201</t>
  </si>
  <si>
    <t>R00547</t>
  </si>
  <si>
    <t>C0488</t>
  </si>
  <si>
    <t>R00548</t>
  </si>
  <si>
    <t>R00549</t>
  </si>
  <si>
    <t>C0003</t>
  </si>
  <si>
    <t>R00550</t>
  </si>
  <si>
    <t>R00551</t>
  </si>
  <si>
    <t>C0222</t>
  </si>
  <si>
    <t>R00552</t>
  </si>
  <si>
    <t>R00553</t>
  </si>
  <si>
    <t>R00554</t>
  </si>
  <si>
    <t>C0103</t>
  </si>
  <si>
    <t>R00555</t>
  </si>
  <si>
    <t>R00556</t>
  </si>
  <si>
    <t>R00557</t>
  </si>
  <si>
    <t>C0088</t>
  </si>
  <si>
    <t>R00558</t>
  </si>
  <si>
    <t>C0321</t>
  </si>
  <si>
    <t>R00559</t>
  </si>
  <si>
    <t>R00560</t>
  </si>
  <si>
    <t>R00561</t>
  </si>
  <si>
    <t>R00562</t>
  </si>
  <si>
    <t>R00563</t>
  </si>
  <si>
    <t>C0055</t>
  </si>
  <si>
    <t>R00564</t>
  </si>
  <si>
    <t>C0138</t>
  </si>
  <si>
    <t>R00565</t>
  </si>
  <si>
    <t>C0505</t>
  </si>
  <si>
    <t>R00566</t>
  </si>
  <si>
    <t>R00567</t>
  </si>
  <si>
    <t>R00568</t>
  </si>
  <si>
    <t>R00569</t>
  </si>
  <si>
    <t>R00570</t>
  </si>
  <si>
    <t>R00571</t>
  </si>
  <si>
    <t>R00572</t>
  </si>
  <si>
    <t>C0284</t>
  </si>
  <si>
    <t>R00573</t>
  </si>
  <si>
    <t>C0334</t>
  </si>
  <si>
    <t>R00574</t>
  </si>
  <si>
    <t>C0165</t>
  </si>
  <si>
    <t>R00575</t>
  </si>
  <si>
    <t>R00576</t>
  </si>
  <si>
    <t>R00577</t>
  </si>
  <si>
    <t>R00578</t>
  </si>
  <si>
    <t>C0042</t>
  </si>
  <si>
    <t>R00579</t>
  </si>
  <si>
    <t>R00580</t>
  </si>
  <si>
    <t>C0511</t>
  </si>
  <si>
    <t>R00581</t>
  </si>
  <si>
    <t>R00582</t>
  </si>
  <si>
    <t>R00583</t>
  </si>
  <si>
    <t>R00584</t>
  </si>
  <si>
    <t>R00585</t>
  </si>
  <si>
    <t>C0366</t>
  </si>
  <si>
    <t>R00586</t>
  </si>
  <si>
    <t>R00587</t>
  </si>
  <si>
    <t>R00588</t>
  </si>
  <si>
    <t>R00589</t>
  </si>
  <si>
    <t>R00590</t>
  </si>
  <si>
    <t>R00591</t>
  </si>
  <si>
    <t>R00592</t>
  </si>
  <si>
    <t>R00593</t>
  </si>
  <si>
    <t>R00594</t>
  </si>
  <si>
    <t>R00595</t>
  </si>
  <si>
    <t>R00596</t>
  </si>
  <si>
    <t>R00597</t>
  </si>
  <si>
    <t>R00598</t>
  </si>
  <si>
    <t>C0191</t>
  </si>
  <si>
    <t>R00599</t>
  </si>
  <si>
    <t>C0448</t>
  </si>
  <si>
    <t>R00600</t>
  </si>
  <si>
    <t>C0422</t>
  </si>
  <si>
    <t>R00601</t>
  </si>
  <si>
    <t>R00602</t>
  </si>
  <si>
    <t>R00603</t>
  </si>
  <si>
    <t>R00604</t>
  </si>
  <si>
    <t>R00605</t>
  </si>
  <si>
    <t>C0343</t>
  </si>
  <si>
    <t>R00606</t>
  </si>
  <si>
    <t>C0264</t>
  </si>
  <si>
    <t>R00607</t>
  </si>
  <si>
    <t>R00608</t>
  </si>
  <si>
    <t>gurugram</t>
  </si>
  <si>
    <t>R00609</t>
  </si>
  <si>
    <t>R00610</t>
  </si>
  <si>
    <t>C0006</t>
  </si>
  <si>
    <t>R00611</t>
  </si>
  <si>
    <t>R00612</t>
  </si>
  <si>
    <t>R00613</t>
  </si>
  <si>
    <t>C0464</t>
  </si>
  <si>
    <t>R00614</t>
  </si>
  <si>
    <t>C0391</t>
  </si>
  <si>
    <t>R00615</t>
  </si>
  <si>
    <t>R00616</t>
  </si>
  <si>
    <t>R00617</t>
  </si>
  <si>
    <t>C0044</t>
  </si>
  <si>
    <t>R00618</t>
  </si>
  <si>
    <t>C0127</t>
  </si>
  <si>
    <t>R00619</t>
  </si>
  <si>
    <t>R00620</t>
  </si>
  <si>
    <t>R00621</t>
  </si>
  <si>
    <t>R00622</t>
  </si>
  <si>
    <t>R00623</t>
  </si>
  <si>
    <t>C0035</t>
  </si>
  <si>
    <t>R00624</t>
  </si>
  <si>
    <t>R00625</t>
  </si>
  <si>
    <t>C0401</t>
  </si>
  <si>
    <t>R00626</t>
  </si>
  <si>
    <t>C0132</t>
  </si>
  <si>
    <t>R00627</t>
  </si>
  <si>
    <t>C0200</t>
  </si>
  <si>
    <t>R00628</t>
  </si>
  <si>
    <t>R00629</t>
  </si>
  <si>
    <t>R00630</t>
  </si>
  <si>
    <t>R00631</t>
  </si>
  <si>
    <t>R00632</t>
  </si>
  <si>
    <t>R00633</t>
  </si>
  <si>
    <t>R00634</t>
  </si>
  <si>
    <t>R00635</t>
  </si>
  <si>
    <t>R00636</t>
  </si>
  <si>
    <t>C0275</t>
  </si>
  <si>
    <t>R00637</t>
  </si>
  <si>
    <t>C0155</t>
  </si>
  <si>
    <t>R00638</t>
  </si>
  <si>
    <t>R00639</t>
  </si>
  <si>
    <t>C0208</t>
  </si>
  <si>
    <t>R00640</t>
  </si>
  <si>
    <t>R00641</t>
  </si>
  <si>
    <t>R00642</t>
  </si>
  <si>
    <t>R00643</t>
  </si>
  <si>
    <t>C0129</t>
  </si>
  <si>
    <t>R00644</t>
  </si>
  <si>
    <t>R00645</t>
  </si>
  <si>
    <t>R00646</t>
  </si>
  <si>
    <t>R00647</t>
  </si>
  <si>
    <t>R00648</t>
  </si>
  <si>
    <t>R00649</t>
  </si>
  <si>
    <t>C0465</t>
  </si>
  <si>
    <t>R00650</t>
  </si>
  <si>
    <t>R00651</t>
  </si>
  <si>
    <t>C0204</t>
  </si>
  <si>
    <t>R00652</t>
  </si>
  <si>
    <t>R00653</t>
  </si>
  <si>
    <t>R00654</t>
  </si>
  <si>
    <t>R00655</t>
  </si>
  <si>
    <t>R00656</t>
  </si>
  <si>
    <t>R00657</t>
  </si>
  <si>
    <t>R00658</t>
  </si>
  <si>
    <t>R00659</t>
  </si>
  <si>
    <t>C0341</t>
  </si>
  <si>
    <t>R00660</t>
  </si>
  <si>
    <t>R00661</t>
  </si>
  <si>
    <t>R00662</t>
  </si>
  <si>
    <t>C0346</t>
  </si>
  <si>
    <t>R00663</t>
  </si>
  <si>
    <t>R00664</t>
  </si>
  <si>
    <t>R00665</t>
  </si>
  <si>
    <t>R00666</t>
  </si>
  <si>
    <t>C0513</t>
  </si>
  <si>
    <t>R00667</t>
  </si>
  <si>
    <t>R00668</t>
  </si>
  <si>
    <t>R00669</t>
  </si>
  <si>
    <t>R00670</t>
  </si>
  <si>
    <t>R00671</t>
  </si>
  <si>
    <t>C0490</t>
  </si>
  <si>
    <t>R00672</t>
  </si>
  <si>
    <t>C0161</t>
  </si>
  <si>
    <t>R00673</t>
  </si>
  <si>
    <t>C0378</t>
  </si>
  <si>
    <t>R00674</t>
  </si>
  <si>
    <t>R00675</t>
  </si>
  <si>
    <t>C0289</t>
  </si>
  <si>
    <t>R00676</t>
  </si>
  <si>
    <t>R00677</t>
  </si>
  <si>
    <t>R00678</t>
  </si>
  <si>
    <t>R00679</t>
  </si>
  <si>
    <t>C0174</t>
  </si>
  <si>
    <t>R00680</t>
  </si>
  <si>
    <t>C0414</t>
  </si>
  <si>
    <t>R00681</t>
  </si>
  <si>
    <t>R00682</t>
  </si>
  <si>
    <t>R00683</t>
  </si>
  <si>
    <t>R00684</t>
  </si>
  <si>
    <t>C0300</t>
  </si>
  <si>
    <t>R00685</t>
  </si>
  <si>
    <t>R00686</t>
  </si>
  <si>
    <t>R00687</t>
  </si>
  <si>
    <t>R00688</t>
  </si>
  <si>
    <t>R00689</t>
  </si>
  <si>
    <t>R00690</t>
  </si>
  <si>
    <t>R00691</t>
  </si>
  <si>
    <t>R00692</t>
  </si>
  <si>
    <t>R00693</t>
  </si>
  <si>
    <t>R00694</t>
  </si>
  <si>
    <t>C0099</t>
  </si>
  <si>
    <t>R00695</t>
  </si>
  <si>
    <t>R00696</t>
  </si>
  <si>
    <t>R00697</t>
  </si>
  <si>
    <t>R00698</t>
  </si>
  <si>
    <t>R00699</t>
  </si>
  <si>
    <t>C0110</t>
  </si>
  <si>
    <t>R00700</t>
  </si>
  <si>
    <t>R00701</t>
  </si>
  <si>
    <t>R00702</t>
  </si>
  <si>
    <t>C0169</t>
  </si>
  <si>
    <t>R00703</t>
  </si>
  <si>
    <t>R00704</t>
  </si>
  <si>
    <t>C0045</t>
  </si>
  <si>
    <t>R00705</t>
  </si>
  <si>
    <t>R00706</t>
  </si>
  <si>
    <t>R00707</t>
  </si>
  <si>
    <t>R00708</t>
  </si>
  <si>
    <t>R00709</t>
  </si>
  <si>
    <t>C0243</t>
  </si>
  <si>
    <t>R00710</t>
  </si>
  <si>
    <t>R00711</t>
  </si>
  <si>
    <t>C0139</t>
  </si>
  <si>
    <t>R00712</t>
  </si>
  <si>
    <t>R00713</t>
  </si>
  <si>
    <t>R00714</t>
  </si>
  <si>
    <t>R00715</t>
  </si>
  <si>
    <t>C0462</t>
  </si>
  <si>
    <t>R00716</t>
  </si>
  <si>
    <t>R00717</t>
  </si>
  <si>
    <t>C0290</t>
  </si>
  <si>
    <t>R00718</t>
  </si>
  <si>
    <t>R00719</t>
  </si>
  <si>
    <t>C0479</t>
  </si>
  <si>
    <t>R00720</t>
  </si>
  <si>
    <t>R00721</t>
  </si>
  <si>
    <t>R00722</t>
  </si>
  <si>
    <t>R00723</t>
  </si>
  <si>
    <t>C0153</t>
  </si>
  <si>
    <t>R00724</t>
  </si>
  <si>
    <t>R00725</t>
  </si>
  <si>
    <t>R00726</t>
  </si>
  <si>
    <t>R00727</t>
  </si>
  <si>
    <t>R00728</t>
  </si>
  <si>
    <t>C0296</t>
  </si>
  <si>
    <t>R00729</t>
  </si>
  <si>
    <t>C0319</t>
  </si>
  <si>
    <t>R00730</t>
  </si>
  <si>
    <t>R00731</t>
  </si>
  <si>
    <t>R00732</t>
  </si>
  <si>
    <t>R00733</t>
  </si>
  <si>
    <t>R00734</t>
  </si>
  <si>
    <t>R00735</t>
  </si>
  <si>
    <t>C0323</t>
  </si>
  <si>
    <t>R00736</t>
  </si>
  <si>
    <t>R00737</t>
  </si>
  <si>
    <t>R00738</t>
  </si>
  <si>
    <t>C0434</t>
  </si>
  <si>
    <t>R00739</t>
  </si>
  <si>
    <t>R00740</t>
  </si>
  <si>
    <t>R00741</t>
  </si>
  <si>
    <t>R00742</t>
  </si>
  <si>
    <t>C0163</t>
  </si>
  <si>
    <t>R00743</t>
  </si>
  <si>
    <t>R00744</t>
  </si>
  <si>
    <t>R00745</t>
  </si>
  <si>
    <t>R00746</t>
  </si>
  <si>
    <t>R00747</t>
  </si>
  <si>
    <t>R00748</t>
  </si>
  <si>
    <t>R00749</t>
  </si>
  <si>
    <t>R00750</t>
  </si>
  <si>
    <t>R00751</t>
  </si>
  <si>
    <t>R00752</t>
  </si>
  <si>
    <t>R00753</t>
  </si>
  <si>
    <t>C0506</t>
  </si>
  <si>
    <t>R00754</t>
  </si>
  <si>
    <t>R00755</t>
  </si>
  <si>
    <t>R00756</t>
  </si>
  <si>
    <t>R00757</t>
  </si>
  <si>
    <t>R00758</t>
  </si>
  <si>
    <t>R00759</t>
  </si>
  <si>
    <t>R00760</t>
  </si>
  <si>
    <t>C0276</t>
  </si>
  <si>
    <t>R00761</t>
  </si>
  <si>
    <t>R00762</t>
  </si>
  <si>
    <t>R00763</t>
  </si>
  <si>
    <t>C0347</t>
  </si>
  <si>
    <t>R00764</t>
  </si>
  <si>
    <t>R00765</t>
  </si>
  <si>
    <t>R00766</t>
  </si>
  <si>
    <t>R00767</t>
  </si>
  <si>
    <t>R00768</t>
  </si>
  <si>
    <t>R00769</t>
  </si>
  <si>
    <t>C0372</t>
  </si>
  <si>
    <t>R00770</t>
  </si>
  <si>
    <t>R00771</t>
  </si>
  <si>
    <t>R00772</t>
  </si>
  <si>
    <t>R00773</t>
  </si>
  <si>
    <t>R00774</t>
  </si>
  <si>
    <t>R00775</t>
  </si>
  <si>
    <t>R00776</t>
  </si>
  <si>
    <t>R00777</t>
  </si>
  <si>
    <t>R00778</t>
  </si>
  <si>
    <t>R00779</t>
  </si>
  <si>
    <t>R00780</t>
  </si>
  <si>
    <t>C0473</t>
  </si>
  <si>
    <t>R00781</t>
  </si>
  <si>
    <t>R00782</t>
  </si>
  <si>
    <t>R00783</t>
  </si>
  <si>
    <t>R00784</t>
  </si>
  <si>
    <t>C0356</t>
  </si>
  <si>
    <t>R00785</t>
  </si>
  <si>
    <t>R00786</t>
  </si>
  <si>
    <t>C0096</t>
  </si>
  <si>
    <t>R00787</t>
  </si>
  <si>
    <t>R00788</t>
  </si>
  <si>
    <t>R00789</t>
  </si>
  <si>
    <t>R00790</t>
  </si>
  <si>
    <t>R00791</t>
  </si>
  <si>
    <t>R00792</t>
  </si>
  <si>
    <t>R00793</t>
  </si>
  <si>
    <t>R00794</t>
  </si>
  <si>
    <t>R00795</t>
  </si>
  <si>
    <t>R00796</t>
  </si>
  <si>
    <t>R00797</t>
  </si>
  <si>
    <t>C0032</t>
  </si>
  <si>
    <t>R00798</t>
  </si>
  <si>
    <t>R00799</t>
  </si>
  <si>
    <t>C0086</t>
  </si>
  <si>
    <t>R00800</t>
  </si>
  <si>
    <t>R00801</t>
  </si>
  <si>
    <t>R00802</t>
  </si>
  <si>
    <t>R00803</t>
  </si>
  <si>
    <t>C0263</t>
  </si>
  <si>
    <t>R00804</t>
  </si>
  <si>
    <t>R00805</t>
  </si>
  <si>
    <t>R00806</t>
  </si>
  <si>
    <t>R00807</t>
  </si>
  <si>
    <t>R00808</t>
  </si>
  <si>
    <t>R00809</t>
  </si>
  <si>
    <t>C0467</t>
  </si>
  <si>
    <t>R00810</t>
  </si>
  <si>
    <t>R00811</t>
  </si>
  <si>
    <t>R00812</t>
  </si>
  <si>
    <t>C0081</t>
  </si>
  <si>
    <t>R00813</t>
  </si>
  <si>
    <t>C0111</t>
  </si>
  <si>
    <t>R00814</t>
  </si>
  <si>
    <t>R00815</t>
  </si>
  <si>
    <t>R00816</t>
  </si>
  <si>
    <t>C0423</t>
  </si>
  <si>
    <t>R00817</t>
  </si>
  <si>
    <t>C0503</t>
  </si>
  <si>
    <t>R00818</t>
  </si>
  <si>
    <t>R00819</t>
  </si>
  <si>
    <t>R00820</t>
  </si>
  <si>
    <t>C0019</t>
  </si>
  <si>
    <t>R00821</t>
  </si>
  <si>
    <t>R00822</t>
  </si>
  <si>
    <t>R00823</t>
  </si>
  <si>
    <t>R00824</t>
  </si>
  <si>
    <t>R00825</t>
  </si>
  <si>
    <t>C0478</t>
  </si>
  <si>
    <t>R00826</t>
  </si>
  <si>
    <t>R00827</t>
  </si>
  <si>
    <t>R00828</t>
  </si>
  <si>
    <t>R00829</t>
  </si>
  <si>
    <t>R00830</t>
  </si>
  <si>
    <t>R00831</t>
  </si>
  <si>
    <t>R00832</t>
  </si>
  <si>
    <t>R00833</t>
  </si>
  <si>
    <t>R00834</t>
  </si>
  <si>
    <t>R00835</t>
  </si>
  <si>
    <t>R00836</t>
  </si>
  <si>
    <t>R00837</t>
  </si>
  <si>
    <t>C0320</t>
  </si>
  <si>
    <t>R00838</t>
  </si>
  <si>
    <t>C0262</t>
  </si>
  <si>
    <t>R00839</t>
  </si>
  <si>
    <t>R00840</t>
  </si>
  <si>
    <t>R00841</t>
  </si>
  <si>
    <t>C0362</t>
  </si>
  <si>
    <t>R00842</t>
  </si>
  <si>
    <t>R00843</t>
  </si>
  <si>
    <t>R00844</t>
  </si>
  <si>
    <t>C0331</t>
  </si>
  <si>
    <t>R00845</t>
  </si>
  <si>
    <t>R00846</t>
  </si>
  <si>
    <t>R00847</t>
  </si>
  <si>
    <t>R00848</t>
  </si>
  <si>
    <t>R00849</t>
  </si>
  <si>
    <t>R00850</t>
  </si>
  <si>
    <t>R00851</t>
  </si>
  <si>
    <t>R00852</t>
  </si>
  <si>
    <t>R00853</t>
  </si>
  <si>
    <t>R00854</t>
  </si>
  <si>
    <t>R00855</t>
  </si>
  <si>
    <t>C0520</t>
  </si>
  <si>
    <t>R00856</t>
  </si>
  <si>
    <t>R00857</t>
  </si>
  <si>
    <t>C0486</t>
  </si>
  <si>
    <t>R00858</t>
  </si>
  <si>
    <t>R00859</t>
  </si>
  <si>
    <t>C0381</t>
  </si>
  <si>
    <t>R00860</t>
  </si>
  <si>
    <t>R00861</t>
  </si>
  <si>
    <t>R00862</t>
  </si>
  <si>
    <t>C0271</t>
  </si>
  <si>
    <t>R00863</t>
  </si>
  <si>
    <t>C0184</t>
  </si>
  <si>
    <t>R00864</t>
  </si>
  <si>
    <t>C0428</t>
  </si>
  <si>
    <t>R00865</t>
  </si>
  <si>
    <t>R00866</t>
  </si>
  <si>
    <t>R00867</t>
  </si>
  <si>
    <t>R00868</t>
  </si>
  <si>
    <t>C0460</t>
  </si>
  <si>
    <t>R00869</t>
  </si>
  <si>
    <t>R00870</t>
  </si>
  <si>
    <t>C0377</t>
  </si>
  <si>
    <t>R00871</t>
  </si>
  <si>
    <t>R00872</t>
  </si>
  <si>
    <t>R00873</t>
  </si>
  <si>
    <t>C0244</t>
  </si>
  <si>
    <t>R00874</t>
  </si>
  <si>
    <t>R00875</t>
  </si>
  <si>
    <t>C0350</t>
  </si>
  <si>
    <t>R00876</t>
  </si>
  <si>
    <t>R00877</t>
  </si>
  <si>
    <t>R00878</t>
  </si>
  <si>
    <t>R00879</t>
  </si>
  <si>
    <t>R00880</t>
  </si>
  <si>
    <t>C0283</t>
  </si>
  <si>
    <t>R00881</t>
  </si>
  <si>
    <t>R00882</t>
  </si>
  <si>
    <t>C0025</t>
  </si>
  <si>
    <t>R00883</t>
  </si>
  <si>
    <t>R00884</t>
  </si>
  <si>
    <t>delhi</t>
  </si>
  <si>
    <t>R00885</t>
  </si>
  <si>
    <t>R00886</t>
  </si>
  <si>
    <t>R00887</t>
  </si>
  <si>
    <t>R00888</t>
  </si>
  <si>
    <t>R00889</t>
  </si>
  <si>
    <t>C0344</t>
  </si>
  <si>
    <t>R00890</t>
  </si>
  <si>
    <t>R00891</t>
  </si>
  <si>
    <t>R00892</t>
  </si>
  <si>
    <t>R00893</t>
  </si>
  <si>
    <t>R00894</t>
  </si>
  <si>
    <t>R00895</t>
  </si>
  <si>
    <t>R00896</t>
  </si>
  <si>
    <t>R00897</t>
  </si>
  <si>
    <t>C0338</t>
  </si>
  <si>
    <t>R00898</t>
  </si>
  <si>
    <t>C0278</t>
  </si>
  <si>
    <t>R00899</t>
  </si>
  <si>
    <t>R00900</t>
  </si>
  <si>
    <t>R00901</t>
  </si>
  <si>
    <t>R00902</t>
  </si>
  <si>
    <t>R00903</t>
  </si>
  <si>
    <t>R00904</t>
  </si>
  <si>
    <t>R00905</t>
  </si>
  <si>
    <t>R00906</t>
  </si>
  <si>
    <t>C0484</t>
  </si>
  <si>
    <t>R00907</t>
  </si>
  <si>
    <t>R00908</t>
  </si>
  <si>
    <t>R00909</t>
  </si>
  <si>
    <t>R00910</t>
  </si>
  <si>
    <t>R00911</t>
  </si>
  <si>
    <t>R00912</t>
  </si>
  <si>
    <t>R00913</t>
  </si>
  <si>
    <t>R00914</t>
  </si>
  <si>
    <t>C0100</t>
  </si>
  <si>
    <t>R00915</t>
  </si>
  <si>
    <t>C0076</t>
  </si>
  <si>
    <t>R00916</t>
  </si>
  <si>
    <t>R00917</t>
  </si>
  <si>
    <t>R00918</t>
  </si>
  <si>
    <t>R00919</t>
  </si>
  <si>
    <t>R00920</t>
  </si>
  <si>
    <t>C0058</t>
  </si>
  <si>
    <t>R00921</t>
  </si>
  <si>
    <t>R00922</t>
  </si>
  <si>
    <t>R00923</t>
  </si>
  <si>
    <t>R00924</t>
  </si>
  <si>
    <t>R00925</t>
  </si>
  <si>
    <t>R00926</t>
  </si>
  <si>
    <t>R00927</t>
  </si>
  <si>
    <t>R00928</t>
  </si>
  <si>
    <t>R00929</t>
  </si>
  <si>
    <t>R00930</t>
  </si>
  <si>
    <t>R00931</t>
  </si>
  <si>
    <t>R00932</t>
  </si>
  <si>
    <t>R00933</t>
  </si>
  <si>
    <t>R00934</t>
  </si>
  <si>
    <t>C0056</t>
  </si>
  <si>
    <t>R00935</t>
  </si>
  <si>
    <t>R00936</t>
  </si>
  <si>
    <t>R00937</t>
  </si>
  <si>
    <t>R00938</t>
  </si>
  <si>
    <t>R00939</t>
  </si>
  <si>
    <t>R00940</t>
  </si>
  <si>
    <t>R00941</t>
  </si>
  <si>
    <t>C0196</t>
  </si>
  <si>
    <t>R00942</t>
  </si>
  <si>
    <t>R00943</t>
  </si>
  <si>
    <t>C0151</t>
  </si>
  <si>
    <t>R00944</t>
  </si>
  <si>
    <t>R00945</t>
  </si>
  <si>
    <t>R00946</t>
  </si>
  <si>
    <t>R00947</t>
  </si>
  <si>
    <t>R00948</t>
  </si>
  <si>
    <t>R00949</t>
  </si>
  <si>
    <t>R00950</t>
  </si>
  <si>
    <t>C0433</t>
  </si>
  <si>
    <t>R00951</t>
  </si>
  <si>
    <t>R00952</t>
  </si>
  <si>
    <t>C0093</t>
  </si>
  <si>
    <t>R00953</t>
  </si>
  <si>
    <t>R00954</t>
  </si>
  <si>
    <t>C0501</t>
  </si>
  <si>
    <t>R00955</t>
  </si>
  <si>
    <t>R00956</t>
  </si>
  <si>
    <t>R00957</t>
  </si>
  <si>
    <t>R00958</t>
  </si>
  <si>
    <t>R00959</t>
  </si>
  <si>
    <t>R00960</t>
  </si>
  <si>
    <t>R00961</t>
  </si>
  <si>
    <t>C0145</t>
  </si>
  <si>
    <t>R00962</t>
  </si>
  <si>
    <t>R00963</t>
  </si>
  <si>
    <t>R00964</t>
  </si>
  <si>
    <t>R00965</t>
  </si>
  <si>
    <t>R00966</t>
  </si>
  <si>
    <t>R00967</t>
  </si>
  <si>
    <t>R00968</t>
  </si>
  <si>
    <t>C0223</t>
  </si>
  <si>
    <t>R00969</t>
  </si>
  <si>
    <t>R00970</t>
  </si>
  <si>
    <t>R00971</t>
  </si>
  <si>
    <t>R00972</t>
  </si>
  <si>
    <t>C0062</t>
  </si>
  <si>
    <t>R00973</t>
  </si>
  <si>
    <t>C0241</t>
  </si>
  <si>
    <t>R00974</t>
  </si>
  <si>
    <t>R00975</t>
  </si>
  <si>
    <t>R00976</t>
  </si>
  <si>
    <t>R00977</t>
  </si>
  <si>
    <t>R00978</t>
  </si>
  <si>
    <t>R00979</t>
  </si>
  <si>
    <t>R00980</t>
  </si>
  <si>
    <t>R00981</t>
  </si>
  <si>
    <t>R00982</t>
  </si>
  <si>
    <t>R00983</t>
  </si>
  <si>
    <t>R00984</t>
  </si>
  <si>
    <t>C0185</t>
  </si>
  <si>
    <t>R00985</t>
  </si>
  <si>
    <t>R00986</t>
  </si>
  <si>
    <t>R00987</t>
  </si>
  <si>
    <t>R00988</t>
  </si>
  <si>
    <t>R00989</t>
  </si>
  <si>
    <t>C0481</t>
  </si>
  <si>
    <t>R00990</t>
  </si>
  <si>
    <t>C0008</t>
  </si>
  <si>
    <t>R00991</t>
  </si>
  <si>
    <t>R00992</t>
  </si>
  <si>
    <t>R00993</t>
  </si>
  <si>
    <t>R00994</t>
  </si>
  <si>
    <t>R00995</t>
  </si>
  <si>
    <t>R00996</t>
  </si>
  <si>
    <t>R00997</t>
  </si>
  <si>
    <t>R00998</t>
  </si>
  <si>
    <t>R00999</t>
  </si>
  <si>
    <t>R01000</t>
  </si>
  <si>
    <t>R01001</t>
  </si>
  <si>
    <t>R01002</t>
  </si>
  <si>
    <t>noida</t>
  </si>
  <si>
    <t>R01003</t>
  </si>
  <si>
    <t>R01004</t>
  </si>
  <si>
    <t>R01005</t>
  </si>
  <si>
    <t>R01006</t>
  </si>
  <si>
    <t>R01007</t>
  </si>
  <si>
    <t>R01008</t>
  </si>
  <si>
    <t>R01009</t>
  </si>
  <si>
    <t>C0370</t>
  </si>
  <si>
    <t>R01010</t>
  </si>
  <si>
    <t>C0438</t>
  </si>
  <si>
    <t>R01011</t>
  </si>
  <si>
    <t>R01012</t>
  </si>
  <si>
    <t>R01013</t>
  </si>
  <si>
    <t>R01014</t>
  </si>
  <si>
    <t>R01015</t>
  </si>
  <si>
    <t>R01016</t>
  </si>
  <si>
    <t>R01017</t>
  </si>
  <si>
    <t>R01018</t>
  </si>
  <si>
    <t>R01019</t>
  </si>
  <si>
    <t>R01020</t>
  </si>
  <si>
    <t>R01021</t>
  </si>
  <si>
    <t>R01022</t>
  </si>
  <si>
    <t>C0057</t>
  </si>
  <si>
    <t>R01023</t>
  </si>
  <si>
    <t>R01024</t>
  </si>
  <si>
    <t>R01025</t>
  </si>
  <si>
    <t>R01026</t>
  </si>
  <si>
    <t>R01027</t>
  </si>
  <si>
    <t>R01028</t>
  </si>
  <si>
    <t>R01029</t>
  </si>
  <si>
    <t>R01030</t>
  </si>
  <si>
    <t>R01031</t>
  </si>
  <si>
    <t>R01032</t>
  </si>
  <si>
    <t>R01033</t>
  </si>
  <si>
    <t>R01034</t>
  </si>
  <si>
    <t>R01035</t>
  </si>
  <si>
    <t>R01036</t>
  </si>
  <si>
    <t>R01037</t>
  </si>
  <si>
    <t>C0432</t>
  </si>
  <si>
    <t>R01038</t>
  </si>
  <si>
    <t>R01039</t>
  </si>
  <si>
    <t>R01040</t>
  </si>
  <si>
    <t>C0280</t>
  </si>
  <si>
    <t>R01041</t>
  </si>
  <si>
    <t>R01042</t>
  </si>
  <si>
    <t>R01043</t>
  </si>
  <si>
    <t>R01044</t>
  </si>
  <si>
    <t>R01045</t>
  </si>
  <si>
    <t>R01046</t>
  </si>
  <si>
    <t>C0470</t>
  </si>
  <si>
    <t>R01047</t>
  </si>
  <si>
    <t>R01048</t>
  </si>
  <si>
    <t>R01049</t>
  </si>
  <si>
    <t>R01050</t>
  </si>
  <si>
    <t>R01051</t>
  </si>
  <si>
    <t>R01052</t>
  </si>
  <si>
    <t>R01053</t>
  </si>
  <si>
    <t>C0463</t>
  </si>
  <si>
    <t>R01054</t>
  </si>
  <si>
    <t>R01055</t>
  </si>
  <si>
    <t>R01056</t>
  </si>
  <si>
    <t>R01057</t>
  </si>
  <si>
    <t>R01058</t>
  </si>
  <si>
    <t>R01059</t>
  </si>
  <si>
    <t>R01060</t>
  </si>
  <si>
    <t>R01061</t>
  </si>
  <si>
    <t>R01062</t>
  </si>
  <si>
    <t>C0454</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</si>
  <si>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</si>
  <si>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</si>
  <si>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</si>
  <si>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</si>
  <si>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</si>
  <si>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</si>
  <si>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</si>
  <si>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</si>
  <si>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</si>
  <si>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</si>
  <si>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</si>
  <si>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</si>
  <si>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</si>
  <si>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</si>
  <si>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</si>
  <si>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</si>
  <si>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</si>
  <si>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</si>
  <si>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</si>
  <si>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</si>
  <si>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</si>
  <si>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</si>
  <si>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C0359</t>
  </si>
  <si>
    <t>R01085</t>
  </si>
  <si>
    <t>R01086</t>
  </si>
  <si>
    <t>R01087</t>
  </si>
  <si>
    <t>R01088</t>
  </si>
  <si>
    <t>R01089</t>
  </si>
  <si>
    <t>R01090</t>
  </si>
  <si>
    <t>R01091</t>
  </si>
  <si>
    <t>C0345</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</si>
  <si>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</si>
  <si>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</si>
  <si>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</si>
  <si>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</si>
  <si>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</si>
  <si>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</si>
  <si>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</si>
  <si>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</si>
  <si>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</si>
  <si>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</si>
  <si>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</si>
  <si>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</si>
  <si>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</si>
  <si>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</si>
  <si>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</si>
  <si>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</si>
  <si>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</si>
  <si>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</si>
  <si>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</si>
  <si>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</si>
  <si>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</si>
  <si>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</si>
  <si>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</si>
  <si>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</si>
  <si>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C0436</t>
  </si>
  <si>
    <t>R01116</t>
  </si>
  <si>
    <t>C0199</t>
  </si>
  <si>
    <t>R01117</t>
  </si>
  <si>
    <t>R01118</t>
  </si>
  <si>
    <t>R01119</t>
  </si>
  <si>
    <t>R01120</t>
  </si>
  <si>
    <t>R01121</t>
  </si>
  <si>
    <t>R01122</t>
  </si>
  <si>
    <t>R01123</t>
  </si>
  <si>
    <t>R01124</t>
  </si>
  <si>
    <t>R01125</t>
  </si>
  <si>
    <t>R01126</t>
  </si>
  <si>
    <t>C0234</t>
  </si>
  <si>
    <t>R01127</t>
  </si>
  <si>
    <t>R01128</t>
  </si>
  <si>
    <t>R01129</t>
  </si>
  <si>
    <t>R01130</t>
  </si>
  <si>
    <t>R01131</t>
  </si>
  <si>
    <t>C0060</t>
  </si>
  <si>
    <t>R01132</t>
  </si>
  <si>
    <t>R01133</t>
  </si>
  <si>
    <t>C0107</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</si>
  <si>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</si>
  <si>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</si>
  <si>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</si>
  <si>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</si>
  <si>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</si>
  <si>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</si>
  <si>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</si>
  <si>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</si>
  <si>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</si>
  <si>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</si>
  <si>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</si>
  <si>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</si>
  <si>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</si>
  <si>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</si>
  <si>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</si>
  <si>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</si>
  <si>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</si>
  <si>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</si>
  <si>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</si>
  <si>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</si>
  <si>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C0383</t>
  </si>
  <si>
    <t>R01154</t>
  </si>
  <si>
    <t>R01155</t>
  </si>
  <si>
    <t>R01156</t>
  </si>
  <si>
    <t>R01157</t>
  </si>
  <si>
    <t>R01158</t>
  </si>
  <si>
    <t>R01159</t>
  </si>
  <si>
    <t>R01160</t>
  </si>
  <si>
    <t>R01161</t>
  </si>
  <si>
    <t>C0335</t>
  </si>
  <si>
    <t>R01162</t>
  </si>
  <si>
    <t>R01163</t>
  </si>
  <si>
    <t>R01164</t>
  </si>
  <si>
    <t>R01165</t>
  </si>
  <si>
    <t>hyderabad</t>
  </si>
  <si>
    <t>R01166</t>
  </si>
  <si>
    <t>R01167</t>
  </si>
  <si>
    <t>C0069</t>
  </si>
  <si>
    <t>R01168</t>
  </si>
  <si>
    <t>R01169</t>
  </si>
  <si>
    <t>R01170</t>
  </si>
  <si>
    <t>R01171</t>
  </si>
  <si>
    <t>R01172</t>
  </si>
  <si>
    <t>R01173</t>
  </si>
  <si>
    <t>C0215</t>
  </si>
  <si>
    <t>R01174</t>
  </si>
  <si>
    <t>R01175</t>
  </si>
  <si>
    <t>R01176</t>
  </si>
  <si>
    <t>R01177</t>
  </si>
  <si>
    <t>R01178</t>
  </si>
  <si>
    <t>C0516</t>
  </si>
  <si>
    <t>R01179</t>
  </si>
  <si>
    <t>R01180</t>
  </si>
  <si>
    <t>R01181</t>
  </si>
  <si>
    <t>R01182</t>
  </si>
  <si>
    <t>R01183</t>
  </si>
  <si>
    <t>R01184</t>
  </si>
  <si>
    <t>C0066</t>
  </si>
  <si>
    <t>R01185</t>
  </si>
  <si>
    <t>R01186</t>
  </si>
  <si>
    <t>C0371</t>
  </si>
  <si>
    <t>R01187</t>
  </si>
  <si>
    <t>R01188</t>
  </si>
  <si>
    <t>R01189</t>
  </si>
  <si>
    <t>R01190</t>
  </si>
  <si>
    <t>R01191</t>
  </si>
  <si>
    <t>R01192</t>
  </si>
  <si>
    <t>R01193</t>
  </si>
  <si>
    <t>R01194</t>
  </si>
  <si>
    <t>R01195</t>
  </si>
  <si>
    <t>R01196</t>
  </si>
  <si>
    <t>C0134</t>
  </si>
  <si>
    <t>R01197</t>
  </si>
  <si>
    <t>R01198</t>
  </si>
  <si>
    <t>R01199</t>
  </si>
  <si>
    <t>R01200</t>
  </si>
  <si>
    <t>C0188</t>
  </si>
  <si>
    <t>Unknown</t>
  </si>
  <si>
    <t>Order_Month</t>
  </si>
  <si>
    <t>Order_Year</t>
  </si>
  <si>
    <t>Profit_Margin</t>
  </si>
  <si>
    <t>KPI</t>
  </si>
  <si>
    <t>Value</t>
  </si>
  <si>
    <t>Total Sales</t>
  </si>
  <si>
    <t>Total Orders</t>
  </si>
  <si>
    <t>Average Order Value</t>
  </si>
  <si>
    <t>Total Customers</t>
  </si>
  <si>
    <t>Total Quantity</t>
  </si>
  <si>
    <t>Total Profit</t>
  </si>
  <si>
    <t>Profit Margin</t>
  </si>
  <si>
    <t>Grand Total</t>
  </si>
  <si>
    <t>Sum of Sales</t>
  </si>
  <si>
    <t>Top Category by Sales</t>
  </si>
  <si>
    <t>Top Product by Sales</t>
  </si>
  <si>
    <t>₹705,219.66</t>
  </si>
  <si>
    <t>Top City by Sales</t>
  </si>
  <si>
    <t>Jan</t>
  </si>
  <si>
    <t>Feb</t>
  </si>
  <si>
    <t>Mar</t>
  </si>
  <si>
    <t>Apr</t>
  </si>
  <si>
    <t>May</t>
  </si>
  <si>
    <t>Jun</t>
  </si>
  <si>
    <t>Jul</t>
  </si>
  <si>
    <t>Aug</t>
  </si>
  <si>
    <t>Sep</t>
  </si>
  <si>
    <t>Oct</t>
  </si>
  <si>
    <t>Nov</t>
  </si>
  <si>
    <t>Dec</t>
  </si>
  <si>
    <t>Sum of Profit</t>
  </si>
  <si>
    <t>Top Category by Profit</t>
  </si>
  <si>
    <t>₹875,025.58</t>
  </si>
  <si>
    <t>Top Sales Channel</t>
  </si>
  <si>
    <t>Count of Order_ID</t>
  </si>
  <si>
    <t>Returned Orders</t>
  </si>
  <si>
    <t>Return Rate</t>
  </si>
  <si>
    <t>Top Customer by Sales</t>
  </si>
  <si>
    <t>₹90,247.39</t>
  </si>
  <si>
    <t>Top Payment Mode</t>
  </si>
  <si>
    <t>Top Sales Year</t>
  </si>
  <si>
    <t>Retail Sales Analysis Dashboard</t>
  </si>
  <si>
    <t>Sales by Category</t>
  </si>
  <si>
    <t>Sales by Product</t>
  </si>
  <si>
    <t>Sales by City</t>
  </si>
  <si>
    <t>Monthly Sales Trend</t>
  </si>
  <si>
    <t>Profit by Category</t>
  </si>
  <si>
    <t>Sales by Channel</t>
  </si>
  <si>
    <t>Returned Orders Analysis</t>
  </si>
  <si>
    <t>Top Customers by Sales</t>
  </si>
  <si>
    <t>Sales by Payment Mode</t>
  </si>
  <si>
    <t>Sales by Year</t>
  </si>
  <si>
    <t>Business Insights &amp; Recommendations</t>
  </si>
  <si>
    <t>Insight 1 — Fashion is the strongest category</t>
  </si>
  <si>
    <r>
      <t>Actual Observation:</t>
    </r>
    <r>
      <rPr>
        <sz val="11"/>
        <rFont val="Carlito"/>
      </rPr>
      <t xml:space="preserve"> Fashion generated the highest sales of </t>
    </r>
    <r>
      <rPr>
        <b/>
        <sz val="11"/>
        <rFont val="Carlito"/>
      </rPr>
      <t>₹2,936,782.56</t>
    </r>
    <r>
      <rPr>
        <sz val="11"/>
        <rFont val="Carlito"/>
      </rPr>
      <t xml:space="preserve"> and the highest profit of </t>
    </r>
    <r>
      <rPr>
        <b/>
        <sz val="11"/>
        <rFont val="Carlito"/>
      </rPr>
      <t>₹875,025.58</t>
    </r>
    <r>
      <rPr>
        <sz val="11"/>
        <rFont val="Carlito"/>
      </rPr>
      <t>.</t>
    </r>
  </si>
  <si>
    <r>
      <t>Business Meaning:</t>
    </r>
    <r>
      <rPr>
        <sz val="11"/>
        <rFont val="Carlito"/>
      </rPr>
      <t xml:space="preserve"> Fashion is the strongest category in both revenue and profitability.</t>
    </r>
  </si>
  <si>
    <r>
      <t>Recommendation:</t>
    </r>
    <r>
      <rPr>
        <sz val="11"/>
        <rFont val="Carlito"/>
      </rPr>
      <t xml:space="preserve"> Maintain strong inventory for Fashion products and use targeted promotions on its best-selling items.</t>
    </r>
  </si>
  <si>
    <t>.</t>
  </si>
  <si>
    <t>Insight 2 — Backpack is the top-selling product</t>
  </si>
  <si>
    <r>
      <t>Actual Observation:</t>
    </r>
    <r>
      <rPr>
        <sz val="11"/>
        <rFont val="Carlito"/>
      </rPr>
      <t xml:space="preserve"> Backpack generated the highest product sales of </t>
    </r>
    <r>
      <rPr>
        <b/>
        <sz val="11"/>
        <rFont val="Carlito"/>
      </rPr>
      <t>₹705,219.66</t>
    </r>
    <r>
      <rPr>
        <sz val="11"/>
        <rFont val="Carlito"/>
      </rPr>
      <t>.</t>
    </r>
  </si>
  <si>
    <r>
      <t>Business Meaning:</t>
    </r>
    <r>
      <rPr>
        <sz val="11"/>
        <rFont val="Carlito"/>
      </rPr>
      <t xml:space="preserve"> Backpack is currently the strongest individual product by revenue.</t>
    </r>
  </si>
  <si>
    <r>
      <t>Recommendation:</t>
    </r>
    <r>
      <rPr>
        <sz val="11"/>
        <rFont val="Carlito"/>
      </rPr>
      <t xml:space="preserve"> Ensure sufficient stock availability and consider using Backpack in promotional campaigns or product bundles.</t>
    </r>
  </si>
  <si>
    <t>Insight 3 — Online channel performs slightly better than Store</t>
  </si>
  <si>
    <r>
      <t>Actual Observation:</t>
    </r>
    <r>
      <rPr>
        <sz val="11"/>
        <rFont val="Carlito"/>
      </rPr>
      <t xml:space="preserve"> Online sales were </t>
    </r>
    <r>
      <rPr>
        <b/>
        <sz val="11"/>
        <rFont val="Carlito"/>
      </rPr>
      <t>₹5,638,053.06</t>
    </r>
    <r>
      <rPr>
        <sz val="11"/>
        <rFont val="Carlito"/>
      </rPr>
      <t xml:space="preserve">, compared with Store sales of </t>
    </r>
    <r>
      <rPr>
        <b/>
        <sz val="11"/>
        <rFont val="Carlito"/>
      </rPr>
      <t>₹5,288,555.27</t>
    </r>
    <r>
      <rPr>
        <sz val="11"/>
        <rFont val="Carlito"/>
      </rPr>
      <t>.</t>
    </r>
  </si>
  <si>
    <r>
      <t>Business Meaning:</t>
    </r>
    <r>
      <rPr>
        <sz val="11"/>
        <rFont val="Carlito"/>
      </rPr>
      <t xml:space="preserve"> Online contributes slightly more revenue than physical Store sales.</t>
    </r>
  </si>
  <si>
    <r>
      <t>Recommendation:</t>
    </r>
    <r>
      <rPr>
        <sz val="11"/>
        <rFont val="Carlito"/>
      </rPr>
      <t xml:space="preserve"> Continue strengthening the online channel while maintaining store performance through channel-specific promotions.</t>
    </r>
  </si>
  <si>
    <r>
      <t>Actual Observation:</t>
    </r>
    <r>
      <rPr>
        <sz val="11"/>
        <rFont val="Carlito"/>
      </rPr>
      <t xml:space="preserve"> </t>
    </r>
    <r>
      <rPr>
        <b/>
        <sz val="11"/>
        <rFont val="Carlito"/>
      </rPr>
      <t>317 out of 1,200 orders</t>
    </r>
    <r>
      <rPr>
        <sz val="11"/>
        <rFont val="Carlito"/>
      </rPr>
      <t xml:space="preserve"> were returned, giving a return rate of approximately </t>
    </r>
    <r>
      <rPr>
        <b/>
        <sz val="11"/>
        <rFont val="Carlito"/>
      </rPr>
      <t>26.4%</t>
    </r>
    <r>
      <rPr>
        <sz val="11"/>
        <rFont val="Carlito"/>
      </rPr>
      <t>.</t>
    </r>
  </si>
  <si>
    <r>
      <t>Business Meaning:</t>
    </r>
    <r>
      <rPr>
        <sz val="11"/>
        <rFont val="Carlito"/>
      </rPr>
      <t xml:space="preserve"> More than one-fourth of orders were returned, which can affect operational efficiency and customer profitability.</t>
    </r>
  </si>
  <si>
    <r>
      <t>Recommendation:</t>
    </r>
    <r>
      <rPr>
        <sz val="11"/>
        <rFont val="Carlito"/>
      </rPr>
      <t xml:space="preserve"> Analyze returned orders by product, category, and channel to identify the main reasons behind returns and reduce avoidable returns.</t>
    </r>
  </si>
  <si>
    <t>Insight 4 — Return rate is relatively high</t>
  </si>
  <si>
    <t>Insight 5 — Mumbai is the strongest sales location</t>
  </si>
  <si>
    <r>
      <t>Actual Observation:</t>
    </r>
    <r>
      <rPr>
        <sz val="11"/>
        <rFont val="Carlito"/>
      </rPr>
      <t xml:space="preserve"> Mumbai generated the highest sales among the cities in the dataset.</t>
    </r>
  </si>
  <si>
    <r>
      <t>Business Meaning:</t>
    </r>
    <r>
      <rPr>
        <sz val="11"/>
        <rFont val="Carlito"/>
      </rPr>
      <t xml:space="preserve"> Mumbai is the strongest location based on revenue performance.</t>
    </r>
  </si>
  <si>
    <r>
      <t>Recommendation:</t>
    </r>
    <r>
      <rPr>
        <sz val="11"/>
        <rFont val="Carlito"/>
      </rPr>
      <t xml:space="preserve"> Prioritize inventory availability and targeted marketing in Mumbai while studying successful patterns that can be applied to other cities.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</si>
</sst>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4009]\ #,##0.00"/>
    <numFmt numFmtId="172" formatCode="0.0%"/>
  </numFmts>
  <fonts count="10">
    <font>
      <sz val="11"/>
      <name val="Carlito"/>
    </font>
    <font>
      <b/>
      <sz val="11"/>
      <color rgb="FFFFFFFF"/>
      <name val="Carlito"/>
    </font>
    <font>
      <sz val="11"/>
      <name val="Carlito"/>
    </font>
    <font>
      <sz val="10"/>
      <name val="Arial Unicode MS"/>
    </font>
    <font>
      <b/>
      <sz val="24"/>
      <name val="Carlito"/>
    </font>
    <font>
      <b/>
      <sz val="18"/>
      <name val="Carlito"/>
    </font>
    <font>
      <b/>
      <sz val="12"/>
      <name val="Carlito"/>
    </font>
    <font>
      <b/>
      <sz val="11"/>
      <name val="Carlito"/>
    </font>
    <font>
      <b/>
      <sz val="10"/>
      <name val="Arial Unicode MS"/>
    </font>
    <font>
      <b/>
      <sz val="13.5"/>
      <name val="Carlito"/>
    </font>
  </fonts>
  <fills count="5">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4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164" fontId="0" fillId="0" borderId="0" xfId="0" applyNumberFormat="1"/>
    <xf numFmtId="9" fontId="0" fillId="0" borderId="0" xfId="0" applyNumberFormat="1"/>
    <xf numFmtId="4" fontId="0" fillId="0" borderId="0" xfId="0" applyNumberFormat="1"/>
    <xf numFmtId="0" fontId="1" fillId="3" borderId="0" xfId="0" applyFont="1" applyFill="1" applyAlignment="1">
      <alignment horizontal="center" vertical="center" wrapText="1"/>
    </xf>
    <xf numFmtId="0" fontId="0" fillId="0" borderId="0" xfId="0" applyAlignment="1">
      <alignment horizontal="center"/>
    </xf>
    <xf numFmtId="164" fontId="0" fillId="0" borderId="0" xfId="0" applyNumberFormat="1" applyAlignment="1">
      <alignment horizontal="center"/>
    </xf>
    <xf numFmtId="0" fontId="3" fillId="0" borderId="0" xfId="0" applyFont="1" applyAlignment="1">
      <alignment horizontal="center"/>
    </xf>
    <xf numFmtId="9" fontId="1" fillId="3" borderId="0" xfId="1" applyFont="1" applyFill="1" applyAlignment="1">
      <alignment horizontal="center" vertical="center" wrapText="1"/>
    </xf>
    <xf numFmtId="165" fontId="0" fillId="0" borderId="0" xfId="0" applyNumberFormat="1"/>
    <xf numFmtId="0" fontId="0" fillId="4" borderId="0" xfId="0" applyFill="1" applyAlignment="1">
      <alignment horizontal="center"/>
    </xf>
    <xf numFmtId="9" fontId="0" fillId="4" borderId="0" xfId="1" applyFont="1" applyFill="1" applyAlignment="1">
      <alignment horizontal="center"/>
    </xf>
    <xf numFmtId="0" fontId="0" fillId="4" borderId="0" xfId="0" applyFill="1"/>
    <xf numFmtId="0" fontId="0" fillId="0" borderId="0" xfId="0" pivotButton="1"/>
    <xf numFmtId="0" fontId="0" fillId="0" borderId="0" xfId="0" applyAlignment="1">
      <alignment horizontal="left"/>
    </xf>
    <xf numFmtId="165" fontId="1" fillId="2" borderId="0" xfId="0" applyNumberFormat="1" applyFont="1" applyFill="1" applyAlignment="1">
      <alignment horizontal="center" vertical="center" wrapText="1"/>
    </xf>
    <xf numFmtId="165" fontId="0" fillId="0" borderId="0" xfId="0" applyNumberFormat="1" applyAlignment="1">
      <alignment horizontal="center"/>
    </xf>
    <xf numFmtId="165" fontId="0" fillId="4" borderId="0" xfId="0" applyNumberFormat="1" applyFill="1" applyAlignment="1">
      <alignment horizontal="center"/>
    </xf>
    <xf numFmtId="165" fontId="0" fillId="0" borderId="0" xfId="2" applyNumberFormat="1" applyFont="1"/>
    <xf numFmtId="0" fontId="0" fillId="4" borderId="0" xfId="0" applyFill="1" applyAlignment="1">
      <alignment horizontal="left"/>
    </xf>
    <xf numFmtId="10" fontId="0" fillId="0" borderId="0" xfId="0" applyNumberFormat="1" applyAlignment="1">
      <alignment horizontal="center"/>
    </xf>
    <xf numFmtId="10" fontId="0" fillId="0" borderId="0" xfId="1" applyNumberFormat="1" applyFont="1" applyAlignment="1">
      <alignment horizontal="center"/>
    </xf>
    <xf numFmtId="0" fontId="0" fillId="0" borderId="1" xfId="0" applyBorder="1"/>
    <xf numFmtId="0" fontId="3" fillId="0" borderId="0" xfId="0" applyFont="1" applyAlignment="1">
      <alignment horizontal="left"/>
    </xf>
    <xf numFmtId="10" fontId="0" fillId="0" borderId="0" xfId="1" applyNumberFormat="1" applyFont="1" applyBorder="1" applyAlignment="1">
      <alignment horizontal="center"/>
    </xf>
    <xf numFmtId="10" fontId="0" fillId="4" borderId="0" xfId="1" applyNumberFormat="1" applyFont="1" applyFill="1" applyBorder="1" applyAlignment="1">
      <alignment horizontal="center"/>
    </xf>
    <xf numFmtId="0" fontId="3" fillId="0" borderId="0" xfId="0" applyFont="1"/>
    <xf numFmtId="0" fontId="4" fillId="0" borderId="0" xfId="0" applyFont="1" applyAlignment="1">
      <alignment horizontal="center"/>
    </xf>
    <xf numFmtId="0" fontId="0" fillId="0" borderId="0" xfId="0" applyAlignment="1">
      <alignment horizontal="center"/>
    </xf>
    <xf numFmtId="165"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xf>
    <xf numFmtId="0" fontId="0" fillId="0" borderId="0" xfId="0" applyNumberFormat="1"/>
    <xf numFmtId="0" fontId="0" fillId="0" borderId="0" xfId="0" applyAlignment="1"/>
    <xf numFmtId="0" fontId="7" fillId="0" borderId="0" xfId="0" applyFont="1" applyAlignment="1">
      <alignment horizontal="center"/>
    </xf>
    <xf numFmtId="0" fontId="8" fillId="0" borderId="0" xfId="0" applyFont="1" applyAlignment="1">
      <alignment horizontal="center"/>
    </xf>
    <xf numFmtId="172" fontId="5" fillId="0" borderId="0" xfId="0" applyNumberFormat="1" applyFont="1" applyAlignment="1">
      <alignment horizontal="center"/>
    </xf>
    <xf numFmtId="0" fontId="7" fillId="4" borderId="0" xfId="0" applyFont="1" applyFill="1" applyAlignment="1">
      <alignment horizontal="center"/>
    </xf>
    <xf numFmtId="0" fontId="7" fillId="0" borderId="0" xfId="0" applyFont="1"/>
    <xf numFmtId="0" fontId="0" fillId="4" borderId="0" xfId="0" applyFill="1" applyAlignment="1">
      <alignment wrapText="1"/>
    </xf>
    <xf numFmtId="0" fontId="7" fillId="0" borderId="0" xfId="0" applyFont="1" applyAlignment="1">
      <alignment vertical="center"/>
    </xf>
    <xf numFmtId="0" fontId="7" fillId="0" borderId="0" xfId="0" applyFont="1" applyAlignment="1"/>
    <xf numFmtId="0" fontId="9" fillId="0" borderId="0" xfId="0" applyFont="1" applyAlignment="1">
      <alignment vertical="center"/>
    </xf>
  </cellXfs>
  <cellStyles count="3">
    <cellStyle name="Currency" xfId="2" builtinId="4"/>
    <cellStyle name="Normal" xfId="0" builtinId="0"/>
    <cellStyle name="Percent" xfId="1" builtinId="5"/>
  </cellStyles>
  <dxfs count="37">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numFmt numFmtId="165" formatCode="[$₹-4009]\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00"/>
    </dxf>
    <dxf>
      <numFmt numFmtId="165" formatCode="[$₹-4009]\ #,##0.00"/>
    </dxf>
    <dxf>
      <numFmt numFmtId="165" formatCode="[$₹-4009]\ #,##0.00"/>
    </dxf>
    <dxf>
      <fill>
        <patternFill patternType="solid">
          <fgColor indexed="64"/>
          <bgColor theme="0"/>
        </patternFill>
      </fil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Unicode MS"/>
        <scheme val="none"/>
      </font>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alignment horizontal="center" textRotation="0" indent="0" justifyLastLine="0" shrinkToFit="0" readingOrder="0"/>
    </dxf>
    <dxf>
      <numFmt numFmtId="0" formatCode="General"/>
      <alignment horizontal="center" textRotation="0" indent="0" justifyLastLine="0" shrinkToFit="0" readingOrder="0"/>
    </dxf>
    <dxf>
      <numFmt numFmtId="0" formatCode="General"/>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5" formatCode="[$₹-4009]\ #,##0.00"/>
      <alignment horizontal="center" vertical="bottom" textRotation="0" wrapText="0" indent="0" justifyLastLine="0" shrinkToFit="0" readingOrder="0"/>
    </dxf>
    <dxf>
      <numFmt numFmtId="165" formatCode="[$₹-4009]\ #,##0.00"/>
      <alignment horizontal="center" vertical="bottom" textRotation="0" wrapText="0" indent="0" justifyLastLine="0" shrinkToFit="0" readingOrder="0"/>
    </dxf>
    <dxf>
      <numFmt numFmtId="165" formatCode="[$₹-4009]\ #,##0.00"/>
      <alignment horizontal="center" textRotation="0" indent="0" justifyLastLine="0" shrinkToFit="0" readingOrder="0"/>
    </dxf>
    <dxf>
      <numFmt numFmtId="14" formatCode="0.00%"/>
      <alignment horizontal="center" textRotation="0" indent="0" justifyLastLine="0" shrinkToFit="0" readingOrder="0"/>
    </dxf>
    <dxf>
      <numFmt numFmtId="165" formatCode="[$₹-4009]\ #,##0.00"/>
      <alignment horizontal="center" vertical="bottom"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4" formatCode="yyyy\-mm\-dd"/>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[01_Retail_Excel_Project.xlsx]Pivot_Tables!PivotTable4</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Pivot_Tables!$K$2</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Pivot_Tables!$J$3:$J$15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Pivot_Tables!$K$3:$K$15</c:f>
              <c:numCache>
                <c:formatCode>[$₹-4009]\ #,##0.00</c:formatCode>
                <c:ptCount val="12"/>
                <c:pt idx="0">
                  <c:v>1245910.9199999997</c:v>
                </c:pt>
                <c:pt idx="1">
                  <c:v>1085010.9700000002</c:v>
                </c:pt>
                <c:pt idx="2">
                  <c:v>1006006.2699999998</c:v>
                </c:pt>
                <c:pt idx="3">
                  <c:v>1186986.5500000003</c:v>
                </c:pt>
                <c:pt idx="4">
                  <c:v>1043253.7300000003</c:v>
                </c:pt>
                <c:pt idx="5">
                  <c:v>950508.12999999977</c:v>
                </c:pt>
                <c:pt idx="6">
                  <c:v>1334992.419999999</c:v>
                </c:pt>
                <c:pt idx="7">
                  <c:v>923326.75000000012</c:v>
                </c:pt>
                <c:pt idx="8">
                  <c:v>663415.58000000019</c:v>
                </c:pt>
                <c:pt idx="9">
                  <c:v>435920.88</c:v>
                </c:pt>
                <c:pt idx="10">
                  <c:v>564496.56000000006</c:v>
                </c:pt>
                <c:pt idx="11">
                  <c:v>486779.57</c:v>
                </c:pt>
              </c:numCache>
            </c:numRef>
          </c:val>
          <c:smooth val="0"/>
          <c:extLst>
            <c:ext xmlns:c16="http://schemas.microsoft.com/office/drawing/2014/chart" uri="{C3380CC4-5D6E-409C-BE32-E72D297353CC}">
              <c16:uniqueId val="{00000000-F28D-41B7-9651-29A2C647C757}"/>
            </c:ext>
          </c:extLst>
        </c:ser>
        <c:dLbls>
          <c:showLegendKey val="0"/>
          <c:showVal val="0"/>
          <c:showCatName val="0"/>
          <c:showSerName val="0"/>
          <c:showPercent val="0"/>
          <c:showBubbleSize val="0"/>
        </c:dLbls>
        <c:marker val="1"/>
        <c:smooth val="0"/>
        <c:axId val="4192384"/>
        <c:axId val="1692772352"/>
      </c:lineChart>
      <c:catAx>
        <c:axId val="419238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772352"/>
        <c:crosses val="autoZero"/>
        <c:auto val="1"/>
        <c:lblAlgn val="ctr"/>
        <c:lblOffset val="100"/>
        <c:noMultiLvlLbl val="0"/>
      </c:catAx>
      <c:valAx>
        <c:axId val="169277235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4009]\ #,##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Pivot_Tables!$A$3:$A$7</c:f>
              <c:strCache>
                <c:ptCount val="4"/>
                <c:pt idx="0">
                  <c:v>Fashion</c:v>
                </c:pt>
                <c:pt idx="1">
                  <c:v>Home</c:v>
                </c:pt>
                <c:pt idx="2">
                  <c:v>Electronics</c:v>
                </c:pt>
                <c:pt idx="3">
                  <c:v>Beauty</c:v>
                </c:pt>
              </c:strCache>
            </c:strRef>
          </c:cat>
          <c:val>
            <c:numRef>
              <c:f>Pivot_Tables!$B$3:$B$7</c:f>
              <c:numCache>
                <c:formatCode>[$₹-4009]\ #,##0.00</c:formatCode>
                <c:ptCount val="4"/>
                <c:pt idx="0">
                  <c:v>2936782.5599999991</c:v>
                </c:pt>
                <c:pt idx="1">
                  <c:v>2743282.3499999978</c:v>
                </c:pt>
                <c:pt idx="2">
                  <c:v>2701550.68</c:v>
                </c:pt>
                <c:pt idx="3">
                  <c:v>2544992.7400000002</c:v>
                </c:pt>
              </c:numCache>
            </c:numRef>
          </c:val>
          <c:extLst>
            <c:ext xmlns:c16="http://schemas.microsoft.com/office/drawing/2014/chart" uri="{C3380CC4-5D6E-409C-BE32-E72D297353CC}">
              <c16:uniqueId val="{00000000-FAEC-4927-AC71-F95BBFEC6B1E}"/>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[01_Retail_Excel_Project.xlsx]Pivot_Tables!PivotTable2</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Pivot_Tables!$D$3:$D$13</c:f>
              <c:strCache>
                <c:ptCount val="10"/>
                <c:pt idx="0">
                  <c:v>Backpack</c:v>
                </c:pt>
                <c:pt idx="1">
                  <c:v>Mixer</c:v>
                </c:pt>
                <c:pt idx="2">
                  <c:v>Jacket</c:v>
                </c:pt>
                <c:pt idx="3">
                  <c:v>Jeans</c:v>
                </c:pt>
                <c:pt idx="4">
                  <c:v>Power Bank</c:v>
                </c:pt>
                <c:pt idx="5">
                  <c:v>Shampoo</c:v>
                </c:pt>
                <c:pt idx="6">
                  <c:v>Bottle</c:v>
                </c:pt>
                <c:pt idx="7">
                  <c:v>Headphones</c:v>
                </c:pt>
                <c:pt idx="8">
                  <c:v>Cookware</c:v>
                </c:pt>
                <c:pt idx="9">
                  <c:v>Keyboard</c:v>
                </c:pt>
              </c:strCache>
            </c:strRef>
          </c:cat>
          <c:val>
            <c:numRef>
              <c:f>Pivot_Tables!$E$3:$E$13</c:f>
              <c:numCache>
                <c:formatCode>[$₹-4009]\ #,##0.00</c:formatCode>
                <c:ptCount val="10"/>
                <c:pt idx="0">
                  <c:v>705219.66000000015</c:v>
                </c:pt>
                <c:pt idx="1">
                  <c:v>656808.32000000007</c:v>
                </c:pt>
                <c:pt idx="2">
                  <c:v>638609.81999999995</c:v>
                </c:pt>
                <c:pt idx="3">
                  <c:v>630847.47000000032</c:v>
                </c:pt>
                <c:pt idx="4">
                  <c:v>599169.71</c:v>
                </c:pt>
                <c:pt idx="5">
                  <c:v>597672.58000000007</c:v>
                </c:pt>
                <c:pt idx="6">
                  <c:v>592239.68000000005</c:v>
                </c:pt>
                <c:pt idx="7">
                  <c:v>587953.34</c:v>
                </c:pt>
                <c:pt idx="8">
                  <c:v>584478.12000000023</c:v>
                </c:pt>
                <c:pt idx="9">
                  <c:v>567153.21</c:v>
                </c:pt>
              </c:numCache>
            </c:numRef>
          </c:val>
          <c:extLst>
            <c:ext xmlns:c16="http://schemas.microsoft.com/office/drawing/2014/chart" uri="{C3380CC4-5D6E-409C-BE32-E72D297353CC}">
              <c16:uniqueId val="{00000000-DD7B-440F-9A4F-0982DB60F341}"/>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[01_Retail_Excel_Project.xlsx]Pivot_Tables!PivotTable3</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Pivot_Tables!$G$3:$G$14</c:f>
              <c:strCache>
                <c:ptCount val="11"/>
                <c:pt idx="0">
                  <c:v>Mumbai</c:v>
                </c:pt>
                <c:pt idx="1">
                  <c:v>Chennai</c:v>
                </c:pt>
                <c:pt idx="2">
                  <c:v>Bengaluru</c:v>
                </c:pt>
                <c:pt idx="3">
                  <c:v>Hyderabad</c:v>
                </c:pt>
                <c:pt idx="4">
                  <c:v>Noida</c:v>
                </c:pt>
                <c:pt idx="5">
                  <c:v>Pune</c:v>
                </c:pt>
                <c:pt idx="6">
                  <c:v>Delhi</c:v>
                </c:pt>
                <c:pt idx="7">
                  <c:v>Jaipur</c:v>
                </c:pt>
                <c:pt idx="8">
                  <c:v>Kolkata</c:v>
                </c:pt>
                <c:pt idx="9">
                  <c:v>Gurugram</c:v>
                </c:pt>
                <c:pt idx="10">
                  <c:v>Unknown</c:v>
                </c:pt>
              </c:strCache>
            </c:strRef>
          </c:cat>
          <c:val>
            <c:numRef>
              <c:f>Pivot_Tables!$H$3:$H$14</c:f>
              <c:numCache>
                <c:formatCode>[$₹-4009]\ #,##0.00</c:formatCode>
                <c:ptCount val="11"/>
                <c:pt idx="0">
                  <c:v>1329580.5999999996</c:v>
                </c:pt>
                <c:pt idx="1">
                  <c:v>1220391.4899999998</c:v>
                </c:pt>
                <c:pt idx="2">
                  <c:v>1173305.7799999991</c:v>
                </c:pt>
                <c:pt idx="3">
                  <c:v>1172164.7599999998</c:v>
                </c:pt>
                <c:pt idx="4">
                  <c:v>1147705.2499999998</c:v>
                </c:pt>
                <c:pt idx="5">
                  <c:v>1109660.0799999998</c:v>
                </c:pt>
                <c:pt idx="6">
                  <c:v>1105537.6299999999</c:v>
                </c:pt>
                <c:pt idx="7">
                  <c:v>957209.65000000014</c:v>
                </c:pt>
                <c:pt idx="8">
                  <c:v>859738.53</c:v>
                </c:pt>
                <c:pt idx="9">
                  <c:v>800449.41999999981</c:v>
                </c:pt>
                <c:pt idx="10">
                  <c:v>50865.14</c:v>
                </c:pt>
              </c:numCache>
            </c:numRef>
          </c:val>
          <c:extLst>
            <c:ext xmlns:c16="http://schemas.microsoft.com/office/drawing/2014/chart" uri="{C3380CC4-5D6E-409C-BE32-E72D297353CC}">
              <c16:uniqueId val="{00000000-C74A-48A0-A186-AE96F9CE4EA8}"/>
            </c:ext>
          </c:extLst>
        </c:ser>
        <c:dLbls>
          <c:showLegendKey val="0"/>
          <c:showVal val="0"/>
          <c:showCatName val="0"/>
          <c:showSerName val="0"/>
          <c:showPercent val="0"/>
          <c:showBubbleSize val="0"/>
        </c:dLbls>
        <c:gapWidth val="164"/>
        <c:overlap val="-22"/>
        <c:axId val="39881088"/>
        <c:axId val="2049662848"/>
      </c:barChart>
      <c:catAx>
        <c:axId val="3988108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62848"/>
        <c:crosses val="autoZero"/>
        <c:auto val="1"/>
        <c:lblAlgn val="ctr"/>
        <c:lblOffset val="100"/>
        <c:noMultiLvlLbl val="0"/>
      </c:catAx>
      <c:valAx>
        <c:axId val="204966284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108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[01_Retail_Excel_Project.xlsx]Pivot_Tables!PivotTable6</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by Channel</a:t>
            </a:r>
          </a:p>
        </c:rich>
      </c:tx>
      <c:layout>
        <c:manualLayout>
          <c:xMode val="edge"/>
          <c:yMode val="edge"/>
          <c:x val="0.33145122484689415"/>
          <c:y val="1.7497812773403329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pivotFmt>
    </c:pivotFmts>
    <c:plotArea>
      <c:layout/>
      <c:doughnutChart>
        <c:varyColors val="1"/>
        <c:ser>
          <c:idx val="0"/>
          <c:order val="0"/>
          <c:tx>
            <c:strRef>
              <c:f>Pivot_Tables!$Q$2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58A-46D7-992E-2E075D754C4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58A-46D7-992E-2E075D754C4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Pivot_Tables!$P$3:$P$5</c:f>
              <c:strCache>
                <c:ptCount val="2"/>
                <c:pt idx="0">
                  <c:v>Online</c:v>
                </c:pt>
                <c:pt idx="1">
                  <c:v>Store</c:v>
                </c:pt>
              </c:strCache>
            </c:strRef>
          </c:cat>
          <c:val>
            <c:numRef>
              <c:f>Pivot_Tables!$Q$3:$Q$5</c:f>
              <c:numCache>
                <c:formatCode>[$₹-4009]\ #,##0.00</c:formatCode>
                <c:ptCount val="2"/>
                <c:pt idx="0">
                  <c:v>5638053.0600000042</c:v>
                </c:pt>
                <c:pt idx="1">
                  <c:v>5288555.2700000023</c:v>
                </c:pt>
              </c:numCache>
            </c:numRef>
          </c:val>
          <c:extLst>
            <c:ext xmlns:c16="http://schemas.microsoft.com/office/drawing/2014/chart" uri="{C3380CC4-5D6E-409C-BE32-E72D297353CC}">
              <c16:uniqueId val="{00000004-158A-46D7-992E-2E075D754C4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9189829396325462"/>
          <c:y val="0.36138706620005839"/>
          <c:w val="0.19143503937007875"/>
          <c:h val="0.32291776027996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[01_Retail_Excel_Project.xlsx]Pivot_Tables!PivotTable5</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Pivot_Tables!$M$3:$M$7</c:f>
              <c:strCache>
                <c:ptCount val="4"/>
                <c:pt idx="0">
                  <c:v>Fashion</c:v>
                </c:pt>
                <c:pt idx="1">
                  <c:v>Electronics</c:v>
                </c:pt>
                <c:pt idx="2">
                  <c:v>Home</c:v>
                </c:pt>
                <c:pt idx="3">
                  <c:v>Beauty</c:v>
                </c:pt>
              </c:strCache>
            </c:strRef>
          </c:cat>
          <c:val>
            <c:numRef>
              <c:f>Pivot_Tables!$N$3:$N$7</c:f>
              <c:numCache>
                <c:formatCode>[$₹-4009]\ #,##0.00</c:formatCode>
                <c:ptCount val="4"/>
                <c:pt idx="0">
                  <c:v>875025.58000000007</c:v>
                </c:pt>
                <c:pt idx="1">
                  <c:v>834892.70999999985</c:v>
                </c:pt>
                <c:pt idx="2">
                  <c:v>809342.12999999966</c:v>
                </c:pt>
                <c:pt idx="3">
                  <c:v>756632.95000000007</c:v>
                </c:pt>
              </c:numCache>
            </c:numRef>
          </c:val>
          <c:extLst>
            <c:ext xmlns:c16="http://schemas.microsoft.com/office/drawing/2014/chart" uri="{C3380CC4-5D6E-409C-BE32-E72D297353CC}">
              <c16:uniqueId val="{00000000-A2BB-4372-9846-BAE37A98A5E9}"/>
            </c:ext>
          </c:extLst>
        </c:ser>
        <c:dLbls>
          <c:showLegendKey val="0"/>
          <c:showVal val="0"/>
          <c:showCatName val="0"/>
          <c:showSerName val="0"/>
          <c:showPercent val="0"/>
          <c:showBubbleSize val="0"/>
        </c:dLbls>
        <c:gapWidth val="164"/>
        <c:overlap val="-22"/>
        <c:axId val="76212720"/>
        <c:axId val="2049645568"/>
      </c:barChart>
      <c:catAx>
        <c:axId val="7621272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645568"/>
        <c:crosses val="autoZero"/>
        <c:auto val="1"/>
        <c:lblAlgn val="ctr"/>
        <c:lblOffset val="100"/>
        <c:noMultiLvlLbl val="0"/>
      </c:catAx>
      <c:valAx>
        <c:axId val="204964556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1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9526</xdr:colOff>
      <xdr:row>9</xdr:row>
      <xdr:rowOff>9525</xdr:rowOff>
    </xdr:from>
    <xdr:to>
      <xdr:col>6</xdr:col>
      <xdr:colOff>676276</xdr:colOff>
      <xdr:row>22</xdr:row>
      <xdr:rowOff>0</xdr:rowOff>
    </xdr:to>
    <xdr:graphicFrame macro="">
      <xdr:nvGraphicFramePr>
        <xdr:cNvPr id="2" name="Chart 1">
          <a:extLst>
            <a:ext uri="{FF2B5EF4-FFF2-40B4-BE49-F238E27FC236}">
              <a16:creationId xmlns:a16="http://schemas.microsoft.com/office/drawing/2014/main" id="{74ED7120-C846-43D8-8133-7503DF217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685799</xdr:colOff>
      <xdr:row>9</xdr:row>
      <xdr:rowOff>0</xdr:rowOff>
    </xdr:from>
    <xdr:to>
      <xdr:col>13</xdr:col>
      <xdr:colOff>679174</xdr:colOff>
      <xdr:row>22</xdr:row>
      <xdr:rowOff>0</xdr:rowOff>
    </xdr:to>
    <xdr:graphicFrame macro="">
      <xdr:nvGraphicFramePr>
        <xdr:cNvPr id="4" name="Chart 3">
          <a:extLst>
            <a:ext uri="{FF2B5EF4-FFF2-40B4-BE49-F238E27FC236}">
              <a16:creationId xmlns:a16="http://schemas.microsoft.com/office/drawing/2014/main" id="{2D7F5CDF-B670-4B72-B937-2FE8EC0B6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22</xdr:row>
      <xdr:rowOff>180974</xdr:rowOff>
    </xdr:from>
    <xdr:to>
      <xdr:col>6</xdr:col>
      <xdr:colOff>676275</xdr:colOff>
      <xdr:row>37</xdr:row>
      <xdr:rowOff>180974</xdr:rowOff>
    </xdr:to>
    <xdr:graphicFrame macro="">
      <xdr:nvGraphicFramePr>
        <xdr:cNvPr id="5" name="Chart 4">
          <a:extLst>
            <a:ext uri="{FF2B5EF4-FFF2-40B4-BE49-F238E27FC236}">
              <a16:creationId xmlns:a16="http://schemas.microsoft.com/office/drawing/2014/main" id="{5BFC4A99-9817-451B-A080-C23059D6E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xdr:colOff>
      <xdr:row>23</xdr:row>
      <xdr:rowOff>0</xdr:rowOff>
    </xdr:from>
    <xdr:to>
      <xdr:col>14</xdr:col>
      <xdr:colOff>0</xdr:colOff>
      <xdr:row>37</xdr:row>
      <xdr:rowOff>171450</xdr:rowOff>
    </xdr:to>
    <xdr:graphicFrame macro="">
      <xdr:nvGraphicFramePr>
        <xdr:cNvPr id="6" name="Chart 5">
          <a:extLst>
            <a:ext uri="{FF2B5EF4-FFF2-40B4-BE49-F238E27FC236}">
              <a16:creationId xmlns:a16="http://schemas.microsoft.com/office/drawing/2014/main" id="{1FEECBF9-DD3A-41A2-89A0-2AC09EB78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39</xdr:row>
      <xdr:rowOff>9525</xdr:rowOff>
    </xdr:from>
    <xdr:to>
      <xdr:col>5</xdr:col>
      <xdr:colOff>679174</xdr:colOff>
      <xdr:row>52</xdr:row>
      <xdr:rowOff>0</xdr:rowOff>
    </xdr:to>
    <xdr:graphicFrame macro="">
      <xdr:nvGraphicFramePr>
        <xdr:cNvPr id="7" name="Chart 6">
          <a:extLst>
            <a:ext uri="{FF2B5EF4-FFF2-40B4-BE49-F238E27FC236}">
              <a16:creationId xmlns:a16="http://schemas.microsoft.com/office/drawing/2014/main" id="{DFE2CBDA-2C16-4C66-B6F1-B45311862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39</xdr:row>
      <xdr:rowOff>8283</xdr:rowOff>
    </xdr:from>
    <xdr:to>
      <xdr:col>13</xdr:col>
      <xdr:colOff>679174</xdr:colOff>
      <xdr:row>51</xdr:row>
      <xdr:rowOff>173936</xdr:rowOff>
    </xdr:to>
    <xdr:graphicFrame macro="">
      <xdr:nvGraphicFramePr>
        <xdr:cNvPr id="8" name="Chart 7">
          <a:extLst>
            <a:ext uri="{FF2B5EF4-FFF2-40B4-BE49-F238E27FC236}">
              <a16:creationId xmlns:a16="http://schemas.microsoft.com/office/drawing/2014/main" id="{895BCFB7-9F9C-4AD9-ACA0-B30C07C99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10767</xdr:colOff>
      <xdr:row>3</xdr:row>
      <xdr:rowOff>8282</xdr:rowOff>
    </xdr:from>
    <xdr:to>
      <xdr:col>18</xdr:col>
      <xdr:colOff>0</xdr:colOff>
      <xdr:row>6</xdr:row>
      <xdr:rowOff>87924</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C4881109-007C-BF2B-CB77-BC2085E897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535767" y="538961"/>
              <a:ext cx="2710662" cy="61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14909</xdr:colOff>
      <xdr:row>7</xdr:row>
      <xdr:rowOff>178076</xdr:rowOff>
    </xdr:from>
    <xdr:to>
      <xdr:col>18</xdr:col>
      <xdr:colOff>0</xdr:colOff>
      <xdr:row>11</xdr:row>
      <xdr:rowOff>82826</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15D44B59-95F6-92AD-8CEF-4A151C4DBB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39909" y="1416326"/>
              <a:ext cx="2706520" cy="6123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2484</xdr:colOff>
      <xdr:row>12</xdr:row>
      <xdr:rowOff>182216</xdr:rowOff>
    </xdr:from>
    <xdr:to>
      <xdr:col>18</xdr:col>
      <xdr:colOff>0</xdr:colOff>
      <xdr:row>16</xdr:row>
      <xdr:rowOff>74544</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211FBD7C-F8B0-C199-A2D2-5782A66E129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527484" y="2304930"/>
              <a:ext cx="2718945" cy="59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14910</xdr:colOff>
      <xdr:row>18</xdr:row>
      <xdr:rowOff>20707</xdr:rowOff>
    </xdr:from>
    <xdr:to>
      <xdr:col>17</xdr:col>
      <xdr:colOff>679174</xdr:colOff>
      <xdr:row>23</xdr:row>
      <xdr:rowOff>73269</xdr:rowOff>
    </xdr:to>
    <mc:AlternateContent xmlns:mc="http://schemas.openxmlformats.org/markup-compatibility/2006">
      <mc:Choice xmlns:a14="http://schemas.microsoft.com/office/drawing/2010/main" Requires="a14">
        <xdr:graphicFrame macro="">
          <xdr:nvGraphicFramePr>
            <xdr:cNvPr id="12" name="Order_Year">
              <a:extLst>
                <a:ext uri="{FF2B5EF4-FFF2-40B4-BE49-F238E27FC236}">
                  <a16:creationId xmlns:a16="http://schemas.microsoft.com/office/drawing/2014/main" id="{904750BE-186A-C21C-0A4F-1A7B1FB21952}"/>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9539910" y="3204778"/>
              <a:ext cx="2705335" cy="937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ezekiel" refreshedDate="46299.016160069441" createdVersion="8" refreshedVersion="8" minRefreshableVersion="3" recordCount="1200" xr:uid="{3C543982-B58D-42F2-8918-9E02FE514CFD}">
  <cacheSource type="worksheet">
    <worksheetSource name="tblRetailClean"/>
  </cacheSource>
  <cacheFields count="18">
    <cacheField name="Order_ID" numFmtId="0">
      <sharedItems count="1200">
        <s v="R01111"/>
        <s v="R00571"/>
        <s v="R00864"/>
        <s v="R00532"/>
        <s v="R00787"/>
        <s v="R00222"/>
        <s v="R01134"/>
        <s v="R00147"/>
        <s v="R00582"/>
        <s v="R00740"/>
        <s v="R00063"/>
        <s v="R00818"/>
        <s v="R00323"/>
        <s v="R00661"/>
        <s v="R01000"/>
        <s v="R01159"/>
        <s v="R00649"/>
        <s v="R01065"/>
        <s v="R00987"/>
        <s v="R00242"/>
        <s v="R00775"/>
        <s v="R00082"/>
        <s v="R00851"/>
        <s v="R00720"/>
        <s v="R00880"/>
        <s v="R00700"/>
        <s v="R01158"/>
        <s v="R00612"/>
        <s v="R00756"/>
        <s v="R00161"/>
        <s v="R00682"/>
        <s v="R00823"/>
        <s v="R00288"/>
        <s v="R01082"/>
        <s v="R00112"/>
        <s v="R00675"/>
        <s v="R00586"/>
        <s v="R01042"/>
        <s v="R00123"/>
        <s v="R00497"/>
        <s v="R00533"/>
        <s v="R00494"/>
        <s v="R00830"/>
        <s v="R01107"/>
        <s v="R00364"/>
        <s v="R01033"/>
        <s v="R00453"/>
        <s v="R00289"/>
        <s v="R00752"/>
        <s v="R00021"/>
        <s v="R00755"/>
        <s v="R01152"/>
        <s v="R01160"/>
        <s v="R00797"/>
        <s v="R00224"/>
        <s v="R00367"/>
        <s v="R00662"/>
        <s v="R01022"/>
        <s v="R00904"/>
        <s v="R00884"/>
        <s v="R00152"/>
        <s v="R00231"/>
        <s v="R01125"/>
        <s v="R01198"/>
        <s v="R00758"/>
        <s v="R00659"/>
        <s v="R01051"/>
        <s v="R00854"/>
        <s v="R00245"/>
        <s v="R00746"/>
        <s v="R00932"/>
        <s v="R00762"/>
        <s v="R00074"/>
        <s v="R00071"/>
        <s v="R00205"/>
        <s v="R00341"/>
        <s v="R00640"/>
        <s v="R00467"/>
        <s v="R00119"/>
        <s v="R00748"/>
        <s v="R00429"/>
        <s v="R00859"/>
        <s v="R00891"/>
        <s v="R00501"/>
        <s v="R00136"/>
        <s v="R00473"/>
        <s v="R00361"/>
        <s v="R00949"/>
        <s v="R00713"/>
        <s v="R00834"/>
        <s v="R00168"/>
        <s v="R00432"/>
        <s v="R00381"/>
        <s v="R00569"/>
        <s v="R00138"/>
        <s v="R00053"/>
        <s v="R00058"/>
        <s v="R00729"/>
        <s v="R00969"/>
        <s v="R00073"/>
        <s v="R00648"/>
        <s v="R00204"/>
        <s v="R00354"/>
        <s v="R00134"/>
        <s v="R00252"/>
        <s v="R00655"/>
        <s v="R00699"/>
        <s v="R00047"/>
        <s v="R00691"/>
        <s v="R00087"/>
        <s v="R00921"/>
        <s v="R00570"/>
        <s v="R00600"/>
        <s v="R01185"/>
        <s v="R00927"/>
        <s v="R00051"/>
        <s v="R00549"/>
        <s v="R00901"/>
        <s v="R00440"/>
        <s v="R01189"/>
        <s v="R00351"/>
        <s v="R01135"/>
        <s v="R01017"/>
        <s v="R01161"/>
        <s v="R00898"/>
        <s v="R00924"/>
        <s v="R00412"/>
        <s v="R00642"/>
        <s v="R00664"/>
        <s v="R00696"/>
        <s v="R00419"/>
        <s v="R00526"/>
        <s v="R00761"/>
        <s v="R00680"/>
        <s v="R01071"/>
        <s v="R00995"/>
        <s v="R00173"/>
        <s v="R00603"/>
        <s v="R00522"/>
        <s v="R00008"/>
        <s v="R00745"/>
        <s v="R00559"/>
        <s v="R00594"/>
        <s v="R01068"/>
        <s v="R00980"/>
        <s v="R01177"/>
        <s v="R00130"/>
        <s v="R00014"/>
        <s v="R00068"/>
        <s v="R00246"/>
        <s v="R00394"/>
        <s v="R01172"/>
        <s v="R01103"/>
        <s v="R00602"/>
        <s v="R00409"/>
        <s v="R00765"/>
        <s v="R00131"/>
        <s v="R00424"/>
        <s v="R00875"/>
        <s v="R00694"/>
        <s v="R01057"/>
        <s v="R00470"/>
        <s v="R00489"/>
        <s v="R00067"/>
        <s v="R00917"/>
        <s v="R00169"/>
        <s v="R00029"/>
        <s v="R00608"/>
        <s v="R00363"/>
        <s v="R01077"/>
        <s v="R01169"/>
        <s v="R00739"/>
        <s v="R00251"/>
        <s v="R00771"/>
        <s v="R01039"/>
        <s v="R00816"/>
        <s v="R00469"/>
        <s v="R00449"/>
        <s v="R00567"/>
        <s v="R00951"/>
        <s v="R00572"/>
        <s v="R01116"/>
        <s v="R01044"/>
        <s v="R00943"/>
        <s v="R00315"/>
        <s v="R00668"/>
        <s v="R00877"/>
        <s v="R00847"/>
        <s v="R00660"/>
        <s v="R01190"/>
        <s v="R00142"/>
        <s v="R00539"/>
        <s v="R00867"/>
        <s v="R00478"/>
        <s v="R00774"/>
        <s v="R00089"/>
        <s v="R00372"/>
        <s v="R00155"/>
        <s v="R00338"/>
        <s v="R00986"/>
        <s v="R00548"/>
        <s v="R00715"/>
        <s v="R00195"/>
        <s v="R00396"/>
        <s v="R00985"/>
        <s v="R00101"/>
        <s v="R00982"/>
        <s v="R00892"/>
        <s v="R00309"/>
        <s v="R00208"/>
        <s v="R00994"/>
        <s v="R00577"/>
        <s v="R00764"/>
        <s v="R01085"/>
        <s v="R00166"/>
        <s v="R00477"/>
        <s v="R00516"/>
        <s v="R00705"/>
        <s v="R00913"/>
        <s v="R00031"/>
        <s v="R00595"/>
        <s v="R00946"/>
        <s v="R00838"/>
        <s v="R00375"/>
        <s v="R00968"/>
        <s v="R01028"/>
        <s v="R00781"/>
        <s v="R00312"/>
        <s v="R00550"/>
        <s v="R00069"/>
        <s v="R00807"/>
        <s v="R01144"/>
        <s v="R00551"/>
        <s v="R00560"/>
        <s v="R00585"/>
        <s v="R00839"/>
        <s v="R00779"/>
        <s v="R01024"/>
        <s v="R00930"/>
        <s v="R00632"/>
        <s v="R00562"/>
        <s v="R00976"/>
        <s v="R01200"/>
        <s v="R00139"/>
        <s v="R00525"/>
        <s v="R00198"/>
        <s v="R01086"/>
        <s v="R00090"/>
        <s v="R00869"/>
        <s v="R00303"/>
        <s v="R01182"/>
        <s v="R00601"/>
        <s v="R00214"/>
        <s v="R01037"/>
        <s v="R00374"/>
        <s v="R00319"/>
        <s v="R00544"/>
        <s v="R01146"/>
        <s v="R00270"/>
        <s v="R01046"/>
        <s v="R00135"/>
        <s v="R00802"/>
        <s v="R00769"/>
        <s v="R00418"/>
        <s v="R00241"/>
        <s v="R00373"/>
        <s v="R00900"/>
        <s v="R01040"/>
        <s v="R00279"/>
        <s v="R00716"/>
        <s v="R00519"/>
        <s v="R00912"/>
        <s v="R00184"/>
        <s v="R00174"/>
        <s v="R00421"/>
        <s v="R00676"/>
        <s v="R00189"/>
        <s v="R00268"/>
        <s v="R00583"/>
        <s v="R00250"/>
        <s v="R01168"/>
        <s v="R00604"/>
        <s v="R00725"/>
        <s v="R00809"/>
        <s v="R00049"/>
        <s v="R00487"/>
        <s v="R00317"/>
        <s v="R00597"/>
        <s v="R00256"/>
        <s v="R00540"/>
        <s v="R00780"/>
        <s v="R00276"/>
        <s v="R00690"/>
        <s v="R00923"/>
        <s v="R00534"/>
        <s v="R01066"/>
        <s v="R00833"/>
        <s v="R00217"/>
        <s v="R00239"/>
        <s v="R00437"/>
        <s v="R00057"/>
        <s v="R00503"/>
        <s v="R00153"/>
        <s v="R00926"/>
        <s v="R00629"/>
        <s v="R00446"/>
        <s v="R00706"/>
        <s v="R00741"/>
        <s v="R00007"/>
        <s v="R00260"/>
        <s v="R00062"/>
        <s v="R00536"/>
        <s v="R00332"/>
        <s v="R00798"/>
        <s v="R00975"/>
        <s v="R00146"/>
        <s v="R00052"/>
        <s v="R00103"/>
        <s v="R00181"/>
        <s v="R00721"/>
        <s v="R00344"/>
        <s v="R01011"/>
        <s v="R00088"/>
        <s v="R00465"/>
        <s v="R00098"/>
        <s v="R00614"/>
        <s v="R00390"/>
        <s v="R00045"/>
        <s v="R00459"/>
        <s v="R00903"/>
        <s v="R01096"/>
        <s v="R00547"/>
        <s v="R00055"/>
        <s v="R00959"/>
        <s v="R00461"/>
        <s v="R00857"/>
        <s v="R01143"/>
        <s v="R00992"/>
        <s v="R00479"/>
        <s v="R00887"/>
        <s v="R01174"/>
        <s v="R01095"/>
        <s v="R00936"/>
        <s v="R01083"/>
        <s v="R00476"/>
        <s v="R00841"/>
        <s v="R01108"/>
        <s v="R01197"/>
        <s v="R00018"/>
        <s v="R01136"/>
        <s v="R00346"/>
        <s v="R00810"/>
        <s v="R00113"/>
        <s v="R01087"/>
        <s v="R01191"/>
        <s v="R01005"/>
        <s v="R00844"/>
        <s v="R00417"/>
        <s v="R00736"/>
        <s v="R00750"/>
        <s v="R00443"/>
        <s v="R00064"/>
        <s v="R00899"/>
        <s v="R00415"/>
        <s v="R00386"/>
        <s v="R00290"/>
        <s v="R01183"/>
        <s v="R00238"/>
        <s v="R01192"/>
        <s v="R01041"/>
        <s v="R01010"/>
        <s v="R01004"/>
        <s v="R00302"/>
        <s v="R01110"/>
        <s v="R00510"/>
        <s v="R00076"/>
        <s v="R00348"/>
        <s v="R00180"/>
        <s v="R01139"/>
        <s v="R01012"/>
        <s v="R01176"/>
        <s v="R01052"/>
        <s v="R01088"/>
        <s v="R00229"/>
        <s v="R01026"/>
        <s v="R01156"/>
        <s v="R00937"/>
        <s v="R00907"/>
        <s v="R01148"/>
        <s v="R00075"/>
        <s v="R00863"/>
        <s v="R00043"/>
        <s v="R01091"/>
        <s v="R00711"/>
        <s v="R00460"/>
        <s v="R00679"/>
        <s v="R00314"/>
        <s v="R00613"/>
        <s v="R00244"/>
        <s v="R00697"/>
        <s v="R00399"/>
        <s v="R00044"/>
        <s v="R01067"/>
        <s v="R00126"/>
        <s v="R01078"/>
        <s v="R00991"/>
        <s v="R01027"/>
        <s v="R00362"/>
        <s v="R00080"/>
        <s v="R00972"/>
        <s v="R00902"/>
        <s v="R01165"/>
        <s v="R00905"/>
        <s v="R00747"/>
        <s v="R00171"/>
        <s v="R00320"/>
        <s v="R00025"/>
        <s v="R00056"/>
        <s v="R00837"/>
        <s v="R00768"/>
        <s v="R00277"/>
        <s v="R00759"/>
        <s v="R01167"/>
        <s v="R00709"/>
        <s v="R00457"/>
        <s v="R00637"/>
        <s v="R01188"/>
        <s v="R00005"/>
        <s v="R01094"/>
        <s v="R00003"/>
        <s v="R00271"/>
        <s v="R00296"/>
        <s v="R01162"/>
        <s v="R01076"/>
        <s v="R00042"/>
        <s v="R00218"/>
        <s v="R00919"/>
        <s v="R00889"/>
        <s v="R00132"/>
        <s v="R01163"/>
        <s v="R00708"/>
        <s v="R01128"/>
        <s v="R00407"/>
        <s v="R00408"/>
        <s v="R00552"/>
        <s v="R01023"/>
        <s v="R00392"/>
        <s v="R00097"/>
        <s v="R00822"/>
        <s v="R00307"/>
        <s v="R01089"/>
        <s v="R00292"/>
        <s v="R00712"/>
        <s v="R00267"/>
        <s v="R00350"/>
        <s v="R00471"/>
        <s v="R00669"/>
        <s v="R00665"/>
        <s v="R00636"/>
        <s v="R00855"/>
        <s v="R00340"/>
        <s v="R00193"/>
        <s v="R01102"/>
        <s v="R01045"/>
        <s v="R00860"/>
        <s v="R00983"/>
        <s v="R00336"/>
        <s v="R00369"/>
        <s v="R00334"/>
        <s v="R00824"/>
        <s v="R00619"/>
        <s v="R00455"/>
        <s v="R01155"/>
        <s v="R00330"/>
        <s v="R00801"/>
        <s v="R00990"/>
        <s v="R01009"/>
        <s v="R00505"/>
        <s v="R00623"/>
        <s v="R00812"/>
        <s v="R01092"/>
        <s v="R00243"/>
        <s v="R00941"/>
        <s v="R01106"/>
        <s v="R00033"/>
        <s v="R00828"/>
        <s v="R00842"/>
        <s v="R00852"/>
        <s v="R00286"/>
        <s v="R00105"/>
        <s v="R00783"/>
        <s v="R00382"/>
        <s v="R00257"/>
        <s v="R00259"/>
        <s v="R00918"/>
        <s v="R00773"/>
        <s v="R00413"/>
        <s v="R00999"/>
        <s v="R00081"/>
        <s v="R00435"/>
        <s v="R00630"/>
        <s v="R00879"/>
        <s v="R00486"/>
        <s v="R00856"/>
        <s v="R00065"/>
        <s v="R01113"/>
        <s v="R00704"/>
        <s v="R01001"/>
        <s v="R00914"/>
        <s v="R00176"/>
        <s v="R00331"/>
        <s v="R00825"/>
        <s v="R00128"/>
        <s v="R00929"/>
        <s v="R00261"/>
        <s v="R00500"/>
        <s v="R00450"/>
        <s v="R00849"/>
        <s v="R00182"/>
        <s v="R00111"/>
        <s v="R01016"/>
        <s v="R00731"/>
        <s v="R01048"/>
        <s v="R00411"/>
        <s v="R00235"/>
        <s v="R00150"/>
        <s v="R01140"/>
        <s v="R00106"/>
        <s v="R01184"/>
        <s v="R01187"/>
        <s v="R00034"/>
        <s v="R00263"/>
        <s v="R00355"/>
        <s v="R00751"/>
        <s v="R00164"/>
        <s v="R00686"/>
        <s v="R00537"/>
        <s v="R00035"/>
        <s v="R00796"/>
        <s v="R00301"/>
        <s v="R01196"/>
        <s v="R00979"/>
        <s v="R00515"/>
        <s v="R00591"/>
        <s v="R00529"/>
        <s v="R00865"/>
        <s v="R00333"/>
        <s v="R00553"/>
        <s v="R00387"/>
        <s v="R00100"/>
        <s v="R00803"/>
        <s v="R00971"/>
        <s v="R00673"/>
        <s v="R00125"/>
        <s v="R00667"/>
        <s v="R00211"/>
        <s v="R00495"/>
        <s v="R00010"/>
        <s v="R00078"/>
        <s v="R00861"/>
        <s v="R00024"/>
        <s v="R00391"/>
        <s v="R00032"/>
        <s v="R00703"/>
        <s v="R00616"/>
        <s v="R01194"/>
        <s v="R00795"/>
        <s v="R00370"/>
        <s v="R00499"/>
        <s v="R01025"/>
        <s v="R00832"/>
        <s v="R00876"/>
        <s v="R00458"/>
        <s v="R00650"/>
        <s v="R00160"/>
        <s v="R00624"/>
        <s v="R00265"/>
        <s v="R00452"/>
        <s v="R00964"/>
        <s v="R00202"/>
        <s v="R00945"/>
        <s v="R00763"/>
        <s v="R00358"/>
        <s v="R00347"/>
        <s v="R01034"/>
        <s v="R01115"/>
        <s v="R00948"/>
        <s v="R00083"/>
        <s v="R00672"/>
        <s v="R00821"/>
        <s v="R00248"/>
        <s v="R00227"/>
        <s v="R00960"/>
        <s v="R00162"/>
        <s v="R00030"/>
        <s v="R01062"/>
        <s v="R00275"/>
        <s v="R00122"/>
        <s v="R00970"/>
        <s v="R00989"/>
        <s v="R01147"/>
        <s v="R01133"/>
        <s v="R00151"/>
        <s v="R00326"/>
        <s v="R00527"/>
        <s v="R00607"/>
        <s v="R00610"/>
        <s v="R00953"/>
        <s v="R00353"/>
        <s v="R00804"/>
        <s v="R00371"/>
        <s v="R00016"/>
        <s v="R00454"/>
        <s v="R00335"/>
        <s v="R00107"/>
        <s v="R00228"/>
        <s v="R01075"/>
        <s v="R00698"/>
        <s v="R01036"/>
        <s v="R00342"/>
        <s v="R00266"/>
        <s v="R00234"/>
        <s v="R01130"/>
        <s v="R01053"/>
        <s v="R00808"/>
        <s v="R00617"/>
        <s v="R00663"/>
        <s v="R00357"/>
        <s v="R00678"/>
        <s v="R00356"/>
        <s v="R00628"/>
        <s v="R00646"/>
        <s v="R00398"/>
        <s v="R00784"/>
        <s v="R00377"/>
        <s v="R01121"/>
        <s v="R00555"/>
        <s v="R00653"/>
        <s v="R00278"/>
        <s v="R00366"/>
        <s v="R01175"/>
        <s v="R00236"/>
        <s v="R00621"/>
        <s v="R01120"/>
        <s v="R00439"/>
        <s v="R00576"/>
        <s v="R00022"/>
        <s v="R00380"/>
        <s v="R00393"/>
        <s v="R00933"/>
        <s v="R00060"/>
        <s v="R00395"/>
        <s v="R01059"/>
        <s v="R00096"/>
        <s v="R01072"/>
        <s v="R00046"/>
        <s v="R01141"/>
        <s v="R00749"/>
        <s v="R01126"/>
        <s v="R00322"/>
        <s v="R00144"/>
        <s v="R00767"/>
        <s v="R00282"/>
        <s v="R01031"/>
        <s v="R00777"/>
        <s v="R00212"/>
        <s v="R00687"/>
        <s v="R00498"/>
        <s v="R00520"/>
        <s v="R00925"/>
        <s v="R00141"/>
        <s v="R00622"/>
        <s v="R00468"/>
        <s v="R00656"/>
        <s v="R00077"/>
        <s v="R00197"/>
        <s v="R00566"/>
        <s v="R00225"/>
        <s v="R00820"/>
        <s v="R00175"/>
        <s v="R00428"/>
        <s v="R00472"/>
        <s v="R01070"/>
        <s v="R00695"/>
        <s v="R00496"/>
        <s v="R00935"/>
        <s v="R00159"/>
        <s v="R00633"/>
        <s v="R00093"/>
        <s v="R00947"/>
        <s v="R00565"/>
        <s v="R00070"/>
        <s v="R00325"/>
        <s v="R00365"/>
        <s v="R00743"/>
        <s v="R00996"/>
        <s v="R00908"/>
        <s v="R00846"/>
        <s v="R00558"/>
        <s v="R00862"/>
        <s v="R00684"/>
        <s v="R00647"/>
        <s v="R00952"/>
        <s v="R00883"/>
        <s v="R00940"/>
        <s v="R00843"/>
        <s v="R00514"/>
        <s v="R00609"/>
        <s v="R00427"/>
        <s v="R01199"/>
        <s v="R00023"/>
        <s v="R00311"/>
        <s v="R00094"/>
        <s v="R00209"/>
        <s v="R00811"/>
        <s v="R01074"/>
        <s v="R01145"/>
        <s v="R00283"/>
        <s v="R00528"/>
        <s v="R00059"/>
        <s v="R00931"/>
        <s v="R01003"/>
        <s v="R00728"/>
        <s v="R00826"/>
        <s v="R00658"/>
        <s v="R00790"/>
        <s v="R00644"/>
        <s v="R00183"/>
        <s v="R00491"/>
        <s v="R00701"/>
        <s v="R00167"/>
        <s v="R00733"/>
        <s v="R00273"/>
        <s v="R00291"/>
        <s v="R00186"/>
        <s v="R00462"/>
        <s v="R00216"/>
        <s v="R00611"/>
        <s v="R00480"/>
        <s v="R00379"/>
        <s v="R00599"/>
        <s v="R00104"/>
        <s v="R00507"/>
        <s v="R00563"/>
        <s v="R01056"/>
        <s v="R00882"/>
        <s v="R01063"/>
        <s v="R00894"/>
        <s v="R00170"/>
        <s v="R00484"/>
        <s v="R00590"/>
        <s v="R01093"/>
        <s v="R00240"/>
        <s v="R00039"/>
        <s v="R00598"/>
        <s v="R01030"/>
        <s v="R00026"/>
        <s v="R00327"/>
        <s v="R00050"/>
        <s v="R00481"/>
        <s v="R00207"/>
        <s v="R00482"/>
        <s v="R00488"/>
        <s v="R00850"/>
        <s v="R01142"/>
        <s v="R00873"/>
        <s v="R01131"/>
        <s v="R01109"/>
        <s v="R00584"/>
        <s v="R01129"/>
        <s v="R00116"/>
        <s v="R00102"/>
        <s v="R01029"/>
        <s v="R00085"/>
        <s v="R00388"/>
        <s v="R00420"/>
        <s v="R00906"/>
        <s v="R00237"/>
        <s v="R00513"/>
        <s v="R00230"/>
        <s v="R00893"/>
        <s v="R00702"/>
        <s v="R00194"/>
        <s v="R01127"/>
        <s v="R00685"/>
        <s v="R00299"/>
        <s v="R00163"/>
        <s v="R00939"/>
        <s v="R00742"/>
        <s v="R00827"/>
        <s v="R00928"/>
        <s v="R00814"/>
        <s v="R00727"/>
        <s v="R00041"/>
        <s v="R00770"/>
        <s v="R00909"/>
        <s v="R00343"/>
        <s v="R00564"/>
        <s v="R00254"/>
        <s v="R00054"/>
        <s v="R01002"/>
        <s v="R00274"/>
        <s v="R00872"/>
        <s v="R00620"/>
        <s v="R00693"/>
        <s v="R00179"/>
        <s v="R00654"/>
        <s v="R00345"/>
        <s v="R00028"/>
        <s v="R01119"/>
        <s v="R00977"/>
        <s v="R00956"/>
        <s v="R00280"/>
        <s v="R01050"/>
        <s v="R00718"/>
        <s v="R00606"/>
        <s v="R00397"/>
        <s v="R00593"/>
        <s v="R00281"/>
        <s v="R00719"/>
        <s v="R00955"/>
        <s v="R00744"/>
        <s v="R01154"/>
        <s v="R00148"/>
        <s v="R00578"/>
        <s v="R00233"/>
        <s v="R00561"/>
        <s v="R00723"/>
        <s v="R00306"/>
        <s v="R00305"/>
        <s v="R00677"/>
        <s v="R00938"/>
        <s v="R00853"/>
        <s v="R01049"/>
        <s v="R00760"/>
        <s v="R00215"/>
        <s v="R00871"/>
        <s v="R00785"/>
        <s v="R00967"/>
        <s v="R01069"/>
        <s v="R00378"/>
        <s v="R00541"/>
        <s v="R00310"/>
        <s v="R00524"/>
        <s v="R00036"/>
        <s v="R00934"/>
        <s v="R00897"/>
        <s v="R00635"/>
        <s v="R00434"/>
        <s v="R00426"/>
        <s v="R01047"/>
        <s v="R00738"/>
        <s v="R00557"/>
        <s v="R00829"/>
        <s v="R00944"/>
        <s v="R00403"/>
        <s v="R00596"/>
        <s v="R00573"/>
        <s v="R00337"/>
        <s v="R00213"/>
        <s v="R01038"/>
        <s v="R00966"/>
        <s v="R00474"/>
        <s v="R00574"/>
        <s v="R00962"/>
        <s v="R00272"/>
        <s v="R00981"/>
        <s v="R00973"/>
        <s v="R00084"/>
        <s v="R00625"/>
        <s v="R00295"/>
        <s v="R00681"/>
        <s v="R00200"/>
        <s v="R00206"/>
        <s v="R00019"/>
        <s v="R00638"/>
        <s v="R00588"/>
        <s v="R00133"/>
        <s v="R00436"/>
        <s v="R00988"/>
        <s v="R00188"/>
        <s v="R00627"/>
        <s v="R00831"/>
        <s v="R00870"/>
        <s v="R00121"/>
        <s v="R00546"/>
        <s v="R00523"/>
        <s v="R00352"/>
        <s v="R00920"/>
        <s v="R00219"/>
        <s v="R00012"/>
        <s v="R00671"/>
        <s v="R01180"/>
        <s v="R01084"/>
        <s v="R00011"/>
        <s v="R01014"/>
        <s v="R01181"/>
        <s v="R00993"/>
        <s v="R00360"/>
        <s v="R01061"/>
        <s v="R00475"/>
        <s v="R00006"/>
        <s v="R00592"/>
        <s v="R00730"/>
        <s v="R01043"/>
        <s v="R00714"/>
        <s v="R00789"/>
        <s v="R00587"/>
        <s v="R00772"/>
        <s v="R00404"/>
        <s v="R00858"/>
        <s v="R00414"/>
        <s v="R00048"/>
        <s v="R00466"/>
        <s v="R00615"/>
        <s v="R01054"/>
        <s v="R01055"/>
        <s v="R00813"/>
        <s v="R01064"/>
        <s v="R00127"/>
        <s v="R00300"/>
        <s v="R01138"/>
        <s v="R00072"/>
        <s v="R01166"/>
        <s v="R00285"/>
        <s v="R00249"/>
        <s v="R00788"/>
        <s v="R00674"/>
        <s v="R00400"/>
        <s v="R00154"/>
        <s v="R00149"/>
        <s v="R00099"/>
        <s v="R00284"/>
        <s v="R00734"/>
        <s v="R00316"/>
        <s v="R00575"/>
        <s v="R00792"/>
        <s v="R00683"/>
        <s v="R00464"/>
        <s v="R01099"/>
        <s v="R00845"/>
        <s v="R00717"/>
        <s v="R00531"/>
        <s v="R00954"/>
        <s v="R00359"/>
        <s v="R00066"/>
        <s v="R00247"/>
        <s v="R01124"/>
        <s v="R00942"/>
        <s v="R00385"/>
        <s v="R00145"/>
        <s v="R00626"/>
        <s v="R01098"/>
        <s v="R00191"/>
        <s v="R01073"/>
        <s v="R01058"/>
        <s v="R00732"/>
        <s v="R01032"/>
        <s v="R00172"/>
        <s v="R01153"/>
        <s v="R00110"/>
        <s v="R00264"/>
        <s v="R01123"/>
        <s v="R00124"/>
        <s v="R00118"/>
        <s v="R01007"/>
        <s v="R00383"/>
        <s v="R00580"/>
        <s v="R00192"/>
        <s v="R00848"/>
        <s v="R01018"/>
        <s v="R00406"/>
        <s v="R00817"/>
        <s v="R00799"/>
        <s v="R00114"/>
        <s v="R00140"/>
        <s v="R00896"/>
        <s v="R00223"/>
        <s v="R00185"/>
        <s v="R00210"/>
        <s v="R00456"/>
        <s v="R01101"/>
        <s v="R00431"/>
        <s v="R00027"/>
        <s v="R01112"/>
        <s v="R00866"/>
        <s v="R00438"/>
        <s v="R00778"/>
        <s v="R00754"/>
        <s v="R00368"/>
        <s v="R00634"/>
        <s v="R00605"/>
        <s v="R00485"/>
        <s v="R00666"/>
        <s v="R00806"/>
        <s v="R00726"/>
        <s v="R00888"/>
        <s v="R00692"/>
        <s v="R00794"/>
        <s v="R00910"/>
        <s v="R00957"/>
        <s v="R01170"/>
        <s v="R01006"/>
        <s v="R00308"/>
        <s v="R00915"/>
        <s v="R00504"/>
        <s v="R00444"/>
        <s v="R00885"/>
        <s v="R00530"/>
        <s v="R00974"/>
        <s v="R00511"/>
        <s v="R00287"/>
        <s v="R01060"/>
        <s v="R00657"/>
        <s v="R00502"/>
        <s v="R00840"/>
        <s v="R00079"/>
        <s v="R00137"/>
        <s v="R00535"/>
        <s v="R00410"/>
        <s v="R01090"/>
        <s v="R00017"/>
        <s v="R00707"/>
        <s v="R00203"/>
        <s v="R01193"/>
        <s v="R00521"/>
        <s v="R01178"/>
        <s v="R00868"/>
        <s v="R00262"/>
        <s v="R00298"/>
        <s v="R00874"/>
        <s v="R00961"/>
        <s v="R00232"/>
        <s v="R01150"/>
        <s v="R01149"/>
        <s v="R00757"/>
        <s v="R00800"/>
        <s v="R00645"/>
        <s v="R00895"/>
        <s v="R00258"/>
        <s v="R00120"/>
        <s v="R00542"/>
        <s v="R01137"/>
        <s v="R00020"/>
        <s v="R00922"/>
        <s v="R00978"/>
        <s v="R00013"/>
        <s v="R00724"/>
        <s v="R01104"/>
        <s v="R01173"/>
        <s v="R00158"/>
        <s v="R00890"/>
        <s v="R00965"/>
        <s v="R00735"/>
        <s v="R00512"/>
        <s v="R00766"/>
        <s v="R00710"/>
        <s v="R00196"/>
        <s v="R00253"/>
        <s v="R00670"/>
        <s v="R00463"/>
        <s v="R01151"/>
        <s v="R00199"/>
        <s v="R00349"/>
        <s v="R00881"/>
        <s v="R00092"/>
        <s v="R00508"/>
        <s v="R00819"/>
        <s v="R00782"/>
        <s v="R00143"/>
        <s v="R00293"/>
        <s v="R01015"/>
        <s v="R00321"/>
        <s v="R00836"/>
        <s v="R00401"/>
        <s v="R00445"/>
        <s v="R00518"/>
        <s v="R00509"/>
        <s v="R01081"/>
        <s v="R00004"/>
        <s v="R00556"/>
        <s v="R00304"/>
        <s v="R00086"/>
        <s v="R00886"/>
        <s v="R00631"/>
        <s v="R00422"/>
        <s v="R01114"/>
        <s v="R00178"/>
        <s v="R00091"/>
        <s v="R00061"/>
        <s v="R00950"/>
        <s v="R00651"/>
        <s v="R00447"/>
        <s v="R01186"/>
        <s v="R00389"/>
        <s v="R00108"/>
        <s v="R00517"/>
        <s v="R01097"/>
        <s v="R00492"/>
        <s v="R00652"/>
        <s v="R00815"/>
        <s v="R01122"/>
        <s v="R00384"/>
        <s v="R00040"/>
        <s v="R00220"/>
        <s v="R00221"/>
        <s v="R00448"/>
        <s v="R00793"/>
        <s v="R00002"/>
        <s v="R00442"/>
        <s v="R00639"/>
        <s v="R00294"/>
        <s v="R01100"/>
        <s v="R00201"/>
        <s v="R01117"/>
        <s v="R00187"/>
        <s v="R01013"/>
        <s v="R00115"/>
        <s v="R00318"/>
        <s v="R00313"/>
        <s v="R00009"/>
        <s v="R01020"/>
        <s v="R00722"/>
        <s v="R00329"/>
        <s v="R00038"/>
        <s v="R00109"/>
        <s v="R00441"/>
        <s v="R00689"/>
        <s v="R01195"/>
        <s v="R00554"/>
        <s v="R00791"/>
        <s v="R01132"/>
        <s v="R00493"/>
        <s v="R00156"/>
        <s v="R00269"/>
        <s v="R01080"/>
        <s v="R00402"/>
        <s v="R00786"/>
        <s v="R00001"/>
        <s v="R01019"/>
        <s v="R00190"/>
        <s v="R00328"/>
        <s v="R00506"/>
        <s v="R00545"/>
        <s v="R00643"/>
        <s v="R00997"/>
        <s v="R00998"/>
        <s v="R00157"/>
        <s v="R00425"/>
        <s v="R01171"/>
        <s v="R00878"/>
        <s v="R00433"/>
        <s v="R00641"/>
        <s v="R00618"/>
        <s v="R00958"/>
        <s v="R00916"/>
        <s v="R00423"/>
        <s v="R00255"/>
        <s v="R01179"/>
        <s v="R00324"/>
        <s v="R00117"/>
        <s v="R01105"/>
        <s v="R00165"/>
        <s v="R00339"/>
        <s v="R00538"/>
        <s v="R00543"/>
        <s v="R00805"/>
        <s v="R00568"/>
        <s v="R00129"/>
        <s v="R00226"/>
        <s v="R00776"/>
        <s v="R00095"/>
        <s v="R00451"/>
        <s v="R00984"/>
        <s v="R01021"/>
        <s v="R01008"/>
        <s v="R00963"/>
        <s v="R00177"/>
        <s v="R00589"/>
        <s v="R00737"/>
        <s v="R00835"/>
        <s v="R00297"/>
        <s v="R01035"/>
        <s v="R00405"/>
        <s v="R00581"/>
        <s v="R00037"/>
        <s v="R00753"/>
        <s v="R01164"/>
        <s v="R00483"/>
        <s v="R01157"/>
        <s v="R00015"/>
        <s v="R00911"/>
        <s v="R00430"/>
        <s v="R00688"/>
        <s v="R00579"/>
        <s v="R00376"/>
        <s v="R00490"/>
        <s v="R01079"/>
        <s v="R01118"/>
        <s v="R00416"/>
      </sharedItems>
    </cacheField>
    <cacheField name="Order_Date" numFmtId="164">
      <sharedItems containsSemiMixedTypes="0" containsNonDate="0" containsDate="1" containsString="0" minDate="2025-01-01T00:00:00" maxDate="2026-09-01T00:00:00"/>
    </cacheField>
    <cacheField name="Customer_ID" numFmtId="0">
      <sharedItems count="478">
        <s v="C0163"/>
        <s v="C0146"/>
        <s v="C0428"/>
        <s v="C0355"/>
        <s v="C0205"/>
        <s v="C0216"/>
        <s v="C0380"/>
        <s v="C0339"/>
        <s v="C0175"/>
        <s v="C0128"/>
        <s v="C0348"/>
        <s v="C0446"/>
        <s v="C0037"/>
        <s v="C0294"/>
        <s v="C0343"/>
        <s v="C0394"/>
        <s v="C0465"/>
        <s v="C0408"/>
        <s v="C0514"/>
        <s v="C0512"/>
        <s v="C0443"/>
        <s v="C0118"/>
        <s v="C0273"/>
        <s v="C0282"/>
        <s v="C0283"/>
        <s v="C0002"/>
        <s v="C0432"/>
        <s v="C0429"/>
        <s v="C0275"/>
        <s v="C0023"/>
        <s v="C0164"/>
        <s v="C0410"/>
        <s v="C0198"/>
        <s v="C0213"/>
        <s v="C0312"/>
        <s v="C0289"/>
        <s v="C0160"/>
        <s v="C0231"/>
        <s v="C0195"/>
        <s v="C0068"/>
        <s v="C0326"/>
        <s v="C0361"/>
        <s v="C0001"/>
        <s v="C0208"/>
        <s v="C0485"/>
        <s v="C0165"/>
        <s v="C0351"/>
        <s v="C0082"/>
        <s v="C0136"/>
        <s v="C0425"/>
        <s v="C0307"/>
        <s v="C0411"/>
        <s v="C0404"/>
        <s v="C0032"/>
        <s v="C0407"/>
        <s v="C0352"/>
        <s v="C0346"/>
        <s v="C0057"/>
        <s v="C0337"/>
        <s v="C0237"/>
        <s v="C0251"/>
        <s v="C0299"/>
        <s v="C0341"/>
        <s v="C0206"/>
        <s v="C0022"/>
        <s v="C0130"/>
        <s v="C0167"/>
        <s v="C0122"/>
        <s v="C0390"/>
        <s v="C0046"/>
        <s v="C0137"/>
        <s v="C0011"/>
        <s v="C0487"/>
        <s v="C0121"/>
        <s v="C0240"/>
        <s v="C0402"/>
        <s v="C0192"/>
        <s v="C0363"/>
        <s v="C0381"/>
        <s v="C0210"/>
        <s v="C0435"/>
        <s v="C0507"/>
        <s v="C0324"/>
        <s v="C0059"/>
        <s v="C0347"/>
        <s v="C0412"/>
        <s v="C0249"/>
        <s v="C0070"/>
        <s v="C0061"/>
        <s v="C0319"/>
        <s v="C0456"/>
        <s v="C0277"/>
        <s v="C0140"/>
        <s v="C0509"/>
        <s v="C0397"/>
        <s v="C0303"/>
        <s v="C0498"/>
        <s v="C0110"/>
        <s v="C0466"/>
        <s v="C0311"/>
        <s v="C0154"/>
        <s v="C0422"/>
        <s v="C0440"/>
        <s v="C0486"/>
        <s v="C0141"/>
        <s v="C0003"/>
        <s v="C0018"/>
        <s v="C0220"/>
        <s v="C0230"/>
        <s v="C0356"/>
        <s v="C0316"/>
        <s v="C0335"/>
        <s v="C0278"/>
        <s v="C0306"/>
        <s v="C0020"/>
        <s v="C0127"/>
        <s v="C0385"/>
        <s v="C0414"/>
        <s v="C0295"/>
        <s v="C0320"/>
        <s v="C0405"/>
        <s v="C0471"/>
        <s v="C0493"/>
        <s v="C0226"/>
        <s v="C0182"/>
        <s v="C0449"/>
        <s v="C0501"/>
        <s v="C0105"/>
        <s v="C0051"/>
        <s v="C0459"/>
        <s v="C0254"/>
        <s v="C0287"/>
        <s v="C0417"/>
        <s v="C0091"/>
        <s v="C0177"/>
        <s v="C0309"/>
        <s v="C0148"/>
        <s v="C0350"/>
        <s v="C0099"/>
        <s v="C0241"/>
        <s v="C0224"/>
        <s v="C0453"/>
        <s v="C0322"/>
        <s v="C0031"/>
        <s v="C0267"/>
        <s v="C0132"/>
        <s v="C0104"/>
        <s v="C0382"/>
        <s v="C0418"/>
        <s v="C0423"/>
        <s v="C0266"/>
        <s v="C0193"/>
        <s v="C0413"/>
        <s v="C0284"/>
        <s v="C0199"/>
        <s v="C0401"/>
        <s v="C0151"/>
        <s v="C0292"/>
        <s v="C0017"/>
        <s v="C0334"/>
        <s v="C0246"/>
        <s v="C0290"/>
        <s v="C0181"/>
        <s v="C0201"/>
        <s v="C0202"/>
        <s v="C0434"/>
        <s v="C0357"/>
        <s v="C0393"/>
        <s v="C0225"/>
        <s v="C0462"/>
        <s v="C0389"/>
        <s v="C0016"/>
        <s v="C0168"/>
        <s v="C0372"/>
        <s v="C0133"/>
        <s v="C0342"/>
        <s v="C0427"/>
        <s v="C0451"/>
        <s v="C0499"/>
        <s v="C0115"/>
        <s v="C0038"/>
        <s v="C0484"/>
        <s v="C0245"/>
        <s v="C0123"/>
        <s v="C0262"/>
        <s v="C0223"/>
        <s v="C0073"/>
        <s v="C0376"/>
        <s v="C0203"/>
        <s v="C0222"/>
        <s v="C0480"/>
        <s v="C0366"/>
        <s v="C0367"/>
        <s v="C0197"/>
        <s v="C0188"/>
        <s v="C0072"/>
        <s v="C0207"/>
        <s v="C0505"/>
        <s v="C0437"/>
        <s v="C0021"/>
        <s v="C0510"/>
        <s v="C0470"/>
        <s v="C0124"/>
        <s v="C0479"/>
        <s v="C0301"/>
        <s v="C0184"/>
        <s v="C0280"/>
        <s v="C0450"/>
        <s v="C0497"/>
        <s v="C0468"/>
        <s v="C0183"/>
        <s v="C0315"/>
        <s v="C0420"/>
        <s v="C0096"/>
        <s v="C0113"/>
        <s v="C0467"/>
        <s v="C0373"/>
        <s v="C0304"/>
        <s v="C0403"/>
        <s v="C0473"/>
        <s v="C0191"/>
        <s v="C0377"/>
        <s v="C0384"/>
        <s v="C0012"/>
        <s v="C0180"/>
        <s v="C0233"/>
        <s v="C0318"/>
        <s v="C0102"/>
        <s v="C0439"/>
        <s v="C0149"/>
        <s v="C0143"/>
        <s v="C0354"/>
        <s v="C0447"/>
        <s v="C0256"/>
        <s v="C0391"/>
        <s v="C0144"/>
        <s v="C0077"/>
        <s v="C0488"/>
        <s v="C0095"/>
        <s v="C0362"/>
        <s v="C0452"/>
        <s v="C0313"/>
        <s v="C0511"/>
        <s v="C0239"/>
        <s v="C0088"/>
        <s v="C0331"/>
        <s v="C0330"/>
        <s v="C0221"/>
        <s v="C0458"/>
        <s v="C0314"/>
        <s v="C0271"/>
        <s v="C0438"/>
        <s v="C0048"/>
        <s v="C0125"/>
        <s v="C0075"/>
        <s v="C0506"/>
        <s v="C0236"/>
        <s v="C0272"/>
        <s v="C0325"/>
        <s v="C0097"/>
        <s v="C0345"/>
        <s v="C0139"/>
        <s v="C0054"/>
        <s v="C0174"/>
        <s v="C0464"/>
        <s v="C0457"/>
        <s v="C0034"/>
        <s v="C0259"/>
        <s v="C0079"/>
        <s v="C0101"/>
        <s v="C0062"/>
        <s v="C0368"/>
        <s v="C0211"/>
        <s v="C0033"/>
        <s v="C0232"/>
        <s v="C0255"/>
        <s v="C0069"/>
        <s v="C0243"/>
        <s v="C0147"/>
        <s v="C0155"/>
        <s v="C0433"/>
        <s v="C0519"/>
        <s v="C0024"/>
        <s v="C0265"/>
        <s v="C0344"/>
        <s v="C0288"/>
        <s v="C0302"/>
        <s v="C0520"/>
        <s v="C0004"/>
        <s v="C0379"/>
        <s v="C0270"/>
        <s v="C0190"/>
        <s v="C0421"/>
        <s v="C0119"/>
        <s v="C0353"/>
        <s v="C0398"/>
        <s v="C0508"/>
        <s v="C0426"/>
        <s v="C0074"/>
        <s v="C0008"/>
        <s v="C0370"/>
        <s v="C0392"/>
        <s v="C0035"/>
        <s v="C0081"/>
        <s v="C0196"/>
        <s v="C0293"/>
        <s v="C0248"/>
        <s v="C0258"/>
        <s v="C0332"/>
        <s v="C0494"/>
        <s v="C0045"/>
        <s v="C0269"/>
        <s v="C0308"/>
        <s v="C0360"/>
        <s v="C0100"/>
        <s v="C0478"/>
        <s v="C0482"/>
        <s v="C0340"/>
        <s v="C0365"/>
        <s v="C0109"/>
        <s v="C0500"/>
        <s v="C0169"/>
        <s v="C0066"/>
        <s v="C0153"/>
        <s v="C0455"/>
        <s v="C0172"/>
        <s v="C0386"/>
        <s v="C0369"/>
        <s v="C0134"/>
        <s v="C0327"/>
        <s v="C0430"/>
        <s v="C0263"/>
        <s v="C0378"/>
        <s v="C0227"/>
        <s v="C0491"/>
        <s v="C0476"/>
        <s v="C0009"/>
        <s v="C0374"/>
        <s v="C0084"/>
        <s v="C0187"/>
        <s v="C0477"/>
        <s v="C0238"/>
        <s v="C0436"/>
        <s v="C0161"/>
        <s v="C0454"/>
        <s v="C0036"/>
        <s v="C0094"/>
        <s v="C0481"/>
        <s v="C0285"/>
        <s v="C0107"/>
        <s v="C0242"/>
        <s v="C0006"/>
        <s v="C0200"/>
        <s v="C0108"/>
        <s v="C0472"/>
        <s v="C0448"/>
        <s v="C0194"/>
        <s v="C0305"/>
        <s v="C0186"/>
        <s v="C0463"/>
        <s v="C0044"/>
        <s v="C0029"/>
        <s v="C0502"/>
        <s v="C0310"/>
        <s v="C0261"/>
        <s v="C0492"/>
        <s v="C0445"/>
        <s v="C0083"/>
        <s v="C0162"/>
        <s v="C0395"/>
        <s v="C0296"/>
        <s v="C0171"/>
        <s v="C0234"/>
        <s v="C0235"/>
        <s v="C0406"/>
        <s v="C0399"/>
        <s v="C0013"/>
        <s v="C0156"/>
        <s v="C0518"/>
        <s v="C0252"/>
        <s v="C0019"/>
        <s v="C0274"/>
        <s v="C0247"/>
        <s v="C0321"/>
        <s v="C0300"/>
        <s v="C0093"/>
        <s v="C0189"/>
        <s v="C0279"/>
        <s v="C0364"/>
        <s v="C0483"/>
        <s v="C0260"/>
        <s v="C0041"/>
        <s v="C0014"/>
        <s v="C0055"/>
        <s v="C0317"/>
        <s v="C0025"/>
        <s v="C0117"/>
        <s v="C0027"/>
        <s v="C0179"/>
        <s v="C0336"/>
        <s v="C0244"/>
        <s v="C0060"/>
        <s v="C0063"/>
        <s v="C0005"/>
        <s v="C0092"/>
        <s v="C0297"/>
        <s v="C0138"/>
        <s v="C0286"/>
        <s v="C0065"/>
        <s v="C0396"/>
        <s v="C0264"/>
        <s v="C0078"/>
        <s v="C0135"/>
        <s v="C0042"/>
        <s v="C0431"/>
        <s v="C0276"/>
        <s v="C0157"/>
        <s v="C0056"/>
        <s v="C0338"/>
        <s v="C0469"/>
        <s v="C0444"/>
        <s v="C0142"/>
        <s v="C0268"/>
        <s v="C0058"/>
        <s v="C0490"/>
        <s v="C0359"/>
        <s v="C0089"/>
        <s v="C0495"/>
        <s v="C0030"/>
        <s v="C0214"/>
        <s v="C0111"/>
        <s v="C0441"/>
        <s v="C0461"/>
        <s v="C0064"/>
        <s v="C0218"/>
        <s v="C0515"/>
        <s v="C0166"/>
        <s v="C0178"/>
        <s v="C0383"/>
        <s v="C0504"/>
        <s v="C0090"/>
        <s v="C0217"/>
        <s v="C0503"/>
        <s v="C0086"/>
        <s v="C0250"/>
        <s v="C0517"/>
        <s v="C0150"/>
        <s v="C0513"/>
        <s v="C0328"/>
        <s v="C0076"/>
        <s v="C0159"/>
        <s v="C0496"/>
        <s v="C0080"/>
        <s v="C0516"/>
        <s v="C0460"/>
        <s v="C0145"/>
        <s v="C0007"/>
        <s v="C0215"/>
        <s v="C0323"/>
        <s v="C0010"/>
        <s v="C0329"/>
        <s v="C0106"/>
        <s v="C0204"/>
        <s v="C0371"/>
        <s v="C0129"/>
        <s v="C0424"/>
        <s v="C0087"/>
        <s v="C0158"/>
        <s v="C0049"/>
        <s v="C0103"/>
        <s v="C0257"/>
        <s v="C0474"/>
        <s v="C0043"/>
        <s v="C0067"/>
        <s v="C0228"/>
        <s v="C0185"/>
        <s v="C0291"/>
        <s v="C0388"/>
      </sharedItems>
    </cacheField>
    <cacheField name="City" numFmtId="0">
      <sharedItems count="11">
        <s v="Noida"/>
        <s v="Gurugram"/>
        <s v="Delhi"/>
        <s v="Kolkata"/>
        <s v="Bengaluru"/>
        <s v="Pune"/>
        <s v="Hyderabad"/>
        <s v="Mumbai"/>
        <s v="Jaipur"/>
        <s v="Chennai"/>
        <s v="Unknown"/>
      </sharedItems>
    </cacheField>
    <cacheField name="Category" numFmtId="0">
      <sharedItems count="4">
        <s v="Beauty"/>
        <s v="Fashion"/>
        <s v="Home"/>
        <s v="Electronics"/>
      </sharedItems>
    </cacheField>
    <cacheField name="Product" numFmtId="0">
      <sharedItems count="20">
        <s v="Shampoo"/>
        <s v="Face Wash"/>
        <s v="T-Shirt"/>
        <s v="Bedsheet"/>
        <s v="Smartwatch"/>
        <s v="Headphones"/>
        <s v="Mouse"/>
        <s v="Jeans"/>
        <s v="Keyboard"/>
        <s v="Perfume"/>
        <s v="Power Bank"/>
        <s v="Sunscreen"/>
        <s v="Jacket"/>
        <s v="Mixer"/>
        <s v="Bottle"/>
        <s v="Cookware"/>
        <s v="Backpack"/>
        <s v="Serum"/>
        <s v="Shoes"/>
        <s v="Lamp"/>
      </sharedItems>
    </cacheField>
    <cacheField name="Quantity" numFmtId="0">
      <sharedItems containsSemiMixedTypes="0" containsString="0" containsNumber="1" containsInteger="1" minValue="1" maxValue="6"/>
    </cacheField>
    <cacheField name="Unit_Price" numFmtId="4">
      <sharedItems containsSemiMixedTypes="0" containsString="0" containsNumber="1" minValue="156.19999999999999" maxValue="5487.44"/>
    </cacheField>
    <cacheField name="Discount_Pct" numFmtId="9">
      <sharedItems containsSemiMixedTypes="0" containsString="0" containsNumber="1" minValue="0" maxValue="0.2"/>
    </cacheField>
    <cacheField name="Sales" numFmtId="4">
      <sharedItems containsSemiMixedTypes="0" containsString="0" containsNumber="1" minValue="199.36" maxValue="31525.200000000001"/>
    </cacheField>
    <cacheField name="Cost" numFmtId="4">
      <sharedItems containsSemiMixedTypes="0" containsString="0" containsNumber="1" minValue="120.45" maxValue="26370.54"/>
    </cacheField>
    <cacheField name="Profit" numFmtId="4">
      <sharedItems containsSemiMixedTypes="0" containsString="0" containsNumber="1" minValue="45.14" maxValue="13762.4"/>
    </cacheField>
    <cacheField name="Channel" numFmtId="0">
      <sharedItems count="2">
        <s v="Store"/>
        <s v="Online"/>
      </sharedItems>
    </cacheField>
    <cacheField name="Payment_Mode" numFmtId="0">
      <sharedItems count="4">
        <s v="Cash"/>
        <s v="Card"/>
        <s v="Wallet"/>
        <s v="UPI"/>
      </sharedItems>
    </cacheField>
    <cacheField name="Returned" numFmtId="0">
      <sharedItems count="2">
        <s v="Yes"/>
        <s v="No"/>
      </sharedItems>
    </cacheField>
    <cacheField name="Order_Month" numFmtId="0">
      <sharedItems count="12">
        <s v="Mar"/>
        <s v="Feb"/>
        <s v="Jul"/>
        <s v="Nov"/>
        <s v="Sep"/>
        <s v="May"/>
        <s v="Aug"/>
        <s v="Dec"/>
        <s v="Apr"/>
        <s v="Jan"/>
        <s v="Jun"/>
        <s v="Oct"/>
      </sharedItems>
    </cacheField>
    <cacheField name="Order_Year" numFmtId="0">
      <sharedItems containsSemiMixedTypes="0" containsString="0" containsNumber="1" containsInteger="1" minValue="2025" maxValue="2026" count="2">
        <n v="2026"/>
        <n v="2025"/>
      </sharedItems>
    </cacheField>
    <cacheField name="Profit_Margin" numFmtId="9">
      <sharedItems containsSemiMixedTypes="0" containsString="0" containsNumber="1" minValue="0.15003099028356687" maxValue="0.44991477463724844"/>
    </cacheField>
  </cacheFields>
  <extLst>
    <ext xmlns:x14="http://schemas.microsoft.com/office/spreadsheetml/2009/9/main" uri="{725AE2AE-9491-48be-B2B4-4EB974FC3084}">
      <x14:pivotCacheDefinition pivotCacheId="20274136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6-03-22T00:00:00"/>
    <x v="0"/>
    <x v="0"/>
    <x v="0"/>
    <x v="0"/>
    <n v="4"/>
    <n v="156.19999999999999"/>
    <n v="0.15"/>
    <n v="531.08000000000004"/>
    <n v="414.3"/>
    <n v="116.78"/>
    <x v="0"/>
    <x v="0"/>
    <x v="0"/>
    <x v="0"/>
    <x v="0"/>
    <n v="0.21989154176395267"/>
  </r>
  <r>
    <x v="1"/>
    <d v="2025-02-09T00:00:00"/>
    <x v="1"/>
    <x v="1"/>
    <x v="0"/>
    <x v="1"/>
    <n v="6"/>
    <n v="156.94"/>
    <n v="0.1"/>
    <n v="847.48"/>
    <n v="584.29"/>
    <n v="263.19"/>
    <x v="0"/>
    <x v="1"/>
    <x v="0"/>
    <x v="1"/>
    <x v="1"/>
    <n v="0.31055600132156508"/>
  </r>
  <r>
    <x v="2"/>
    <d v="2026-07-07T00:00:00"/>
    <x v="2"/>
    <x v="2"/>
    <x v="1"/>
    <x v="2"/>
    <n v="5"/>
    <n v="157.91999999999999"/>
    <n v="0.15"/>
    <n v="671.16"/>
    <n v="561.67999999999995"/>
    <n v="109.48"/>
    <x v="1"/>
    <x v="2"/>
    <x v="1"/>
    <x v="2"/>
    <x v="0"/>
    <n v="0.16312056737588654"/>
  </r>
  <r>
    <x v="3"/>
    <d v="2025-11-24T00:00:00"/>
    <x v="3"/>
    <x v="2"/>
    <x v="2"/>
    <x v="3"/>
    <n v="5"/>
    <n v="165.05"/>
    <n v="0.15"/>
    <n v="701.46"/>
    <n v="590.42999999999995"/>
    <n v="111.03"/>
    <x v="1"/>
    <x v="0"/>
    <x v="0"/>
    <x v="3"/>
    <x v="1"/>
    <n v="0.1582841502010093"/>
  </r>
  <r>
    <x v="4"/>
    <d v="2025-03-11T00:00:00"/>
    <x v="4"/>
    <x v="3"/>
    <x v="3"/>
    <x v="4"/>
    <n v="6"/>
    <n v="167.23"/>
    <n v="0.05"/>
    <n v="953.21"/>
    <n v="557.44000000000005"/>
    <n v="395.77"/>
    <x v="1"/>
    <x v="0"/>
    <x v="1"/>
    <x v="0"/>
    <x v="1"/>
    <n v="0.41519707094973823"/>
  </r>
  <r>
    <x v="5"/>
    <d v="2025-09-22T00:00:00"/>
    <x v="5"/>
    <x v="4"/>
    <x v="3"/>
    <x v="4"/>
    <n v="2"/>
    <n v="175.25"/>
    <n v="0.15"/>
    <n v="297.93"/>
    <n v="193.54"/>
    <n v="104.39"/>
    <x v="0"/>
    <x v="0"/>
    <x v="1"/>
    <x v="4"/>
    <x v="1"/>
    <n v="0.35038431846406876"/>
  </r>
  <r>
    <x v="6"/>
    <d v="2025-02-02T00:00:00"/>
    <x v="6"/>
    <x v="5"/>
    <x v="2"/>
    <x v="3"/>
    <n v="3"/>
    <n v="184.76"/>
    <n v="0"/>
    <n v="554.28"/>
    <n v="450.91"/>
    <n v="103.37"/>
    <x v="1"/>
    <x v="3"/>
    <x v="1"/>
    <x v="1"/>
    <x v="1"/>
    <n v="0.18649419066175943"/>
  </r>
  <r>
    <x v="7"/>
    <d v="2026-07-23T00:00:00"/>
    <x v="7"/>
    <x v="6"/>
    <x v="3"/>
    <x v="5"/>
    <n v="2"/>
    <n v="187.29"/>
    <n v="0"/>
    <n v="374.58"/>
    <n v="283.88"/>
    <n v="90.7"/>
    <x v="0"/>
    <x v="3"/>
    <x v="1"/>
    <x v="2"/>
    <x v="0"/>
    <n v="0.24213786107106627"/>
  </r>
  <r>
    <x v="8"/>
    <d v="2026-05-02T00:00:00"/>
    <x v="8"/>
    <x v="2"/>
    <x v="3"/>
    <x v="6"/>
    <n v="3"/>
    <n v="187.54"/>
    <n v="0"/>
    <n v="562.62"/>
    <n v="316.25"/>
    <n v="246.37"/>
    <x v="1"/>
    <x v="0"/>
    <x v="1"/>
    <x v="5"/>
    <x v="0"/>
    <n v="0.43789769293661795"/>
  </r>
  <r>
    <x v="9"/>
    <d v="2026-02-28T00:00:00"/>
    <x v="9"/>
    <x v="7"/>
    <x v="1"/>
    <x v="7"/>
    <n v="6"/>
    <n v="199.23"/>
    <n v="0.15"/>
    <n v="1016.07"/>
    <n v="636.88"/>
    <n v="379.19"/>
    <x v="1"/>
    <x v="2"/>
    <x v="0"/>
    <x v="1"/>
    <x v="0"/>
    <n v="0.3731927918352082"/>
  </r>
  <r>
    <x v="10"/>
    <d v="2026-08-23T00:00:00"/>
    <x v="10"/>
    <x v="3"/>
    <x v="3"/>
    <x v="8"/>
    <n v="5"/>
    <n v="207.01"/>
    <n v="0"/>
    <n v="1035.05"/>
    <n v="638.48"/>
    <n v="396.57"/>
    <x v="1"/>
    <x v="0"/>
    <x v="1"/>
    <x v="6"/>
    <x v="0"/>
    <n v="0.38314091106709824"/>
  </r>
  <r>
    <x v="11"/>
    <d v="2025-11-03T00:00:00"/>
    <x v="11"/>
    <x v="0"/>
    <x v="0"/>
    <x v="9"/>
    <n v="6"/>
    <n v="207.01"/>
    <n v="0"/>
    <n v="1242.06"/>
    <n v="715"/>
    <n v="527.05999999999995"/>
    <x v="0"/>
    <x v="3"/>
    <x v="1"/>
    <x v="3"/>
    <x v="1"/>
    <n v="0.42434342946395504"/>
  </r>
  <r>
    <x v="12"/>
    <d v="2025-12-10T00:00:00"/>
    <x v="12"/>
    <x v="7"/>
    <x v="3"/>
    <x v="10"/>
    <n v="3"/>
    <n v="215.39"/>
    <n v="0.2"/>
    <n v="516.94000000000005"/>
    <n v="396.22"/>
    <n v="120.72"/>
    <x v="0"/>
    <x v="3"/>
    <x v="0"/>
    <x v="7"/>
    <x v="1"/>
    <n v="0.23352806902154985"/>
  </r>
  <r>
    <x v="13"/>
    <d v="2026-04-10T00:00:00"/>
    <x v="13"/>
    <x v="3"/>
    <x v="0"/>
    <x v="11"/>
    <n v="4"/>
    <n v="215.77"/>
    <n v="0.05"/>
    <n v="819.93"/>
    <n v="651.25"/>
    <n v="168.68"/>
    <x v="1"/>
    <x v="1"/>
    <x v="1"/>
    <x v="8"/>
    <x v="0"/>
    <n v="0.20572487895308139"/>
  </r>
  <r>
    <x v="14"/>
    <d v="2026-02-20T00:00:00"/>
    <x v="14"/>
    <x v="3"/>
    <x v="1"/>
    <x v="12"/>
    <n v="2"/>
    <n v="217.4"/>
    <n v="0.15"/>
    <n v="369.58"/>
    <n v="283.35000000000002"/>
    <n v="86.23"/>
    <x v="1"/>
    <x v="2"/>
    <x v="0"/>
    <x v="1"/>
    <x v="0"/>
    <n v="0.23331890253801615"/>
  </r>
  <r>
    <x v="15"/>
    <d v="2025-11-22T00:00:00"/>
    <x v="15"/>
    <x v="2"/>
    <x v="3"/>
    <x v="5"/>
    <n v="6"/>
    <n v="218.02"/>
    <n v="0"/>
    <n v="1308.1199999999999"/>
    <n v="928.71"/>
    <n v="379.41"/>
    <x v="0"/>
    <x v="0"/>
    <x v="1"/>
    <x v="3"/>
    <x v="1"/>
    <n v="0.29004219796348962"/>
  </r>
  <r>
    <x v="16"/>
    <d v="2025-03-07T00:00:00"/>
    <x v="16"/>
    <x v="4"/>
    <x v="3"/>
    <x v="5"/>
    <n v="6"/>
    <n v="222.22"/>
    <n v="0.15"/>
    <n v="1133.32"/>
    <n v="899.53"/>
    <n v="233.79"/>
    <x v="1"/>
    <x v="0"/>
    <x v="1"/>
    <x v="0"/>
    <x v="1"/>
    <n v="0.20628772103201215"/>
  </r>
  <r>
    <x v="17"/>
    <d v="2026-07-10T00:00:00"/>
    <x v="17"/>
    <x v="5"/>
    <x v="2"/>
    <x v="13"/>
    <n v="6"/>
    <n v="224.39"/>
    <n v="0.15"/>
    <n v="1144.3900000000001"/>
    <n v="812.34"/>
    <n v="332.05"/>
    <x v="1"/>
    <x v="1"/>
    <x v="0"/>
    <x v="2"/>
    <x v="0"/>
    <n v="0.29015458016934786"/>
  </r>
  <r>
    <x v="18"/>
    <d v="2026-08-21T00:00:00"/>
    <x v="18"/>
    <x v="8"/>
    <x v="1"/>
    <x v="2"/>
    <n v="2"/>
    <n v="225.14"/>
    <n v="0.2"/>
    <n v="360.22"/>
    <n v="209.22"/>
    <n v="151"/>
    <x v="0"/>
    <x v="2"/>
    <x v="1"/>
    <x v="6"/>
    <x v="0"/>
    <n v="0.41918827383265778"/>
  </r>
  <r>
    <x v="19"/>
    <d v="2025-01-17T00:00:00"/>
    <x v="19"/>
    <x v="0"/>
    <x v="0"/>
    <x v="9"/>
    <n v="5"/>
    <n v="229.07"/>
    <n v="0.15"/>
    <n v="973.55"/>
    <n v="819.35"/>
    <n v="154.19999999999999"/>
    <x v="1"/>
    <x v="3"/>
    <x v="1"/>
    <x v="9"/>
    <x v="1"/>
    <n v="0.15838939961994761"/>
  </r>
  <r>
    <x v="20"/>
    <d v="2026-03-07T00:00:00"/>
    <x v="20"/>
    <x v="0"/>
    <x v="2"/>
    <x v="13"/>
    <n v="1"/>
    <n v="234.54"/>
    <n v="0.15"/>
    <n v="199.36"/>
    <n v="137.80000000000001"/>
    <n v="61.56"/>
    <x v="0"/>
    <x v="0"/>
    <x v="1"/>
    <x v="0"/>
    <x v="0"/>
    <n v="0.30878812199036915"/>
  </r>
  <r>
    <x v="21"/>
    <d v="2025-04-08T00:00:00"/>
    <x v="21"/>
    <x v="9"/>
    <x v="3"/>
    <x v="8"/>
    <n v="2"/>
    <n v="235.14"/>
    <n v="0.2"/>
    <n v="376.22"/>
    <n v="220.12"/>
    <n v="156.1"/>
    <x v="0"/>
    <x v="3"/>
    <x v="1"/>
    <x v="8"/>
    <x v="1"/>
    <n v="0.4149168039976609"/>
  </r>
  <r>
    <x v="22"/>
    <d v="2025-05-04T00:00:00"/>
    <x v="22"/>
    <x v="6"/>
    <x v="1"/>
    <x v="2"/>
    <n v="4"/>
    <n v="240.24"/>
    <n v="0.05"/>
    <n v="912.91"/>
    <n v="542.44000000000005"/>
    <n v="370.47"/>
    <x v="0"/>
    <x v="3"/>
    <x v="1"/>
    <x v="5"/>
    <x v="1"/>
    <n v="0.40581218301913663"/>
  </r>
  <r>
    <x v="23"/>
    <d v="2025-02-09T00:00:00"/>
    <x v="23"/>
    <x v="6"/>
    <x v="1"/>
    <x v="12"/>
    <n v="6"/>
    <n v="243.72"/>
    <n v="0.2"/>
    <n v="1169.8599999999999"/>
    <n v="684.61"/>
    <n v="485.25"/>
    <x v="1"/>
    <x v="3"/>
    <x v="1"/>
    <x v="1"/>
    <x v="1"/>
    <n v="0.41479322312071532"/>
  </r>
  <r>
    <x v="24"/>
    <d v="2026-01-03T00:00:00"/>
    <x v="24"/>
    <x v="0"/>
    <x v="0"/>
    <x v="1"/>
    <n v="1"/>
    <n v="250.97"/>
    <n v="0.15"/>
    <n v="213.32"/>
    <n v="120.45"/>
    <n v="92.87"/>
    <x v="1"/>
    <x v="1"/>
    <x v="1"/>
    <x v="9"/>
    <x v="0"/>
    <n v="0.43535533470841931"/>
  </r>
  <r>
    <x v="25"/>
    <d v="2025-12-31T00:00:00"/>
    <x v="25"/>
    <x v="3"/>
    <x v="2"/>
    <x v="14"/>
    <n v="6"/>
    <n v="250.99"/>
    <n v="0.15"/>
    <n v="1280.05"/>
    <n v="1046.1099999999999"/>
    <n v="233.94"/>
    <x v="1"/>
    <x v="1"/>
    <x v="1"/>
    <x v="7"/>
    <x v="1"/>
    <n v="0.18275848599664077"/>
  </r>
  <r>
    <x v="26"/>
    <d v="2025-09-05T00:00:00"/>
    <x v="26"/>
    <x v="7"/>
    <x v="1"/>
    <x v="2"/>
    <n v="2"/>
    <n v="255.16"/>
    <n v="0.1"/>
    <n v="459.29"/>
    <n v="302.82"/>
    <n v="156.47"/>
    <x v="1"/>
    <x v="0"/>
    <x v="1"/>
    <x v="4"/>
    <x v="1"/>
    <n v="0.34067800300463758"/>
  </r>
  <r>
    <x v="27"/>
    <d v="2025-03-10T00:00:00"/>
    <x v="27"/>
    <x v="5"/>
    <x v="0"/>
    <x v="11"/>
    <n v="2"/>
    <n v="258.26"/>
    <n v="0"/>
    <n v="516.52"/>
    <n v="365.53"/>
    <n v="150.99"/>
    <x v="1"/>
    <x v="0"/>
    <x v="1"/>
    <x v="0"/>
    <x v="1"/>
    <n v="0.29232169131882602"/>
  </r>
  <r>
    <x v="28"/>
    <d v="2025-12-05T00:00:00"/>
    <x v="28"/>
    <x v="10"/>
    <x v="1"/>
    <x v="7"/>
    <n v="4"/>
    <n v="272.55"/>
    <n v="0"/>
    <n v="1090.2"/>
    <n v="877.37"/>
    <n v="212.83"/>
    <x v="0"/>
    <x v="2"/>
    <x v="0"/>
    <x v="7"/>
    <x v="1"/>
    <n v="0.19522106035589801"/>
  </r>
  <r>
    <x v="29"/>
    <d v="2026-03-17T00:00:00"/>
    <x v="29"/>
    <x v="8"/>
    <x v="0"/>
    <x v="0"/>
    <n v="5"/>
    <n v="283.37"/>
    <n v="0.15"/>
    <n v="1204.32"/>
    <n v="1004.68"/>
    <n v="199.64"/>
    <x v="1"/>
    <x v="3"/>
    <x v="1"/>
    <x v="0"/>
    <x v="0"/>
    <n v="0.16576989504450645"/>
  </r>
  <r>
    <x v="30"/>
    <d v="2026-02-15T00:00:00"/>
    <x v="30"/>
    <x v="8"/>
    <x v="2"/>
    <x v="15"/>
    <n v="6"/>
    <n v="286.64999999999998"/>
    <n v="0"/>
    <n v="1719.9"/>
    <n v="1133.3699999999999"/>
    <n v="586.53"/>
    <x v="0"/>
    <x v="1"/>
    <x v="1"/>
    <x v="1"/>
    <x v="0"/>
    <n v="0.34102564102564098"/>
  </r>
  <r>
    <x v="31"/>
    <d v="2025-03-18T00:00:00"/>
    <x v="31"/>
    <x v="6"/>
    <x v="0"/>
    <x v="11"/>
    <n v="1"/>
    <n v="287.87"/>
    <n v="0.05"/>
    <n v="273.48"/>
    <n v="171.32"/>
    <n v="102.16"/>
    <x v="1"/>
    <x v="0"/>
    <x v="1"/>
    <x v="0"/>
    <x v="1"/>
    <n v="0.3735556530642094"/>
  </r>
  <r>
    <x v="32"/>
    <d v="2026-02-20T00:00:00"/>
    <x v="32"/>
    <x v="2"/>
    <x v="0"/>
    <x v="1"/>
    <n v="6"/>
    <n v="303.7"/>
    <n v="0"/>
    <n v="1822.2"/>
    <n v="1449.29"/>
    <n v="372.91"/>
    <x v="1"/>
    <x v="0"/>
    <x v="0"/>
    <x v="1"/>
    <x v="0"/>
    <n v="0.20464822741740754"/>
  </r>
  <r>
    <x v="33"/>
    <d v="2025-08-02T00:00:00"/>
    <x v="33"/>
    <x v="8"/>
    <x v="3"/>
    <x v="4"/>
    <n v="3"/>
    <n v="312.43"/>
    <n v="0"/>
    <n v="937.29"/>
    <n v="737.78"/>
    <n v="199.51"/>
    <x v="1"/>
    <x v="0"/>
    <x v="1"/>
    <x v="6"/>
    <x v="1"/>
    <n v="0.21285834693638042"/>
  </r>
  <r>
    <x v="34"/>
    <d v="2025-06-13T00:00:00"/>
    <x v="34"/>
    <x v="9"/>
    <x v="1"/>
    <x v="16"/>
    <n v="6"/>
    <n v="319.70999999999998"/>
    <n v="0.05"/>
    <n v="1822.35"/>
    <n v="1506.68"/>
    <n v="315.67"/>
    <x v="0"/>
    <x v="0"/>
    <x v="1"/>
    <x v="10"/>
    <x v="1"/>
    <n v="0.17322138996350867"/>
  </r>
  <r>
    <x v="35"/>
    <d v="2026-01-26T00:00:00"/>
    <x v="35"/>
    <x v="4"/>
    <x v="0"/>
    <x v="9"/>
    <n v="1"/>
    <n v="320.27999999999997"/>
    <n v="0.1"/>
    <n v="288.25"/>
    <n v="243.11"/>
    <n v="45.14"/>
    <x v="1"/>
    <x v="0"/>
    <x v="1"/>
    <x v="9"/>
    <x v="0"/>
    <n v="0.15660017346053773"/>
  </r>
  <r>
    <x v="36"/>
    <d v="2025-06-10T00:00:00"/>
    <x v="36"/>
    <x v="9"/>
    <x v="0"/>
    <x v="1"/>
    <n v="5"/>
    <n v="333.12"/>
    <n v="0.2"/>
    <n v="1332.48"/>
    <n v="870.74"/>
    <n v="461.74"/>
    <x v="0"/>
    <x v="3"/>
    <x v="1"/>
    <x v="10"/>
    <x v="1"/>
    <n v="0.3465267771373679"/>
  </r>
  <r>
    <x v="37"/>
    <d v="2025-07-04T00:00:00"/>
    <x v="37"/>
    <x v="8"/>
    <x v="3"/>
    <x v="4"/>
    <n v="5"/>
    <n v="334.06"/>
    <n v="0.05"/>
    <n v="1586.78"/>
    <n v="1090.6500000000001"/>
    <n v="496.13"/>
    <x v="1"/>
    <x v="3"/>
    <x v="1"/>
    <x v="2"/>
    <x v="1"/>
    <n v="0.31266464160123014"/>
  </r>
  <r>
    <x v="38"/>
    <d v="2026-04-26T00:00:00"/>
    <x v="38"/>
    <x v="8"/>
    <x v="2"/>
    <x v="15"/>
    <n v="2"/>
    <n v="340.87"/>
    <n v="0.15"/>
    <n v="579.48"/>
    <n v="384.98"/>
    <n v="194.5"/>
    <x v="1"/>
    <x v="1"/>
    <x v="0"/>
    <x v="8"/>
    <x v="0"/>
    <n v="0.33564575136329122"/>
  </r>
  <r>
    <x v="39"/>
    <d v="2026-08-23T00:00:00"/>
    <x v="39"/>
    <x v="4"/>
    <x v="1"/>
    <x v="7"/>
    <n v="3"/>
    <n v="346.26"/>
    <n v="0"/>
    <n v="1038.78"/>
    <n v="817.86"/>
    <n v="220.92"/>
    <x v="1"/>
    <x v="0"/>
    <x v="1"/>
    <x v="6"/>
    <x v="0"/>
    <n v="0.21267255819326517"/>
  </r>
  <r>
    <x v="40"/>
    <d v="2025-04-16T00:00:00"/>
    <x v="40"/>
    <x v="4"/>
    <x v="1"/>
    <x v="2"/>
    <n v="3"/>
    <n v="346.65"/>
    <n v="0.1"/>
    <n v="935.95"/>
    <n v="583.25"/>
    <n v="352.7"/>
    <x v="1"/>
    <x v="0"/>
    <x v="1"/>
    <x v="8"/>
    <x v="1"/>
    <n v="0.37683636946418075"/>
  </r>
  <r>
    <x v="41"/>
    <d v="2026-01-09T00:00:00"/>
    <x v="41"/>
    <x v="8"/>
    <x v="0"/>
    <x v="17"/>
    <n v="1"/>
    <n v="350.12"/>
    <n v="0.05"/>
    <n v="332.61"/>
    <n v="230.35"/>
    <n v="102.26"/>
    <x v="1"/>
    <x v="3"/>
    <x v="1"/>
    <x v="9"/>
    <x v="0"/>
    <n v="0.30744716033793335"/>
  </r>
  <r>
    <x v="42"/>
    <d v="2026-02-01T00:00:00"/>
    <x v="42"/>
    <x v="0"/>
    <x v="1"/>
    <x v="16"/>
    <n v="1"/>
    <n v="351.77"/>
    <n v="0"/>
    <n v="351.77"/>
    <n v="277.89"/>
    <n v="73.88"/>
    <x v="1"/>
    <x v="0"/>
    <x v="1"/>
    <x v="1"/>
    <x v="0"/>
    <n v="0.2100235949626176"/>
  </r>
  <r>
    <x v="43"/>
    <d v="2025-12-21T00:00:00"/>
    <x v="43"/>
    <x v="5"/>
    <x v="3"/>
    <x v="5"/>
    <n v="4"/>
    <n v="351.9"/>
    <n v="0.2"/>
    <n v="1126.08"/>
    <n v="656.33"/>
    <n v="469.75"/>
    <x v="1"/>
    <x v="0"/>
    <x v="1"/>
    <x v="7"/>
    <x v="1"/>
    <n v="0.41715508667235013"/>
  </r>
  <r>
    <x v="44"/>
    <d v="2025-09-10T00:00:00"/>
    <x v="44"/>
    <x v="3"/>
    <x v="2"/>
    <x v="14"/>
    <n v="1"/>
    <n v="357.2"/>
    <n v="0"/>
    <n v="357.2"/>
    <n v="287.70999999999998"/>
    <n v="69.489999999999995"/>
    <x v="0"/>
    <x v="2"/>
    <x v="0"/>
    <x v="4"/>
    <x v="1"/>
    <n v="0.19454087346024634"/>
  </r>
  <r>
    <x v="45"/>
    <d v="2026-01-02T00:00:00"/>
    <x v="45"/>
    <x v="0"/>
    <x v="2"/>
    <x v="14"/>
    <n v="4"/>
    <n v="359.1"/>
    <n v="0.1"/>
    <n v="1292.76"/>
    <n v="1050.3399999999999"/>
    <n v="242.42"/>
    <x v="1"/>
    <x v="1"/>
    <x v="1"/>
    <x v="9"/>
    <x v="0"/>
    <n v="0.18752127231659393"/>
  </r>
  <r>
    <x v="46"/>
    <d v="2025-11-28T00:00:00"/>
    <x v="46"/>
    <x v="4"/>
    <x v="1"/>
    <x v="7"/>
    <n v="4"/>
    <n v="361.77"/>
    <n v="0.2"/>
    <n v="1157.6600000000001"/>
    <n v="964.78"/>
    <n v="192.88"/>
    <x v="1"/>
    <x v="0"/>
    <x v="1"/>
    <x v="3"/>
    <x v="1"/>
    <n v="0.16661195860615377"/>
  </r>
  <r>
    <x v="47"/>
    <d v="2025-07-12T00:00:00"/>
    <x v="47"/>
    <x v="7"/>
    <x v="0"/>
    <x v="11"/>
    <n v="5"/>
    <n v="363.59"/>
    <n v="0.2"/>
    <n v="1454.36"/>
    <n v="1149.03"/>
    <n v="305.33"/>
    <x v="1"/>
    <x v="0"/>
    <x v="1"/>
    <x v="2"/>
    <x v="1"/>
    <n v="0.2099411424956682"/>
  </r>
  <r>
    <x v="48"/>
    <d v="2025-10-18T00:00:00"/>
    <x v="48"/>
    <x v="0"/>
    <x v="0"/>
    <x v="17"/>
    <n v="5"/>
    <n v="372.7"/>
    <n v="0.2"/>
    <n v="1490.8"/>
    <n v="1023.78"/>
    <n v="467.02"/>
    <x v="0"/>
    <x v="2"/>
    <x v="1"/>
    <x v="11"/>
    <x v="1"/>
    <n v="0.31326804400321973"/>
  </r>
  <r>
    <x v="49"/>
    <d v="2025-03-24T00:00:00"/>
    <x v="49"/>
    <x v="9"/>
    <x v="1"/>
    <x v="16"/>
    <n v="3"/>
    <n v="372.88"/>
    <n v="0.2"/>
    <n v="894.91"/>
    <n v="639.48"/>
    <n v="255.43"/>
    <x v="0"/>
    <x v="3"/>
    <x v="0"/>
    <x v="0"/>
    <x v="1"/>
    <n v="0.28542535003519909"/>
  </r>
  <r>
    <x v="50"/>
    <d v="2026-05-05T00:00:00"/>
    <x v="50"/>
    <x v="0"/>
    <x v="3"/>
    <x v="6"/>
    <n v="6"/>
    <n v="380.6"/>
    <n v="0.1"/>
    <n v="2055.2399999999998"/>
    <n v="1366.73"/>
    <n v="688.51"/>
    <x v="1"/>
    <x v="0"/>
    <x v="1"/>
    <x v="5"/>
    <x v="0"/>
    <n v="0.33500223818142899"/>
  </r>
  <r>
    <x v="51"/>
    <d v="2025-01-22T00:00:00"/>
    <x v="51"/>
    <x v="6"/>
    <x v="0"/>
    <x v="11"/>
    <n v="6"/>
    <n v="403.25"/>
    <n v="0.15"/>
    <n v="2056.5700000000002"/>
    <n v="1360.17"/>
    <n v="696.4"/>
    <x v="0"/>
    <x v="2"/>
    <x v="0"/>
    <x v="9"/>
    <x v="1"/>
    <n v="0.33862207461939048"/>
  </r>
  <r>
    <x v="52"/>
    <d v="2025-02-16T00:00:00"/>
    <x v="52"/>
    <x v="6"/>
    <x v="2"/>
    <x v="15"/>
    <n v="2"/>
    <n v="416.17"/>
    <n v="0.2"/>
    <n v="665.87"/>
    <n v="467.19"/>
    <n v="198.68"/>
    <x v="0"/>
    <x v="0"/>
    <x v="1"/>
    <x v="1"/>
    <x v="1"/>
    <n v="0.29837655998918711"/>
  </r>
  <r>
    <x v="53"/>
    <d v="2025-02-16T00:00:00"/>
    <x v="53"/>
    <x v="9"/>
    <x v="2"/>
    <x v="13"/>
    <n v="5"/>
    <n v="422.45"/>
    <n v="0.05"/>
    <n v="2006.64"/>
    <n v="1280.05"/>
    <n v="726.59"/>
    <x v="1"/>
    <x v="3"/>
    <x v="1"/>
    <x v="1"/>
    <x v="1"/>
    <n v="0.36209285173224892"/>
  </r>
  <r>
    <x v="54"/>
    <d v="2025-08-10T00:00:00"/>
    <x v="54"/>
    <x v="4"/>
    <x v="0"/>
    <x v="9"/>
    <n v="1"/>
    <n v="434.66"/>
    <n v="0.05"/>
    <n v="412.93"/>
    <n v="344.68"/>
    <n v="68.25"/>
    <x v="1"/>
    <x v="2"/>
    <x v="1"/>
    <x v="6"/>
    <x v="1"/>
    <n v="0.16528225122902188"/>
  </r>
  <r>
    <x v="55"/>
    <d v="2025-02-03T00:00:00"/>
    <x v="55"/>
    <x v="4"/>
    <x v="3"/>
    <x v="8"/>
    <n v="1"/>
    <n v="436.37"/>
    <n v="0.2"/>
    <n v="349.1"/>
    <n v="208.75"/>
    <n v="140.35"/>
    <x v="0"/>
    <x v="1"/>
    <x v="1"/>
    <x v="1"/>
    <x v="1"/>
    <n v="0.40203380120309362"/>
  </r>
  <r>
    <x v="56"/>
    <d v="2026-05-14T00:00:00"/>
    <x v="56"/>
    <x v="9"/>
    <x v="2"/>
    <x v="3"/>
    <n v="6"/>
    <n v="437.51"/>
    <n v="0.2"/>
    <n v="2100.0500000000002"/>
    <n v="1427.05"/>
    <n v="673"/>
    <x v="1"/>
    <x v="3"/>
    <x v="1"/>
    <x v="5"/>
    <x v="0"/>
    <n v="0.32046856027237441"/>
  </r>
  <r>
    <x v="57"/>
    <d v="2025-06-20T00:00:00"/>
    <x v="57"/>
    <x v="6"/>
    <x v="3"/>
    <x v="4"/>
    <n v="6"/>
    <n v="440.16"/>
    <n v="0.05"/>
    <n v="2508.91"/>
    <n v="1529.18"/>
    <n v="979.73"/>
    <x v="0"/>
    <x v="0"/>
    <x v="1"/>
    <x v="10"/>
    <x v="1"/>
    <n v="0.39050025708375352"/>
  </r>
  <r>
    <x v="58"/>
    <d v="2025-07-04T00:00:00"/>
    <x v="58"/>
    <x v="7"/>
    <x v="0"/>
    <x v="9"/>
    <n v="5"/>
    <n v="441.04"/>
    <n v="0"/>
    <n v="2205.1999999999998"/>
    <n v="1441.9"/>
    <n v="763.3"/>
    <x v="0"/>
    <x v="2"/>
    <x v="1"/>
    <x v="2"/>
    <x v="1"/>
    <n v="0.34613640486123709"/>
  </r>
  <r>
    <x v="59"/>
    <d v="2025-09-24T00:00:00"/>
    <x v="17"/>
    <x v="2"/>
    <x v="1"/>
    <x v="18"/>
    <n v="2"/>
    <n v="441.13"/>
    <n v="0"/>
    <n v="882.26"/>
    <n v="552.37"/>
    <n v="329.89"/>
    <x v="0"/>
    <x v="2"/>
    <x v="0"/>
    <x v="4"/>
    <x v="1"/>
    <n v="0.3739147190170698"/>
  </r>
  <r>
    <x v="60"/>
    <d v="2025-04-08T00:00:00"/>
    <x v="47"/>
    <x v="6"/>
    <x v="0"/>
    <x v="1"/>
    <n v="2"/>
    <n v="445.12"/>
    <n v="0.1"/>
    <n v="801.22"/>
    <n v="469.97"/>
    <n v="331.25"/>
    <x v="0"/>
    <x v="3"/>
    <x v="1"/>
    <x v="8"/>
    <x v="1"/>
    <n v="0.4134320161753326"/>
  </r>
  <r>
    <x v="61"/>
    <d v="2026-03-21T00:00:00"/>
    <x v="59"/>
    <x v="5"/>
    <x v="2"/>
    <x v="14"/>
    <n v="5"/>
    <n v="448.39"/>
    <n v="0.05"/>
    <n v="2129.85"/>
    <n v="1412.17"/>
    <n v="717.68"/>
    <x v="1"/>
    <x v="0"/>
    <x v="1"/>
    <x v="0"/>
    <x v="0"/>
    <n v="0.33696269690353781"/>
  </r>
  <r>
    <x v="62"/>
    <d v="2025-11-08T00:00:00"/>
    <x v="18"/>
    <x v="1"/>
    <x v="1"/>
    <x v="16"/>
    <n v="3"/>
    <n v="456.07"/>
    <n v="0"/>
    <n v="1368.21"/>
    <n v="1030.74"/>
    <n v="337.47"/>
    <x v="1"/>
    <x v="3"/>
    <x v="1"/>
    <x v="3"/>
    <x v="1"/>
    <n v="0.24665073344004212"/>
  </r>
  <r>
    <x v="63"/>
    <d v="2025-07-18T00:00:00"/>
    <x v="60"/>
    <x v="2"/>
    <x v="0"/>
    <x v="1"/>
    <n v="3"/>
    <n v="456.92"/>
    <n v="0.2"/>
    <n v="1096.6099999999999"/>
    <n v="812.99"/>
    <n v="283.62"/>
    <x v="0"/>
    <x v="2"/>
    <x v="1"/>
    <x v="2"/>
    <x v="1"/>
    <n v="0.25863342482742274"/>
  </r>
  <r>
    <x v="64"/>
    <d v="2026-05-20T00:00:00"/>
    <x v="61"/>
    <x v="9"/>
    <x v="0"/>
    <x v="17"/>
    <n v="6"/>
    <n v="458.64"/>
    <n v="0.2"/>
    <n v="2201.4699999999998"/>
    <n v="1755.44"/>
    <n v="446.03"/>
    <x v="1"/>
    <x v="0"/>
    <x v="0"/>
    <x v="5"/>
    <x v="0"/>
    <n v="0.20260553175832513"/>
  </r>
  <r>
    <x v="65"/>
    <d v="2025-01-14T00:00:00"/>
    <x v="62"/>
    <x v="9"/>
    <x v="1"/>
    <x v="2"/>
    <n v="5"/>
    <n v="467.64"/>
    <n v="0.1"/>
    <n v="2104.38"/>
    <n v="1581.61"/>
    <n v="522.77"/>
    <x v="1"/>
    <x v="2"/>
    <x v="1"/>
    <x v="9"/>
    <x v="1"/>
    <n v="0.24841996217413204"/>
  </r>
  <r>
    <x v="66"/>
    <d v="2025-06-14T00:00:00"/>
    <x v="63"/>
    <x v="3"/>
    <x v="0"/>
    <x v="9"/>
    <n v="1"/>
    <n v="467.69"/>
    <n v="0"/>
    <n v="467.69"/>
    <n v="345.76"/>
    <n v="121.93"/>
    <x v="1"/>
    <x v="1"/>
    <x v="1"/>
    <x v="10"/>
    <x v="1"/>
    <n v="0.26070687848788732"/>
  </r>
  <r>
    <x v="67"/>
    <d v="2025-02-17T00:00:00"/>
    <x v="64"/>
    <x v="7"/>
    <x v="1"/>
    <x v="16"/>
    <n v="6"/>
    <n v="474.16"/>
    <n v="0"/>
    <n v="2844.96"/>
    <n v="2149.21"/>
    <n v="695.75"/>
    <x v="1"/>
    <x v="0"/>
    <x v="1"/>
    <x v="1"/>
    <x v="1"/>
    <n v="0.24455528372982396"/>
  </r>
  <r>
    <x v="68"/>
    <d v="2025-06-08T00:00:00"/>
    <x v="65"/>
    <x v="6"/>
    <x v="1"/>
    <x v="18"/>
    <n v="1"/>
    <n v="480.6"/>
    <n v="0.15"/>
    <n v="408.51"/>
    <n v="226"/>
    <n v="182.51"/>
    <x v="1"/>
    <x v="3"/>
    <x v="1"/>
    <x v="10"/>
    <x v="1"/>
    <n v="0.44676996891140974"/>
  </r>
  <r>
    <x v="69"/>
    <d v="2026-01-05T00:00:00"/>
    <x v="66"/>
    <x v="1"/>
    <x v="3"/>
    <x v="5"/>
    <n v="3"/>
    <n v="481.3"/>
    <n v="0"/>
    <n v="1443.9"/>
    <n v="1209.56"/>
    <n v="234.34"/>
    <x v="1"/>
    <x v="1"/>
    <x v="1"/>
    <x v="9"/>
    <x v="0"/>
    <n v="0.16229655793337489"/>
  </r>
  <r>
    <x v="70"/>
    <d v="2026-05-06T00:00:00"/>
    <x v="67"/>
    <x v="8"/>
    <x v="2"/>
    <x v="3"/>
    <n v="3"/>
    <n v="485.46"/>
    <n v="0"/>
    <n v="1456.38"/>
    <n v="1181.93"/>
    <n v="274.45"/>
    <x v="0"/>
    <x v="0"/>
    <x v="1"/>
    <x v="5"/>
    <x v="0"/>
    <n v="0.18844669660390831"/>
  </r>
  <r>
    <x v="71"/>
    <d v="2026-07-01T00:00:00"/>
    <x v="68"/>
    <x v="5"/>
    <x v="2"/>
    <x v="15"/>
    <n v="6"/>
    <n v="488.23"/>
    <n v="0.1"/>
    <n v="2636.44"/>
    <n v="1821.44"/>
    <n v="815"/>
    <x v="1"/>
    <x v="1"/>
    <x v="1"/>
    <x v="2"/>
    <x v="0"/>
    <n v="0.30912897695377101"/>
  </r>
  <r>
    <x v="72"/>
    <d v="2025-01-21T00:00:00"/>
    <x v="69"/>
    <x v="1"/>
    <x v="3"/>
    <x v="4"/>
    <n v="2"/>
    <n v="491.42"/>
    <n v="0.05"/>
    <n v="933.7"/>
    <n v="641.91"/>
    <n v="291.79000000000002"/>
    <x v="0"/>
    <x v="1"/>
    <x v="1"/>
    <x v="9"/>
    <x v="1"/>
    <n v="0.31250937131841061"/>
  </r>
  <r>
    <x v="73"/>
    <d v="2025-08-10T00:00:00"/>
    <x v="70"/>
    <x v="6"/>
    <x v="2"/>
    <x v="3"/>
    <n v="2"/>
    <n v="493.22"/>
    <n v="0.05"/>
    <n v="937.12"/>
    <n v="653.37"/>
    <n v="283.75"/>
    <x v="1"/>
    <x v="0"/>
    <x v="1"/>
    <x v="6"/>
    <x v="1"/>
    <n v="0.30278939730237325"/>
  </r>
  <r>
    <x v="74"/>
    <d v="2026-05-02T00:00:00"/>
    <x v="71"/>
    <x v="1"/>
    <x v="2"/>
    <x v="13"/>
    <n v="3"/>
    <n v="494.37"/>
    <n v="0"/>
    <n v="1483.11"/>
    <n v="959.2"/>
    <n v="523.91"/>
    <x v="1"/>
    <x v="0"/>
    <x v="0"/>
    <x v="5"/>
    <x v="0"/>
    <n v="0.35325093890540821"/>
  </r>
  <r>
    <x v="75"/>
    <d v="2025-05-28T00:00:00"/>
    <x v="72"/>
    <x v="1"/>
    <x v="2"/>
    <x v="13"/>
    <n v="1"/>
    <n v="495.45"/>
    <n v="0"/>
    <n v="495.45"/>
    <n v="277.27999999999997"/>
    <n v="218.17"/>
    <x v="0"/>
    <x v="2"/>
    <x v="1"/>
    <x v="5"/>
    <x v="1"/>
    <n v="0.44034715914824907"/>
  </r>
  <r>
    <x v="76"/>
    <d v="2025-01-18T00:00:00"/>
    <x v="73"/>
    <x v="6"/>
    <x v="2"/>
    <x v="13"/>
    <n v="2"/>
    <n v="498.02"/>
    <n v="0.2"/>
    <n v="796.83"/>
    <n v="564.1"/>
    <n v="232.73"/>
    <x v="0"/>
    <x v="1"/>
    <x v="1"/>
    <x v="9"/>
    <x v="1"/>
    <n v="0.29206982668825215"/>
  </r>
  <r>
    <x v="77"/>
    <d v="2025-09-09T00:00:00"/>
    <x v="74"/>
    <x v="7"/>
    <x v="0"/>
    <x v="0"/>
    <n v="3"/>
    <n v="504.44"/>
    <n v="0.05"/>
    <n v="1437.65"/>
    <n v="939.95"/>
    <n v="497.7"/>
    <x v="1"/>
    <x v="3"/>
    <x v="1"/>
    <x v="4"/>
    <x v="1"/>
    <n v="0.34618996278649183"/>
  </r>
  <r>
    <x v="78"/>
    <d v="2026-07-17T00:00:00"/>
    <x v="75"/>
    <x v="6"/>
    <x v="3"/>
    <x v="6"/>
    <n v="4"/>
    <n v="506.86"/>
    <n v="0"/>
    <n v="2027.44"/>
    <n v="1635.53"/>
    <n v="391.91"/>
    <x v="0"/>
    <x v="3"/>
    <x v="0"/>
    <x v="2"/>
    <x v="0"/>
    <n v="0.19330288442567969"/>
  </r>
  <r>
    <x v="79"/>
    <d v="2026-05-10T00:00:00"/>
    <x v="76"/>
    <x v="9"/>
    <x v="0"/>
    <x v="17"/>
    <n v="6"/>
    <n v="512.67999999999995"/>
    <n v="0.05"/>
    <n v="2922.28"/>
    <n v="2241.25"/>
    <n v="681.03"/>
    <x v="0"/>
    <x v="2"/>
    <x v="1"/>
    <x v="5"/>
    <x v="0"/>
    <n v="0.23304748347180965"/>
  </r>
  <r>
    <x v="80"/>
    <d v="2025-05-12T00:00:00"/>
    <x v="77"/>
    <x v="9"/>
    <x v="2"/>
    <x v="3"/>
    <n v="4"/>
    <n v="513.62"/>
    <n v="0.05"/>
    <n v="1951.76"/>
    <n v="1142.94"/>
    <n v="808.82"/>
    <x v="0"/>
    <x v="3"/>
    <x v="1"/>
    <x v="5"/>
    <x v="1"/>
    <n v="0.41440545968766657"/>
  </r>
  <r>
    <x v="81"/>
    <d v="2025-12-16T00:00:00"/>
    <x v="78"/>
    <x v="7"/>
    <x v="3"/>
    <x v="5"/>
    <n v="6"/>
    <n v="527.11"/>
    <n v="0.2"/>
    <n v="2530.13"/>
    <n v="1421.82"/>
    <n v="1108.31"/>
    <x v="1"/>
    <x v="0"/>
    <x v="0"/>
    <x v="7"/>
    <x v="1"/>
    <n v="0.43804468545094516"/>
  </r>
  <r>
    <x v="82"/>
    <d v="2025-02-03T00:00:00"/>
    <x v="79"/>
    <x v="1"/>
    <x v="2"/>
    <x v="15"/>
    <n v="5"/>
    <n v="534.26"/>
    <n v="0.1"/>
    <n v="2404.17"/>
    <n v="1640.53"/>
    <n v="763.64"/>
    <x v="1"/>
    <x v="2"/>
    <x v="0"/>
    <x v="1"/>
    <x v="1"/>
    <n v="0.31763144869123228"/>
  </r>
  <r>
    <x v="83"/>
    <d v="2026-08-22T00:00:00"/>
    <x v="80"/>
    <x v="4"/>
    <x v="2"/>
    <x v="14"/>
    <n v="3"/>
    <n v="540.44000000000005"/>
    <n v="0.1"/>
    <n v="1459.19"/>
    <n v="1055.4100000000001"/>
    <n v="403.78"/>
    <x v="0"/>
    <x v="1"/>
    <x v="1"/>
    <x v="6"/>
    <x v="0"/>
    <n v="0.27671516389229639"/>
  </r>
  <r>
    <x v="84"/>
    <d v="2025-05-04T00:00:00"/>
    <x v="81"/>
    <x v="1"/>
    <x v="1"/>
    <x v="7"/>
    <n v="4"/>
    <n v="545.64"/>
    <n v="0.2"/>
    <n v="1746.05"/>
    <n v="1268.51"/>
    <n v="477.54"/>
    <x v="1"/>
    <x v="0"/>
    <x v="1"/>
    <x v="5"/>
    <x v="1"/>
    <n v="0.27349732252799175"/>
  </r>
  <r>
    <x v="85"/>
    <d v="2025-02-06T00:00:00"/>
    <x v="82"/>
    <x v="0"/>
    <x v="0"/>
    <x v="1"/>
    <n v="2"/>
    <n v="548.47"/>
    <n v="0.15"/>
    <n v="932.4"/>
    <n v="550.33000000000004"/>
    <n v="382.07"/>
    <x v="0"/>
    <x v="2"/>
    <x v="0"/>
    <x v="1"/>
    <x v="1"/>
    <n v="0.40977048477048478"/>
  </r>
  <r>
    <x v="86"/>
    <d v="2026-08-11T00:00:00"/>
    <x v="83"/>
    <x v="9"/>
    <x v="3"/>
    <x v="10"/>
    <n v="2"/>
    <n v="555.92999999999995"/>
    <n v="0"/>
    <n v="1111.8599999999999"/>
    <n v="709.26"/>
    <n v="402.6"/>
    <x v="1"/>
    <x v="1"/>
    <x v="1"/>
    <x v="6"/>
    <x v="0"/>
    <n v="0.36209594733149864"/>
  </r>
  <r>
    <x v="87"/>
    <d v="2026-01-31T00:00:00"/>
    <x v="84"/>
    <x v="5"/>
    <x v="2"/>
    <x v="13"/>
    <n v="1"/>
    <n v="559.25"/>
    <n v="0"/>
    <n v="559.25"/>
    <n v="472.49"/>
    <n v="86.76"/>
    <x v="1"/>
    <x v="2"/>
    <x v="0"/>
    <x v="9"/>
    <x v="0"/>
    <n v="0.15513634331694234"/>
  </r>
  <r>
    <x v="88"/>
    <d v="2026-03-24T00:00:00"/>
    <x v="85"/>
    <x v="2"/>
    <x v="3"/>
    <x v="6"/>
    <n v="1"/>
    <n v="573.6"/>
    <n v="0.2"/>
    <n v="458.88"/>
    <n v="269.92"/>
    <n v="188.96"/>
    <x v="1"/>
    <x v="1"/>
    <x v="1"/>
    <x v="0"/>
    <x v="0"/>
    <n v="0.41178521617852165"/>
  </r>
  <r>
    <x v="89"/>
    <d v="2025-11-04T00:00:00"/>
    <x v="86"/>
    <x v="9"/>
    <x v="1"/>
    <x v="2"/>
    <n v="3"/>
    <n v="580.02"/>
    <n v="0"/>
    <n v="1740.06"/>
    <n v="1339.83"/>
    <n v="400.23"/>
    <x v="0"/>
    <x v="2"/>
    <x v="1"/>
    <x v="3"/>
    <x v="1"/>
    <n v="0.2300093100237923"/>
  </r>
  <r>
    <x v="90"/>
    <d v="2026-08-01T00:00:00"/>
    <x v="41"/>
    <x v="3"/>
    <x v="1"/>
    <x v="18"/>
    <n v="1"/>
    <n v="583.07000000000005"/>
    <n v="0.15"/>
    <n v="495.61"/>
    <n v="360.14"/>
    <n v="135.47"/>
    <x v="1"/>
    <x v="2"/>
    <x v="0"/>
    <x v="6"/>
    <x v="0"/>
    <n v="0.27333992453743872"/>
  </r>
  <r>
    <x v="91"/>
    <d v="2025-05-24T00:00:00"/>
    <x v="21"/>
    <x v="7"/>
    <x v="3"/>
    <x v="6"/>
    <n v="4"/>
    <n v="583.48"/>
    <n v="0"/>
    <n v="2333.92"/>
    <n v="1538.67"/>
    <n v="795.25"/>
    <x v="1"/>
    <x v="1"/>
    <x v="1"/>
    <x v="5"/>
    <x v="1"/>
    <n v="0.34073575786659355"/>
  </r>
  <r>
    <x v="92"/>
    <d v="2025-01-27T00:00:00"/>
    <x v="11"/>
    <x v="3"/>
    <x v="0"/>
    <x v="1"/>
    <n v="3"/>
    <n v="584.27"/>
    <n v="0"/>
    <n v="1752.81"/>
    <n v="1096.33"/>
    <n v="656.48"/>
    <x v="1"/>
    <x v="2"/>
    <x v="1"/>
    <x v="9"/>
    <x v="1"/>
    <n v="0.37453004033523318"/>
  </r>
  <r>
    <x v="93"/>
    <d v="2026-05-21T00:00:00"/>
    <x v="87"/>
    <x v="6"/>
    <x v="0"/>
    <x v="0"/>
    <n v="6"/>
    <n v="591.79999999999995"/>
    <n v="0"/>
    <n v="3550.8"/>
    <n v="2395.85"/>
    <n v="1154.95"/>
    <x v="1"/>
    <x v="2"/>
    <x v="1"/>
    <x v="5"/>
    <x v="0"/>
    <n v="0.32526472907513798"/>
  </r>
  <r>
    <x v="94"/>
    <d v="2025-10-03T00:00:00"/>
    <x v="33"/>
    <x v="1"/>
    <x v="2"/>
    <x v="15"/>
    <n v="6"/>
    <n v="605.09"/>
    <n v="0.15"/>
    <n v="3085.96"/>
    <n v="2003.61"/>
    <n v="1082.3499999999999"/>
    <x v="1"/>
    <x v="3"/>
    <x v="1"/>
    <x v="11"/>
    <x v="1"/>
    <n v="0.35073364528380147"/>
  </r>
  <r>
    <x v="95"/>
    <d v="2025-03-08T00:00:00"/>
    <x v="88"/>
    <x v="5"/>
    <x v="1"/>
    <x v="18"/>
    <n v="5"/>
    <n v="608.66999999999996"/>
    <n v="0"/>
    <n v="3043.35"/>
    <n v="1881.83"/>
    <n v="1161.52"/>
    <x v="0"/>
    <x v="0"/>
    <x v="1"/>
    <x v="0"/>
    <x v="1"/>
    <n v="0.38165836988844531"/>
  </r>
  <r>
    <x v="96"/>
    <d v="2026-04-20T00:00:00"/>
    <x v="73"/>
    <x v="7"/>
    <x v="2"/>
    <x v="3"/>
    <n v="6"/>
    <n v="623.85"/>
    <n v="0.15"/>
    <n v="3181.64"/>
    <n v="2399.29"/>
    <n v="782.35"/>
    <x v="0"/>
    <x v="2"/>
    <x v="1"/>
    <x v="8"/>
    <x v="0"/>
    <n v="0.24589519870255594"/>
  </r>
  <r>
    <x v="97"/>
    <d v="2025-11-09T00:00:00"/>
    <x v="89"/>
    <x v="7"/>
    <x v="3"/>
    <x v="8"/>
    <n v="1"/>
    <n v="630.54"/>
    <n v="0.05"/>
    <n v="599.01"/>
    <n v="366"/>
    <n v="233.01"/>
    <x v="0"/>
    <x v="1"/>
    <x v="0"/>
    <x v="3"/>
    <x v="1"/>
    <n v="0.38899183653027497"/>
  </r>
  <r>
    <x v="98"/>
    <d v="2026-03-06T00:00:00"/>
    <x v="90"/>
    <x v="7"/>
    <x v="1"/>
    <x v="18"/>
    <n v="3"/>
    <n v="635.17999999999995"/>
    <n v="0"/>
    <n v="1905.54"/>
    <n v="1594.12"/>
    <n v="311.42"/>
    <x v="1"/>
    <x v="3"/>
    <x v="1"/>
    <x v="0"/>
    <x v="0"/>
    <n v="0.16342873935997146"/>
  </r>
  <r>
    <x v="99"/>
    <d v="2026-06-29T00:00:00"/>
    <x v="91"/>
    <x v="9"/>
    <x v="0"/>
    <x v="9"/>
    <n v="6"/>
    <n v="640.84"/>
    <n v="0"/>
    <n v="3845.04"/>
    <n v="3218.8"/>
    <n v="626.24"/>
    <x v="1"/>
    <x v="1"/>
    <x v="1"/>
    <x v="10"/>
    <x v="0"/>
    <n v="0.1628695670266109"/>
  </r>
  <r>
    <x v="100"/>
    <d v="2025-05-26T00:00:00"/>
    <x v="92"/>
    <x v="4"/>
    <x v="0"/>
    <x v="1"/>
    <n v="1"/>
    <n v="645.16"/>
    <n v="0.1"/>
    <n v="580.64"/>
    <n v="376.36"/>
    <n v="204.28"/>
    <x v="0"/>
    <x v="0"/>
    <x v="1"/>
    <x v="5"/>
    <x v="1"/>
    <n v="0.35181868283273632"/>
  </r>
  <r>
    <x v="101"/>
    <d v="2025-03-12T00:00:00"/>
    <x v="93"/>
    <x v="5"/>
    <x v="3"/>
    <x v="6"/>
    <n v="4"/>
    <n v="649.32000000000005"/>
    <n v="0.1"/>
    <n v="2337.5500000000002"/>
    <n v="1312.95"/>
    <n v="1024.5999999999999"/>
    <x v="1"/>
    <x v="0"/>
    <x v="1"/>
    <x v="0"/>
    <x v="1"/>
    <n v="0.43832217492673947"/>
  </r>
  <r>
    <x v="102"/>
    <d v="2025-06-03T00:00:00"/>
    <x v="46"/>
    <x v="5"/>
    <x v="3"/>
    <x v="10"/>
    <n v="2"/>
    <n v="656.21"/>
    <n v="0.15"/>
    <n v="1115.56"/>
    <n v="642.08000000000004"/>
    <n v="473.48"/>
    <x v="0"/>
    <x v="1"/>
    <x v="1"/>
    <x v="10"/>
    <x v="1"/>
    <n v="0.42443257198178497"/>
  </r>
  <r>
    <x v="103"/>
    <d v="2025-06-30T00:00:00"/>
    <x v="94"/>
    <x v="8"/>
    <x v="0"/>
    <x v="11"/>
    <n v="4"/>
    <n v="658.49"/>
    <n v="0"/>
    <n v="2633.96"/>
    <n v="1471.08"/>
    <n v="1162.8800000000001"/>
    <x v="1"/>
    <x v="3"/>
    <x v="1"/>
    <x v="10"/>
    <x v="1"/>
    <n v="0.44149493538246598"/>
  </r>
  <r>
    <x v="104"/>
    <d v="2026-06-29T00:00:00"/>
    <x v="95"/>
    <x v="7"/>
    <x v="0"/>
    <x v="11"/>
    <n v="2"/>
    <n v="661.53"/>
    <n v="0.1"/>
    <n v="1190.75"/>
    <n v="894.01"/>
    <n v="296.74"/>
    <x v="1"/>
    <x v="1"/>
    <x v="0"/>
    <x v="10"/>
    <x v="0"/>
    <n v="0.24920428301490657"/>
  </r>
  <r>
    <x v="105"/>
    <d v="2026-06-24T00:00:00"/>
    <x v="96"/>
    <x v="8"/>
    <x v="2"/>
    <x v="19"/>
    <n v="3"/>
    <n v="670.79"/>
    <n v="0.1"/>
    <n v="1811.13"/>
    <n v="1427.46"/>
    <n v="383.67"/>
    <x v="0"/>
    <x v="1"/>
    <x v="1"/>
    <x v="10"/>
    <x v="0"/>
    <n v="0.21184012191283894"/>
  </r>
  <r>
    <x v="106"/>
    <d v="2026-05-21T00:00:00"/>
    <x v="97"/>
    <x v="0"/>
    <x v="2"/>
    <x v="15"/>
    <n v="2"/>
    <n v="672.36"/>
    <n v="0.1"/>
    <n v="1210.25"/>
    <n v="776.56"/>
    <n v="433.69"/>
    <x v="1"/>
    <x v="2"/>
    <x v="1"/>
    <x v="5"/>
    <x v="0"/>
    <n v="0.35834744887419956"/>
  </r>
  <r>
    <x v="107"/>
    <d v="2025-03-17T00:00:00"/>
    <x v="48"/>
    <x v="7"/>
    <x v="0"/>
    <x v="1"/>
    <n v="1"/>
    <n v="673.16"/>
    <n v="0.1"/>
    <n v="605.84"/>
    <n v="424.3"/>
    <n v="181.54"/>
    <x v="0"/>
    <x v="0"/>
    <x v="1"/>
    <x v="0"/>
    <x v="1"/>
    <n v="0.299650072626436"/>
  </r>
  <r>
    <x v="108"/>
    <d v="2025-08-19T00:00:00"/>
    <x v="72"/>
    <x v="9"/>
    <x v="3"/>
    <x v="8"/>
    <n v="3"/>
    <n v="686.97"/>
    <n v="0.1"/>
    <n v="1854.82"/>
    <n v="1442.85"/>
    <n v="411.97"/>
    <x v="1"/>
    <x v="3"/>
    <x v="1"/>
    <x v="6"/>
    <x v="1"/>
    <n v="0.22210780560916965"/>
  </r>
  <r>
    <x v="109"/>
    <d v="2026-07-14T00:00:00"/>
    <x v="98"/>
    <x v="1"/>
    <x v="3"/>
    <x v="4"/>
    <n v="2"/>
    <n v="689.85"/>
    <n v="0.2"/>
    <n v="1103.76"/>
    <n v="665.26"/>
    <n v="438.5"/>
    <x v="1"/>
    <x v="2"/>
    <x v="1"/>
    <x v="2"/>
    <x v="0"/>
    <n v="0.39727839385373631"/>
  </r>
  <r>
    <x v="110"/>
    <d v="2026-04-07T00:00:00"/>
    <x v="99"/>
    <x v="9"/>
    <x v="3"/>
    <x v="6"/>
    <n v="6"/>
    <n v="690.54"/>
    <n v="0.05"/>
    <n v="3936.08"/>
    <n v="2867.28"/>
    <n v="1068.8"/>
    <x v="0"/>
    <x v="0"/>
    <x v="1"/>
    <x v="8"/>
    <x v="0"/>
    <n v="0.27153919635779761"/>
  </r>
  <r>
    <x v="111"/>
    <d v="2025-10-20T00:00:00"/>
    <x v="100"/>
    <x v="5"/>
    <x v="1"/>
    <x v="16"/>
    <n v="3"/>
    <n v="693.06"/>
    <n v="0"/>
    <n v="2079.1799999999998"/>
    <n v="1224.1500000000001"/>
    <n v="855.03"/>
    <x v="1"/>
    <x v="2"/>
    <x v="1"/>
    <x v="11"/>
    <x v="1"/>
    <n v="0.41123423657403402"/>
  </r>
  <r>
    <x v="112"/>
    <d v="2026-05-06T00:00:00"/>
    <x v="101"/>
    <x v="3"/>
    <x v="1"/>
    <x v="16"/>
    <n v="3"/>
    <n v="695.2"/>
    <n v="0"/>
    <n v="2085.6"/>
    <n v="1678.66"/>
    <n v="406.94"/>
    <x v="1"/>
    <x v="3"/>
    <x v="0"/>
    <x v="5"/>
    <x v="0"/>
    <n v="0.19511891062523976"/>
  </r>
  <r>
    <x v="113"/>
    <d v="2025-01-28T00:00:00"/>
    <x v="102"/>
    <x v="8"/>
    <x v="3"/>
    <x v="6"/>
    <n v="4"/>
    <n v="696.18"/>
    <n v="0.05"/>
    <n v="2645.48"/>
    <n v="1633.57"/>
    <n v="1011.91"/>
    <x v="0"/>
    <x v="1"/>
    <x v="1"/>
    <x v="9"/>
    <x v="1"/>
    <n v="0.38250525424497633"/>
  </r>
  <r>
    <x v="114"/>
    <d v="2025-02-28T00:00:00"/>
    <x v="103"/>
    <x v="9"/>
    <x v="2"/>
    <x v="13"/>
    <n v="3"/>
    <n v="697.01"/>
    <n v="0.05"/>
    <n v="1986.48"/>
    <n v="1141.55"/>
    <n v="844.93"/>
    <x v="0"/>
    <x v="2"/>
    <x v="1"/>
    <x v="1"/>
    <x v="1"/>
    <n v="0.42534030043091292"/>
  </r>
  <r>
    <x v="115"/>
    <d v="2026-06-04T00:00:00"/>
    <x v="104"/>
    <x v="0"/>
    <x v="2"/>
    <x v="19"/>
    <n v="2"/>
    <n v="704.41"/>
    <n v="0.05"/>
    <n v="1338.38"/>
    <n v="1009.79"/>
    <n v="328.59"/>
    <x v="0"/>
    <x v="3"/>
    <x v="1"/>
    <x v="10"/>
    <x v="0"/>
    <n v="0.24551323241530801"/>
  </r>
  <r>
    <x v="116"/>
    <d v="2026-08-08T00:00:00"/>
    <x v="105"/>
    <x v="4"/>
    <x v="2"/>
    <x v="15"/>
    <n v="6"/>
    <n v="711.85"/>
    <n v="0.15"/>
    <n v="3630.44"/>
    <n v="2014.92"/>
    <n v="1615.52"/>
    <x v="1"/>
    <x v="0"/>
    <x v="1"/>
    <x v="6"/>
    <x v="0"/>
    <n v="0.44499289342338666"/>
  </r>
  <r>
    <x v="117"/>
    <d v="2025-08-02T00:00:00"/>
    <x v="74"/>
    <x v="9"/>
    <x v="1"/>
    <x v="12"/>
    <n v="4"/>
    <n v="715.86"/>
    <n v="0.15"/>
    <n v="2433.92"/>
    <n v="1809.64"/>
    <n v="624.28"/>
    <x v="0"/>
    <x v="2"/>
    <x v="1"/>
    <x v="6"/>
    <x v="1"/>
    <n v="0.25649158559032342"/>
  </r>
  <r>
    <x v="118"/>
    <d v="2025-07-25T00:00:00"/>
    <x v="106"/>
    <x v="8"/>
    <x v="2"/>
    <x v="14"/>
    <n v="6"/>
    <n v="729"/>
    <n v="0"/>
    <n v="4374"/>
    <n v="2509"/>
    <n v="1865"/>
    <x v="0"/>
    <x v="0"/>
    <x v="1"/>
    <x v="2"/>
    <x v="1"/>
    <n v="0.42638317329675357"/>
  </r>
  <r>
    <x v="119"/>
    <d v="2025-05-12T00:00:00"/>
    <x v="107"/>
    <x v="3"/>
    <x v="3"/>
    <x v="8"/>
    <n v="4"/>
    <n v="730.84"/>
    <n v="0"/>
    <n v="2923.36"/>
    <n v="2138.41"/>
    <n v="784.95"/>
    <x v="1"/>
    <x v="3"/>
    <x v="1"/>
    <x v="5"/>
    <x v="1"/>
    <n v="0.26850952328827105"/>
  </r>
  <r>
    <x v="120"/>
    <d v="2025-07-20T00:00:00"/>
    <x v="108"/>
    <x v="7"/>
    <x v="1"/>
    <x v="16"/>
    <n v="2"/>
    <n v="731.31"/>
    <n v="0.05"/>
    <n v="1389.49"/>
    <n v="1150.95"/>
    <n v="238.54"/>
    <x v="1"/>
    <x v="3"/>
    <x v="1"/>
    <x v="2"/>
    <x v="1"/>
    <n v="0.17167449927671302"/>
  </r>
  <r>
    <x v="121"/>
    <d v="2026-04-25T00:00:00"/>
    <x v="109"/>
    <x v="6"/>
    <x v="1"/>
    <x v="18"/>
    <n v="5"/>
    <n v="734.08"/>
    <n v="0.1"/>
    <n v="3303.36"/>
    <n v="2497.15"/>
    <n v="806.21"/>
    <x v="1"/>
    <x v="1"/>
    <x v="1"/>
    <x v="8"/>
    <x v="0"/>
    <n v="0.24405756563014627"/>
  </r>
  <r>
    <x v="122"/>
    <d v="2026-04-15T00:00:00"/>
    <x v="110"/>
    <x v="5"/>
    <x v="1"/>
    <x v="16"/>
    <n v="1"/>
    <n v="734.75"/>
    <n v="0"/>
    <n v="734.75"/>
    <n v="444.98"/>
    <n v="289.77"/>
    <x v="0"/>
    <x v="0"/>
    <x v="1"/>
    <x v="8"/>
    <x v="0"/>
    <n v="0.39437904048996253"/>
  </r>
  <r>
    <x v="123"/>
    <d v="2025-09-04T00:00:00"/>
    <x v="111"/>
    <x v="2"/>
    <x v="1"/>
    <x v="7"/>
    <n v="6"/>
    <n v="736.11"/>
    <n v="0.2"/>
    <n v="3533.33"/>
    <n v="2377.29"/>
    <n v="1156.04"/>
    <x v="0"/>
    <x v="3"/>
    <x v="1"/>
    <x v="4"/>
    <x v="1"/>
    <n v="0.32718144073720823"/>
  </r>
  <r>
    <x v="124"/>
    <d v="2026-08-17T00:00:00"/>
    <x v="112"/>
    <x v="9"/>
    <x v="2"/>
    <x v="15"/>
    <n v="6"/>
    <n v="742.42"/>
    <n v="0.2"/>
    <n v="3563.62"/>
    <n v="2581.63"/>
    <n v="981.99"/>
    <x v="0"/>
    <x v="2"/>
    <x v="1"/>
    <x v="6"/>
    <x v="0"/>
    <n v="0.27555968369242512"/>
  </r>
  <r>
    <x v="125"/>
    <d v="2025-02-04T00:00:00"/>
    <x v="113"/>
    <x v="2"/>
    <x v="3"/>
    <x v="8"/>
    <n v="1"/>
    <n v="744.93"/>
    <n v="0.2"/>
    <n v="595.94000000000005"/>
    <n v="455.51"/>
    <n v="140.43"/>
    <x v="0"/>
    <x v="3"/>
    <x v="1"/>
    <x v="1"/>
    <x v="1"/>
    <n v="0.23564452797261468"/>
  </r>
  <r>
    <x v="126"/>
    <d v="2026-03-01T00:00:00"/>
    <x v="114"/>
    <x v="6"/>
    <x v="1"/>
    <x v="16"/>
    <n v="3"/>
    <n v="745.83"/>
    <n v="0.05"/>
    <n v="2125.62"/>
    <n v="1243.98"/>
    <n v="881.64"/>
    <x v="0"/>
    <x v="2"/>
    <x v="1"/>
    <x v="0"/>
    <x v="0"/>
    <n v="0.41476839698535017"/>
  </r>
  <r>
    <x v="127"/>
    <d v="2025-07-03T00:00:00"/>
    <x v="58"/>
    <x v="0"/>
    <x v="3"/>
    <x v="10"/>
    <n v="6"/>
    <n v="747.37"/>
    <n v="0"/>
    <n v="4484.22"/>
    <n v="3192.1"/>
    <n v="1292.1199999999999"/>
    <x v="0"/>
    <x v="2"/>
    <x v="0"/>
    <x v="2"/>
    <x v="1"/>
    <n v="0.2881482175272399"/>
  </r>
  <r>
    <x v="128"/>
    <d v="2025-11-12T00:00:00"/>
    <x v="115"/>
    <x v="2"/>
    <x v="2"/>
    <x v="19"/>
    <n v="1"/>
    <n v="748.7"/>
    <n v="0.1"/>
    <n v="673.83"/>
    <n v="406.57"/>
    <n v="267.26"/>
    <x v="1"/>
    <x v="0"/>
    <x v="1"/>
    <x v="3"/>
    <x v="1"/>
    <n v="0.39662822967217248"/>
  </r>
  <r>
    <x v="129"/>
    <d v="2025-03-31T00:00:00"/>
    <x v="49"/>
    <x v="5"/>
    <x v="3"/>
    <x v="10"/>
    <n v="1"/>
    <n v="749.9"/>
    <n v="0.1"/>
    <n v="674.91"/>
    <n v="392.3"/>
    <n v="282.61"/>
    <x v="1"/>
    <x v="1"/>
    <x v="1"/>
    <x v="0"/>
    <x v="1"/>
    <n v="0.41873731312323126"/>
  </r>
  <r>
    <x v="130"/>
    <d v="2026-05-12T00:00:00"/>
    <x v="49"/>
    <x v="3"/>
    <x v="1"/>
    <x v="18"/>
    <n v="1"/>
    <n v="751.9"/>
    <n v="0.15"/>
    <n v="639.12"/>
    <n v="422.85"/>
    <n v="216.27"/>
    <x v="1"/>
    <x v="0"/>
    <x v="1"/>
    <x v="5"/>
    <x v="0"/>
    <n v="0.33838715734134434"/>
  </r>
  <r>
    <x v="131"/>
    <d v="2026-02-04T00:00:00"/>
    <x v="116"/>
    <x v="5"/>
    <x v="1"/>
    <x v="2"/>
    <n v="3"/>
    <n v="752.36"/>
    <n v="0.05"/>
    <n v="2144.23"/>
    <n v="1182.0899999999999"/>
    <n v="962.14"/>
    <x v="0"/>
    <x v="0"/>
    <x v="0"/>
    <x v="1"/>
    <x v="0"/>
    <n v="0.44871119236275958"/>
  </r>
  <r>
    <x v="132"/>
    <d v="2025-06-05T00:00:00"/>
    <x v="93"/>
    <x v="4"/>
    <x v="0"/>
    <x v="11"/>
    <n v="4"/>
    <n v="755.1"/>
    <n v="0.05"/>
    <n v="2869.38"/>
    <n v="2010.91"/>
    <n v="858.47"/>
    <x v="0"/>
    <x v="3"/>
    <x v="0"/>
    <x v="10"/>
    <x v="1"/>
    <n v="0.29918309878789145"/>
  </r>
  <r>
    <x v="133"/>
    <d v="2026-06-02T00:00:00"/>
    <x v="117"/>
    <x v="7"/>
    <x v="3"/>
    <x v="6"/>
    <n v="1"/>
    <n v="757.94"/>
    <n v="0.1"/>
    <n v="682.15"/>
    <n v="393.11"/>
    <n v="289.04000000000002"/>
    <x v="0"/>
    <x v="2"/>
    <x v="1"/>
    <x v="10"/>
    <x v="0"/>
    <n v="0.42371912335996487"/>
  </r>
  <r>
    <x v="134"/>
    <d v="2025-07-02T00:00:00"/>
    <x v="118"/>
    <x v="0"/>
    <x v="3"/>
    <x v="10"/>
    <n v="6"/>
    <n v="764.75"/>
    <n v="0.1"/>
    <n v="4129.6499999999996"/>
    <n v="2998.42"/>
    <n v="1131.23"/>
    <x v="0"/>
    <x v="1"/>
    <x v="1"/>
    <x v="2"/>
    <x v="1"/>
    <n v="0.27392878331093434"/>
  </r>
  <r>
    <x v="135"/>
    <d v="2025-10-06T00:00:00"/>
    <x v="119"/>
    <x v="3"/>
    <x v="2"/>
    <x v="14"/>
    <n v="5"/>
    <n v="766.03"/>
    <n v="0.2"/>
    <n v="3064.12"/>
    <n v="1901.86"/>
    <n v="1162.26"/>
    <x v="0"/>
    <x v="3"/>
    <x v="1"/>
    <x v="11"/>
    <x v="1"/>
    <n v="0.37931282064671096"/>
  </r>
  <r>
    <x v="136"/>
    <d v="2025-09-17T00:00:00"/>
    <x v="120"/>
    <x v="2"/>
    <x v="1"/>
    <x v="16"/>
    <n v="6"/>
    <n v="769.95"/>
    <n v="0.1"/>
    <n v="4157.7299999999996"/>
    <n v="3035.38"/>
    <n v="1122.3499999999999"/>
    <x v="0"/>
    <x v="0"/>
    <x v="1"/>
    <x v="4"/>
    <x v="1"/>
    <n v="0.26994297368997028"/>
  </r>
  <r>
    <x v="137"/>
    <d v="2025-04-20T00:00:00"/>
    <x v="106"/>
    <x v="0"/>
    <x v="3"/>
    <x v="5"/>
    <n v="3"/>
    <n v="778.03"/>
    <n v="0.2"/>
    <n v="1867.27"/>
    <n v="1324.88"/>
    <n v="542.39"/>
    <x v="0"/>
    <x v="3"/>
    <x v="1"/>
    <x v="8"/>
    <x v="1"/>
    <n v="0.2904721866682376"/>
  </r>
  <r>
    <x v="138"/>
    <d v="2026-04-05T00:00:00"/>
    <x v="121"/>
    <x v="1"/>
    <x v="0"/>
    <x v="9"/>
    <n v="6"/>
    <n v="787.09"/>
    <n v="0.1"/>
    <n v="4250.29"/>
    <n v="2533"/>
    <n v="1717.29"/>
    <x v="0"/>
    <x v="3"/>
    <x v="1"/>
    <x v="8"/>
    <x v="0"/>
    <n v="0.40404066546047446"/>
  </r>
  <r>
    <x v="139"/>
    <d v="2025-05-26T00:00:00"/>
    <x v="122"/>
    <x v="0"/>
    <x v="2"/>
    <x v="19"/>
    <n v="5"/>
    <n v="789.07"/>
    <n v="0.1"/>
    <n v="3550.82"/>
    <n v="2348.8200000000002"/>
    <n v="1202"/>
    <x v="0"/>
    <x v="2"/>
    <x v="0"/>
    <x v="5"/>
    <x v="1"/>
    <n v="0.33851335747799099"/>
  </r>
  <r>
    <x v="140"/>
    <d v="2025-06-27T00:00:00"/>
    <x v="123"/>
    <x v="5"/>
    <x v="1"/>
    <x v="12"/>
    <n v="2"/>
    <n v="794.41"/>
    <n v="0"/>
    <n v="1588.82"/>
    <n v="1192.76"/>
    <n v="396.06"/>
    <x v="0"/>
    <x v="1"/>
    <x v="1"/>
    <x v="10"/>
    <x v="1"/>
    <n v="0.24927933938394534"/>
  </r>
  <r>
    <x v="141"/>
    <d v="2025-01-12T00:00:00"/>
    <x v="124"/>
    <x v="1"/>
    <x v="0"/>
    <x v="0"/>
    <n v="3"/>
    <n v="799.41"/>
    <n v="0"/>
    <n v="2398.23"/>
    <n v="1370.27"/>
    <n v="1027.96"/>
    <x v="0"/>
    <x v="0"/>
    <x v="1"/>
    <x v="9"/>
    <x v="1"/>
    <n v="0.42863278334438315"/>
  </r>
  <r>
    <x v="142"/>
    <d v="2025-08-12T00:00:00"/>
    <x v="125"/>
    <x v="2"/>
    <x v="1"/>
    <x v="7"/>
    <n v="3"/>
    <n v="803.06"/>
    <n v="0.05"/>
    <n v="2288.7199999999998"/>
    <n v="1385.73"/>
    <n v="902.99"/>
    <x v="0"/>
    <x v="2"/>
    <x v="1"/>
    <x v="6"/>
    <x v="1"/>
    <n v="0.39453930581285612"/>
  </r>
  <r>
    <x v="143"/>
    <d v="2026-07-11T00:00:00"/>
    <x v="126"/>
    <x v="5"/>
    <x v="3"/>
    <x v="6"/>
    <n v="6"/>
    <n v="814.11"/>
    <n v="0.15"/>
    <n v="4151.96"/>
    <n v="3403.9"/>
    <n v="748.06"/>
    <x v="0"/>
    <x v="1"/>
    <x v="1"/>
    <x v="2"/>
    <x v="0"/>
    <n v="0.18017032919392287"/>
  </r>
  <r>
    <x v="144"/>
    <d v="2026-07-22T00:00:00"/>
    <x v="106"/>
    <x v="3"/>
    <x v="2"/>
    <x v="13"/>
    <n v="4"/>
    <n v="814.24"/>
    <n v="0.1"/>
    <n v="2931.26"/>
    <n v="2414.09"/>
    <n v="517.16999999999996"/>
    <x v="0"/>
    <x v="1"/>
    <x v="0"/>
    <x v="2"/>
    <x v="0"/>
    <n v="0.17643266035766186"/>
  </r>
  <r>
    <x v="145"/>
    <d v="2025-01-22T00:00:00"/>
    <x v="127"/>
    <x v="5"/>
    <x v="0"/>
    <x v="1"/>
    <n v="4"/>
    <n v="814.37"/>
    <n v="0.15"/>
    <n v="2768.86"/>
    <n v="2220.39"/>
    <n v="548.47"/>
    <x v="1"/>
    <x v="1"/>
    <x v="1"/>
    <x v="9"/>
    <x v="1"/>
    <n v="0.19808513250940821"/>
  </r>
  <r>
    <x v="146"/>
    <d v="2025-10-26T00:00:00"/>
    <x v="52"/>
    <x v="4"/>
    <x v="3"/>
    <x v="5"/>
    <n v="4"/>
    <n v="821.69"/>
    <n v="0"/>
    <n v="3286.76"/>
    <n v="2298.71"/>
    <n v="988.05"/>
    <x v="1"/>
    <x v="3"/>
    <x v="1"/>
    <x v="11"/>
    <x v="1"/>
    <n v="0.3006151955116893"/>
  </r>
  <r>
    <x v="147"/>
    <d v="2026-07-24T00:00:00"/>
    <x v="128"/>
    <x v="4"/>
    <x v="0"/>
    <x v="1"/>
    <n v="5"/>
    <n v="826.11"/>
    <n v="0.15"/>
    <n v="3510.97"/>
    <n v="2116.2399999999998"/>
    <n v="1394.73"/>
    <x v="1"/>
    <x v="3"/>
    <x v="1"/>
    <x v="2"/>
    <x v="0"/>
    <n v="0.39724919324289304"/>
  </r>
  <r>
    <x v="148"/>
    <d v="2025-08-23T00:00:00"/>
    <x v="129"/>
    <x v="8"/>
    <x v="0"/>
    <x v="17"/>
    <n v="2"/>
    <n v="827.83"/>
    <n v="0.1"/>
    <n v="1490.09"/>
    <n v="1105.53"/>
    <n v="384.56"/>
    <x v="1"/>
    <x v="0"/>
    <x v="1"/>
    <x v="6"/>
    <x v="1"/>
    <n v="0.25807837110510107"/>
  </r>
  <r>
    <x v="149"/>
    <d v="2025-09-24T00:00:00"/>
    <x v="130"/>
    <x v="9"/>
    <x v="3"/>
    <x v="5"/>
    <n v="3"/>
    <n v="831.92"/>
    <n v="0"/>
    <n v="2495.7600000000002"/>
    <n v="1502.36"/>
    <n v="993.4"/>
    <x v="0"/>
    <x v="3"/>
    <x v="1"/>
    <x v="4"/>
    <x v="1"/>
    <n v="0.39803506747443662"/>
  </r>
  <r>
    <x v="150"/>
    <d v="2026-01-03T00:00:00"/>
    <x v="131"/>
    <x v="9"/>
    <x v="3"/>
    <x v="8"/>
    <n v="6"/>
    <n v="833.83"/>
    <n v="0"/>
    <n v="5002.9799999999996"/>
    <n v="3787.91"/>
    <n v="1215.07"/>
    <x v="1"/>
    <x v="0"/>
    <x v="1"/>
    <x v="9"/>
    <x v="0"/>
    <n v="0.24286924992704348"/>
  </r>
  <r>
    <x v="151"/>
    <d v="2026-05-23T00:00:00"/>
    <x v="24"/>
    <x v="7"/>
    <x v="2"/>
    <x v="14"/>
    <n v="4"/>
    <n v="835.75"/>
    <n v="0.1"/>
    <n v="3008.7"/>
    <n v="1777.33"/>
    <n v="1231.3699999999999"/>
    <x v="0"/>
    <x v="0"/>
    <x v="1"/>
    <x v="5"/>
    <x v="0"/>
    <n v="0.40926978429221922"/>
  </r>
  <r>
    <x v="152"/>
    <d v="2025-09-23T00:00:00"/>
    <x v="132"/>
    <x v="1"/>
    <x v="3"/>
    <x v="10"/>
    <n v="6"/>
    <n v="845.89"/>
    <n v="0"/>
    <n v="5075.34"/>
    <n v="3924.11"/>
    <n v="1151.23"/>
    <x v="0"/>
    <x v="1"/>
    <x v="1"/>
    <x v="4"/>
    <x v="1"/>
    <n v="0.22682815338479786"/>
  </r>
  <r>
    <x v="153"/>
    <d v="2026-02-19T00:00:00"/>
    <x v="133"/>
    <x v="2"/>
    <x v="0"/>
    <x v="17"/>
    <n v="3"/>
    <n v="848.96"/>
    <n v="0.15"/>
    <n v="2164.85"/>
    <n v="1497.13"/>
    <n v="667.72"/>
    <x v="1"/>
    <x v="2"/>
    <x v="0"/>
    <x v="1"/>
    <x v="0"/>
    <n v="0.30843707416218219"/>
  </r>
  <r>
    <x v="154"/>
    <d v="2025-07-09T00:00:00"/>
    <x v="134"/>
    <x v="3"/>
    <x v="0"/>
    <x v="1"/>
    <n v="1"/>
    <n v="849.83"/>
    <n v="0.2"/>
    <n v="679.86"/>
    <n v="535.64"/>
    <n v="144.22"/>
    <x v="0"/>
    <x v="1"/>
    <x v="0"/>
    <x v="2"/>
    <x v="1"/>
    <n v="0.21213190951078162"/>
  </r>
  <r>
    <x v="155"/>
    <d v="2025-07-29T00:00:00"/>
    <x v="135"/>
    <x v="4"/>
    <x v="0"/>
    <x v="0"/>
    <n v="6"/>
    <n v="852.56"/>
    <n v="0.05"/>
    <n v="4859.59"/>
    <n v="3002.34"/>
    <n v="1857.25"/>
    <x v="0"/>
    <x v="3"/>
    <x v="1"/>
    <x v="2"/>
    <x v="1"/>
    <n v="0.38218244749042612"/>
  </r>
  <r>
    <x v="156"/>
    <d v="2025-01-22T00:00:00"/>
    <x v="13"/>
    <x v="5"/>
    <x v="2"/>
    <x v="3"/>
    <n v="2"/>
    <n v="853.98"/>
    <n v="0"/>
    <n v="1707.96"/>
    <n v="1238.69"/>
    <n v="469.27"/>
    <x v="0"/>
    <x v="0"/>
    <x v="0"/>
    <x v="9"/>
    <x v="1"/>
    <n v="0.27475467809550574"/>
  </r>
  <r>
    <x v="157"/>
    <d v="2025-10-20T00:00:00"/>
    <x v="136"/>
    <x v="10"/>
    <x v="2"/>
    <x v="14"/>
    <n v="2"/>
    <n v="856.02"/>
    <n v="0.15"/>
    <n v="1455.23"/>
    <n v="1065.2"/>
    <n v="390.03"/>
    <x v="1"/>
    <x v="1"/>
    <x v="1"/>
    <x v="11"/>
    <x v="1"/>
    <n v="0.26801948832830547"/>
  </r>
  <r>
    <x v="158"/>
    <d v="2025-04-25T00:00:00"/>
    <x v="137"/>
    <x v="6"/>
    <x v="3"/>
    <x v="5"/>
    <n v="6"/>
    <n v="857.83"/>
    <n v="0"/>
    <n v="5146.9799999999996"/>
    <n v="3395.13"/>
    <n v="1751.85"/>
    <x v="0"/>
    <x v="1"/>
    <x v="1"/>
    <x v="8"/>
    <x v="1"/>
    <n v="0.34036464101278807"/>
  </r>
  <r>
    <x v="159"/>
    <d v="2026-01-31T00:00:00"/>
    <x v="138"/>
    <x v="4"/>
    <x v="2"/>
    <x v="19"/>
    <n v="5"/>
    <n v="861.32"/>
    <n v="0.05"/>
    <n v="4091.27"/>
    <n v="2581.4499999999998"/>
    <n v="1509.82"/>
    <x v="1"/>
    <x v="0"/>
    <x v="0"/>
    <x v="9"/>
    <x v="0"/>
    <n v="0.36903455406267488"/>
  </r>
  <r>
    <x v="160"/>
    <d v="2025-04-02T00:00:00"/>
    <x v="139"/>
    <x v="7"/>
    <x v="1"/>
    <x v="18"/>
    <n v="2"/>
    <n v="878.86"/>
    <n v="0.1"/>
    <n v="1581.95"/>
    <n v="1243.6500000000001"/>
    <n v="338.3"/>
    <x v="1"/>
    <x v="0"/>
    <x v="1"/>
    <x v="8"/>
    <x v="1"/>
    <n v="0.21384999525901577"/>
  </r>
  <r>
    <x v="161"/>
    <d v="2025-12-25T00:00:00"/>
    <x v="140"/>
    <x v="5"/>
    <x v="3"/>
    <x v="10"/>
    <n v="6"/>
    <n v="884.67"/>
    <n v="0.05"/>
    <n v="5042.62"/>
    <n v="3281.41"/>
    <n v="1761.21"/>
    <x v="0"/>
    <x v="0"/>
    <x v="1"/>
    <x v="7"/>
    <x v="1"/>
    <n v="0.34926486627983072"/>
  </r>
  <r>
    <x v="162"/>
    <d v="2025-05-26T00:00:00"/>
    <x v="141"/>
    <x v="3"/>
    <x v="3"/>
    <x v="8"/>
    <n v="5"/>
    <n v="886.88"/>
    <n v="0.2"/>
    <n v="3547.52"/>
    <n v="2837.62"/>
    <n v="709.9"/>
    <x v="0"/>
    <x v="0"/>
    <x v="1"/>
    <x v="5"/>
    <x v="1"/>
    <n v="0.20011162727764747"/>
  </r>
  <r>
    <x v="163"/>
    <d v="2025-09-18T00:00:00"/>
    <x v="123"/>
    <x v="5"/>
    <x v="3"/>
    <x v="6"/>
    <n v="6"/>
    <n v="892.28"/>
    <n v="0.15"/>
    <n v="4550.63"/>
    <n v="3820.24"/>
    <n v="730.39"/>
    <x v="1"/>
    <x v="3"/>
    <x v="1"/>
    <x v="4"/>
    <x v="1"/>
    <n v="0.16050305122587422"/>
  </r>
  <r>
    <x v="164"/>
    <d v="2026-02-01T00:00:00"/>
    <x v="76"/>
    <x v="0"/>
    <x v="3"/>
    <x v="6"/>
    <n v="4"/>
    <n v="900.93"/>
    <n v="0.15"/>
    <n v="3063.16"/>
    <n v="2309.96"/>
    <n v="753.2"/>
    <x v="1"/>
    <x v="0"/>
    <x v="1"/>
    <x v="1"/>
    <x v="0"/>
    <n v="0.24588986536779014"/>
  </r>
  <r>
    <x v="165"/>
    <d v="2025-03-09T00:00:00"/>
    <x v="142"/>
    <x v="6"/>
    <x v="1"/>
    <x v="18"/>
    <n v="6"/>
    <n v="907.35"/>
    <n v="0.05"/>
    <n v="5171.8999999999996"/>
    <n v="3585.25"/>
    <n v="1586.65"/>
    <x v="0"/>
    <x v="2"/>
    <x v="1"/>
    <x v="0"/>
    <x v="1"/>
    <n v="0.30678280709217121"/>
  </r>
  <r>
    <x v="166"/>
    <d v="2025-01-20T00:00:00"/>
    <x v="143"/>
    <x v="6"/>
    <x v="3"/>
    <x v="6"/>
    <n v="3"/>
    <n v="907.79"/>
    <n v="0"/>
    <n v="2723.37"/>
    <n v="1908.82"/>
    <n v="814.55"/>
    <x v="1"/>
    <x v="2"/>
    <x v="0"/>
    <x v="9"/>
    <x v="1"/>
    <n v="0.299096340196154"/>
  </r>
  <r>
    <x v="167"/>
    <d v="2025-02-26T00:00:00"/>
    <x v="144"/>
    <x v="1"/>
    <x v="2"/>
    <x v="3"/>
    <n v="4"/>
    <n v="911.41"/>
    <n v="0.2"/>
    <n v="2916.51"/>
    <n v="1889.82"/>
    <n v="1026.69"/>
    <x v="0"/>
    <x v="0"/>
    <x v="1"/>
    <x v="1"/>
    <x v="1"/>
    <n v="0.35202690887396237"/>
  </r>
  <r>
    <x v="168"/>
    <d v="2025-09-26T00:00:00"/>
    <x v="140"/>
    <x v="9"/>
    <x v="1"/>
    <x v="12"/>
    <n v="5"/>
    <n v="912.43"/>
    <n v="0.1"/>
    <n v="4105.93"/>
    <n v="2574.62"/>
    <n v="1531.31"/>
    <x v="0"/>
    <x v="0"/>
    <x v="1"/>
    <x v="4"/>
    <x v="1"/>
    <n v="0.37295082965369597"/>
  </r>
  <r>
    <x v="169"/>
    <d v="2026-08-26T00:00:00"/>
    <x v="145"/>
    <x v="7"/>
    <x v="1"/>
    <x v="12"/>
    <n v="4"/>
    <n v="915.14"/>
    <n v="0.2"/>
    <n v="2928.45"/>
    <n v="1812.85"/>
    <n v="1115.5999999999999"/>
    <x v="0"/>
    <x v="0"/>
    <x v="1"/>
    <x v="6"/>
    <x v="0"/>
    <n v="0.38095238095238093"/>
  </r>
  <r>
    <x v="170"/>
    <d v="2026-07-02T00:00:00"/>
    <x v="83"/>
    <x v="9"/>
    <x v="0"/>
    <x v="17"/>
    <n v="6"/>
    <n v="918.1"/>
    <n v="0"/>
    <n v="5508.6"/>
    <n v="3399.79"/>
    <n v="2108.81"/>
    <x v="1"/>
    <x v="0"/>
    <x v="0"/>
    <x v="2"/>
    <x v="0"/>
    <n v="0.38282140652797442"/>
  </r>
  <r>
    <x v="171"/>
    <d v="2025-05-30T00:00:00"/>
    <x v="146"/>
    <x v="1"/>
    <x v="3"/>
    <x v="8"/>
    <n v="2"/>
    <n v="923.29"/>
    <n v="0.1"/>
    <n v="1661.92"/>
    <n v="1374.57"/>
    <n v="287.35000000000002"/>
    <x v="0"/>
    <x v="0"/>
    <x v="0"/>
    <x v="5"/>
    <x v="1"/>
    <n v="0.17290242610956003"/>
  </r>
  <r>
    <x v="172"/>
    <d v="2026-08-01T00:00:00"/>
    <x v="147"/>
    <x v="2"/>
    <x v="1"/>
    <x v="18"/>
    <n v="3"/>
    <n v="927.18"/>
    <n v="0"/>
    <n v="2781.54"/>
    <n v="2170.36"/>
    <n v="611.17999999999995"/>
    <x v="0"/>
    <x v="3"/>
    <x v="0"/>
    <x v="6"/>
    <x v="0"/>
    <n v="0.21972720147831776"/>
  </r>
  <r>
    <x v="173"/>
    <d v="2026-08-19T00:00:00"/>
    <x v="148"/>
    <x v="3"/>
    <x v="3"/>
    <x v="10"/>
    <n v="2"/>
    <n v="937.99"/>
    <n v="0.1"/>
    <n v="1688.38"/>
    <n v="1208.21"/>
    <n v="480.17"/>
    <x v="1"/>
    <x v="0"/>
    <x v="1"/>
    <x v="6"/>
    <x v="0"/>
    <n v="0.2843968774801881"/>
  </r>
  <r>
    <x v="174"/>
    <d v="2026-05-29T00:00:00"/>
    <x v="94"/>
    <x v="9"/>
    <x v="3"/>
    <x v="6"/>
    <n v="3"/>
    <n v="943.88"/>
    <n v="0.05"/>
    <n v="2690.06"/>
    <n v="1666.34"/>
    <n v="1023.72"/>
    <x v="0"/>
    <x v="0"/>
    <x v="1"/>
    <x v="5"/>
    <x v="0"/>
    <n v="0.38055656751150535"/>
  </r>
  <r>
    <x v="175"/>
    <d v="2025-01-18T00:00:00"/>
    <x v="149"/>
    <x v="1"/>
    <x v="2"/>
    <x v="13"/>
    <n v="5"/>
    <n v="948.14"/>
    <n v="0"/>
    <n v="4740.7"/>
    <n v="3469.9"/>
    <n v="1270.8"/>
    <x v="1"/>
    <x v="2"/>
    <x v="1"/>
    <x v="9"/>
    <x v="1"/>
    <n v="0.26806167865505093"/>
  </r>
  <r>
    <x v="176"/>
    <d v="2026-05-21T00:00:00"/>
    <x v="22"/>
    <x v="5"/>
    <x v="1"/>
    <x v="18"/>
    <n v="1"/>
    <n v="957.58"/>
    <n v="0"/>
    <n v="957.58"/>
    <n v="799.09"/>
    <n v="158.49"/>
    <x v="1"/>
    <x v="2"/>
    <x v="1"/>
    <x v="5"/>
    <x v="0"/>
    <n v="0.16551097558428537"/>
  </r>
  <r>
    <x v="177"/>
    <d v="2026-07-22T00:00:00"/>
    <x v="150"/>
    <x v="1"/>
    <x v="0"/>
    <x v="11"/>
    <n v="5"/>
    <n v="961.12"/>
    <n v="0.2"/>
    <n v="3844.48"/>
    <n v="2562.06"/>
    <n v="1282.42"/>
    <x v="1"/>
    <x v="0"/>
    <x v="1"/>
    <x v="2"/>
    <x v="0"/>
    <n v="0.33357437156650577"/>
  </r>
  <r>
    <x v="178"/>
    <d v="2025-03-04T00:00:00"/>
    <x v="151"/>
    <x v="3"/>
    <x v="1"/>
    <x v="16"/>
    <n v="2"/>
    <n v="968.57"/>
    <n v="0.2"/>
    <n v="1549.71"/>
    <n v="1001.06"/>
    <n v="548.65"/>
    <x v="1"/>
    <x v="2"/>
    <x v="1"/>
    <x v="0"/>
    <x v="1"/>
    <n v="0.35403398055119989"/>
  </r>
  <r>
    <x v="179"/>
    <d v="2025-01-30T00:00:00"/>
    <x v="152"/>
    <x v="0"/>
    <x v="1"/>
    <x v="2"/>
    <n v="3"/>
    <n v="971.1"/>
    <n v="0.15"/>
    <n v="2476.31"/>
    <n v="1917.84"/>
    <n v="558.47"/>
    <x v="1"/>
    <x v="1"/>
    <x v="1"/>
    <x v="9"/>
    <x v="1"/>
    <n v="0.22552507561654236"/>
  </r>
  <r>
    <x v="180"/>
    <d v="2026-03-14T00:00:00"/>
    <x v="153"/>
    <x v="3"/>
    <x v="2"/>
    <x v="19"/>
    <n v="1"/>
    <n v="985.67"/>
    <n v="0.15"/>
    <n v="837.82"/>
    <n v="703.78"/>
    <n v="134.04"/>
    <x v="0"/>
    <x v="0"/>
    <x v="1"/>
    <x v="0"/>
    <x v="0"/>
    <n v="0.15998663197345489"/>
  </r>
  <r>
    <x v="181"/>
    <d v="2026-05-16T00:00:00"/>
    <x v="154"/>
    <x v="6"/>
    <x v="1"/>
    <x v="18"/>
    <n v="1"/>
    <n v="987.2"/>
    <n v="0"/>
    <n v="987.2"/>
    <n v="636.72"/>
    <n v="350.48"/>
    <x v="1"/>
    <x v="0"/>
    <x v="1"/>
    <x v="5"/>
    <x v="0"/>
    <n v="0.35502431118314426"/>
  </r>
  <r>
    <x v="182"/>
    <d v="2026-05-08T00:00:00"/>
    <x v="155"/>
    <x v="4"/>
    <x v="1"/>
    <x v="12"/>
    <n v="5"/>
    <n v="995.44"/>
    <n v="0.2"/>
    <n v="3981.76"/>
    <n v="3016.76"/>
    <n v="965"/>
    <x v="1"/>
    <x v="3"/>
    <x v="1"/>
    <x v="5"/>
    <x v="0"/>
    <n v="0.24235513943582737"/>
  </r>
  <r>
    <x v="183"/>
    <d v="2025-01-24T00:00:00"/>
    <x v="156"/>
    <x v="6"/>
    <x v="1"/>
    <x v="18"/>
    <n v="6"/>
    <n v="996.75"/>
    <n v="0.1"/>
    <n v="5382.45"/>
    <n v="4045.62"/>
    <n v="1336.83"/>
    <x v="0"/>
    <x v="3"/>
    <x v="0"/>
    <x v="9"/>
    <x v="1"/>
    <n v="0.24836830811247665"/>
  </r>
  <r>
    <x v="184"/>
    <d v="2025-01-30T00:00:00"/>
    <x v="157"/>
    <x v="6"/>
    <x v="1"/>
    <x v="18"/>
    <n v="5"/>
    <n v="1002.25"/>
    <n v="0.15"/>
    <n v="4259.5600000000004"/>
    <n v="2782.99"/>
    <n v="1476.57"/>
    <x v="0"/>
    <x v="3"/>
    <x v="1"/>
    <x v="9"/>
    <x v="1"/>
    <n v="0.34664848012470767"/>
  </r>
  <r>
    <x v="185"/>
    <d v="2026-04-08T00:00:00"/>
    <x v="158"/>
    <x v="0"/>
    <x v="2"/>
    <x v="13"/>
    <n v="1"/>
    <n v="1002.37"/>
    <n v="0.15"/>
    <n v="852.01"/>
    <n v="527.76"/>
    <n v="324.25"/>
    <x v="1"/>
    <x v="1"/>
    <x v="1"/>
    <x v="8"/>
    <x v="0"/>
    <n v="0.38057065057921857"/>
  </r>
  <r>
    <x v="186"/>
    <d v="2025-01-02T00:00:00"/>
    <x v="38"/>
    <x v="9"/>
    <x v="0"/>
    <x v="11"/>
    <n v="6"/>
    <n v="1013.92"/>
    <n v="0.05"/>
    <n v="5779.34"/>
    <n v="4205.3"/>
    <n v="1574.04"/>
    <x v="0"/>
    <x v="0"/>
    <x v="1"/>
    <x v="9"/>
    <x v="1"/>
    <n v="0.27235635903061595"/>
  </r>
  <r>
    <x v="187"/>
    <d v="2026-07-17T00:00:00"/>
    <x v="159"/>
    <x v="9"/>
    <x v="2"/>
    <x v="15"/>
    <n v="4"/>
    <n v="1015.18"/>
    <n v="0.15"/>
    <n v="3451.61"/>
    <n v="2176.31"/>
    <n v="1275.3"/>
    <x v="0"/>
    <x v="3"/>
    <x v="1"/>
    <x v="2"/>
    <x v="0"/>
    <n v="0.36947975002969624"/>
  </r>
  <r>
    <x v="188"/>
    <d v="2026-08-29T00:00:00"/>
    <x v="160"/>
    <x v="8"/>
    <x v="3"/>
    <x v="6"/>
    <n v="5"/>
    <n v="1016.29"/>
    <n v="0"/>
    <n v="5081.45"/>
    <n v="3200.46"/>
    <n v="1880.99"/>
    <x v="0"/>
    <x v="2"/>
    <x v="0"/>
    <x v="6"/>
    <x v="0"/>
    <n v="0.37016796386858081"/>
  </r>
  <r>
    <x v="189"/>
    <d v="2026-02-23T00:00:00"/>
    <x v="161"/>
    <x v="9"/>
    <x v="1"/>
    <x v="16"/>
    <n v="1"/>
    <n v="1017.77"/>
    <n v="0.1"/>
    <n v="915.99"/>
    <n v="505.31"/>
    <n v="410.68"/>
    <x v="1"/>
    <x v="0"/>
    <x v="1"/>
    <x v="1"/>
    <x v="0"/>
    <n v="0.4483455059553052"/>
  </r>
  <r>
    <x v="190"/>
    <d v="2025-05-19T00:00:00"/>
    <x v="125"/>
    <x v="7"/>
    <x v="1"/>
    <x v="2"/>
    <n v="1"/>
    <n v="1023.75"/>
    <n v="0.15"/>
    <n v="870.19"/>
    <n v="586.96"/>
    <n v="283.23"/>
    <x v="1"/>
    <x v="2"/>
    <x v="0"/>
    <x v="5"/>
    <x v="1"/>
    <n v="0.32548064215860906"/>
  </r>
  <r>
    <x v="191"/>
    <d v="2025-02-17T00:00:00"/>
    <x v="162"/>
    <x v="0"/>
    <x v="1"/>
    <x v="18"/>
    <n v="1"/>
    <n v="1034.3900000000001"/>
    <n v="0"/>
    <n v="1034.3900000000001"/>
    <n v="872.19"/>
    <n v="162.19999999999999"/>
    <x v="1"/>
    <x v="0"/>
    <x v="0"/>
    <x v="1"/>
    <x v="1"/>
    <n v="0.15680739372963773"/>
  </r>
  <r>
    <x v="192"/>
    <d v="2025-04-15T00:00:00"/>
    <x v="163"/>
    <x v="7"/>
    <x v="1"/>
    <x v="2"/>
    <n v="1"/>
    <n v="1039.32"/>
    <n v="0.05"/>
    <n v="987.35"/>
    <n v="823.75"/>
    <n v="163.6"/>
    <x v="1"/>
    <x v="1"/>
    <x v="1"/>
    <x v="8"/>
    <x v="1"/>
    <n v="0.16569605509697674"/>
  </r>
  <r>
    <x v="193"/>
    <d v="2025-03-14T00:00:00"/>
    <x v="164"/>
    <x v="5"/>
    <x v="3"/>
    <x v="8"/>
    <n v="2"/>
    <n v="1049.3499999999999"/>
    <n v="0.1"/>
    <n v="1888.83"/>
    <n v="1147.4000000000001"/>
    <n v="741.43"/>
    <x v="0"/>
    <x v="3"/>
    <x v="0"/>
    <x v="0"/>
    <x v="1"/>
    <n v="0.39253400253066711"/>
  </r>
  <r>
    <x v="194"/>
    <d v="2025-04-25T00:00:00"/>
    <x v="165"/>
    <x v="5"/>
    <x v="3"/>
    <x v="4"/>
    <n v="5"/>
    <n v="1053.9000000000001"/>
    <n v="0.2"/>
    <n v="4215.6000000000004"/>
    <n v="2827.22"/>
    <n v="1388.38"/>
    <x v="1"/>
    <x v="2"/>
    <x v="1"/>
    <x v="8"/>
    <x v="1"/>
    <n v="0.32934339121358763"/>
  </r>
  <r>
    <x v="195"/>
    <d v="2025-11-26T00:00:00"/>
    <x v="166"/>
    <x v="8"/>
    <x v="3"/>
    <x v="8"/>
    <n v="3"/>
    <n v="1056.52"/>
    <n v="0.05"/>
    <n v="3011.08"/>
    <n v="2180.41"/>
    <n v="830.67"/>
    <x v="0"/>
    <x v="0"/>
    <x v="1"/>
    <x v="3"/>
    <x v="1"/>
    <n v="0.27587111601153075"/>
  </r>
  <r>
    <x v="196"/>
    <d v="2025-05-09T00:00:00"/>
    <x v="49"/>
    <x v="0"/>
    <x v="2"/>
    <x v="14"/>
    <n v="3"/>
    <n v="1058.8"/>
    <n v="0"/>
    <n v="3176.4"/>
    <n v="1825.41"/>
    <n v="1350.99"/>
    <x v="0"/>
    <x v="2"/>
    <x v="1"/>
    <x v="5"/>
    <x v="1"/>
    <n v="0.42532111824707214"/>
  </r>
  <r>
    <x v="197"/>
    <d v="2025-04-12T00:00:00"/>
    <x v="167"/>
    <x v="4"/>
    <x v="2"/>
    <x v="13"/>
    <n v="4"/>
    <n v="1060.43"/>
    <n v="0.2"/>
    <n v="3393.38"/>
    <n v="2036.51"/>
    <n v="1356.87"/>
    <x v="0"/>
    <x v="2"/>
    <x v="1"/>
    <x v="8"/>
    <x v="1"/>
    <n v="0.39985795873141228"/>
  </r>
  <r>
    <x v="198"/>
    <d v="2025-02-06T00:00:00"/>
    <x v="168"/>
    <x v="1"/>
    <x v="0"/>
    <x v="9"/>
    <n v="3"/>
    <n v="1082.6300000000001"/>
    <n v="0.1"/>
    <n v="2923.1"/>
    <n v="1828.33"/>
    <n v="1094.77"/>
    <x v="0"/>
    <x v="1"/>
    <x v="1"/>
    <x v="1"/>
    <x v="1"/>
    <n v="0.37452362218193014"/>
  </r>
  <r>
    <x v="199"/>
    <d v="2026-06-15T00:00:00"/>
    <x v="157"/>
    <x v="5"/>
    <x v="0"/>
    <x v="1"/>
    <n v="5"/>
    <n v="1085.3599999999999"/>
    <n v="0.15"/>
    <n v="4612.78"/>
    <n v="3198.35"/>
    <n v="1414.43"/>
    <x v="0"/>
    <x v="3"/>
    <x v="1"/>
    <x v="10"/>
    <x v="0"/>
    <n v="0.30663287648663068"/>
  </r>
  <r>
    <x v="200"/>
    <d v="2026-07-20T00:00:00"/>
    <x v="81"/>
    <x v="7"/>
    <x v="2"/>
    <x v="14"/>
    <n v="4"/>
    <n v="1088.71"/>
    <n v="0"/>
    <n v="4354.84"/>
    <n v="3474.32"/>
    <n v="880.52"/>
    <x v="0"/>
    <x v="0"/>
    <x v="1"/>
    <x v="2"/>
    <x v="0"/>
    <n v="0.20219342157231951"/>
  </r>
  <r>
    <x v="201"/>
    <d v="2025-02-17T00:00:00"/>
    <x v="169"/>
    <x v="3"/>
    <x v="1"/>
    <x v="2"/>
    <n v="2"/>
    <n v="1089.05"/>
    <n v="0.05"/>
    <n v="2069.19"/>
    <n v="1686.33"/>
    <n v="382.86"/>
    <x v="0"/>
    <x v="0"/>
    <x v="0"/>
    <x v="1"/>
    <x v="1"/>
    <n v="0.18502892436170676"/>
  </r>
  <r>
    <x v="202"/>
    <d v="2026-07-24T00:00:00"/>
    <x v="170"/>
    <x v="7"/>
    <x v="1"/>
    <x v="16"/>
    <n v="5"/>
    <n v="1095.69"/>
    <n v="0.1"/>
    <n v="4930.6099999999997"/>
    <n v="2958.87"/>
    <n v="1971.74"/>
    <x v="1"/>
    <x v="1"/>
    <x v="1"/>
    <x v="2"/>
    <x v="0"/>
    <n v="0.39989778141041377"/>
  </r>
  <r>
    <x v="203"/>
    <d v="2026-06-22T00:00:00"/>
    <x v="171"/>
    <x v="5"/>
    <x v="3"/>
    <x v="10"/>
    <n v="3"/>
    <n v="1096.58"/>
    <n v="0"/>
    <n v="3289.74"/>
    <n v="1917.71"/>
    <n v="1372.03"/>
    <x v="1"/>
    <x v="3"/>
    <x v="1"/>
    <x v="10"/>
    <x v="0"/>
    <n v="0.41706335455081561"/>
  </r>
  <r>
    <x v="204"/>
    <d v="2025-11-17T00:00:00"/>
    <x v="130"/>
    <x v="2"/>
    <x v="2"/>
    <x v="13"/>
    <n v="5"/>
    <n v="1097.22"/>
    <n v="0"/>
    <n v="5486.1"/>
    <n v="3677.05"/>
    <n v="1809.05"/>
    <x v="0"/>
    <x v="0"/>
    <x v="0"/>
    <x v="3"/>
    <x v="1"/>
    <n v="0.32975155392719779"/>
  </r>
  <r>
    <x v="205"/>
    <d v="2025-10-01T00:00:00"/>
    <x v="172"/>
    <x v="3"/>
    <x v="2"/>
    <x v="3"/>
    <n v="3"/>
    <n v="1098.8499999999999"/>
    <n v="0.05"/>
    <n v="3131.72"/>
    <n v="2655.78"/>
    <n v="475.94"/>
    <x v="1"/>
    <x v="2"/>
    <x v="1"/>
    <x v="11"/>
    <x v="1"/>
    <n v="0.15197399512089205"/>
  </r>
  <r>
    <x v="206"/>
    <d v="2026-03-05T00:00:00"/>
    <x v="173"/>
    <x v="3"/>
    <x v="2"/>
    <x v="19"/>
    <n v="3"/>
    <n v="1100.67"/>
    <n v="0"/>
    <n v="3302.01"/>
    <n v="2684.03"/>
    <n v="617.98"/>
    <x v="1"/>
    <x v="0"/>
    <x v="0"/>
    <x v="0"/>
    <x v="0"/>
    <n v="0.18715267367451946"/>
  </r>
  <r>
    <x v="207"/>
    <d v="2026-03-05T00:00:00"/>
    <x v="174"/>
    <x v="7"/>
    <x v="0"/>
    <x v="1"/>
    <n v="5"/>
    <n v="1101.92"/>
    <n v="0"/>
    <n v="5509.6"/>
    <n v="3276.67"/>
    <n v="2232.9299999999998"/>
    <x v="1"/>
    <x v="1"/>
    <x v="1"/>
    <x v="0"/>
    <x v="0"/>
    <n v="0.40527987512705088"/>
  </r>
  <r>
    <x v="208"/>
    <d v="2025-11-30T00:00:00"/>
    <x v="175"/>
    <x v="2"/>
    <x v="1"/>
    <x v="18"/>
    <n v="6"/>
    <n v="1104.44"/>
    <n v="0.15"/>
    <n v="5632.64"/>
    <n v="3237.52"/>
    <n v="2395.12"/>
    <x v="0"/>
    <x v="2"/>
    <x v="1"/>
    <x v="3"/>
    <x v="1"/>
    <n v="0.42522156573116687"/>
  </r>
  <r>
    <x v="209"/>
    <d v="2025-07-08T00:00:00"/>
    <x v="176"/>
    <x v="3"/>
    <x v="3"/>
    <x v="10"/>
    <n v="4"/>
    <n v="1106.24"/>
    <n v="0.1"/>
    <n v="3982.46"/>
    <n v="2904.5"/>
    <n v="1077.96"/>
    <x v="0"/>
    <x v="0"/>
    <x v="1"/>
    <x v="2"/>
    <x v="1"/>
    <n v="0.27067691828668711"/>
  </r>
  <r>
    <x v="210"/>
    <d v="2026-07-20T00:00:00"/>
    <x v="118"/>
    <x v="9"/>
    <x v="1"/>
    <x v="18"/>
    <n v="2"/>
    <n v="1106.95"/>
    <n v="0.05"/>
    <n v="2103.1999999999998"/>
    <n v="1181.51"/>
    <n v="921.69"/>
    <x v="0"/>
    <x v="2"/>
    <x v="0"/>
    <x v="2"/>
    <x v="0"/>
    <n v="0.43823221757322184"/>
  </r>
  <r>
    <x v="211"/>
    <d v="2025-10-15T00:00:00"/>
    <x v="90"/>
    <x v="4"/>
    <x v="2"/>
    <x v="13"/>
    <n v="4"/>
    <n v="1122.32"/>
    <n v="0.05"/>
    <n v="4264.82"/>
    <n v="3102.57"/>
    <n v="1162.25"/>
    <x v="0"/>
    <x v="2"/>
    <x v="0"/>
    <x v="11"/>
    <x v="1"/>
    <n v="0.27252029393972083"/>
  </r>
  <r>
    <x v="212"/>
    <d v="2025-09-06T00:00:00"/>
    <x v="177"/>
    <x v="3"/>
    <x v="2"/>
    <x v="19"/>
    <n v="6"/>
    <n v="1123.08"/>
    <n v="0.1"/>
    <n v="6064.63"/>
    <n v="3793.15"/>
    <n v="2271.48"/>
    <x v="0"/>
    <x v="0"/>
    <x v="0"/>
    <x v="4"/>
    <x v="1"/>
    <n v="0.3745455205016629"/>
  </r>
  <r>
    <x v="213"/>
    <d v="2026-03-25T00:00:00"/>
    <x v="178"/>
    <x v="2"/>
    <x v="0"/>
    <x v="1"/>
    <n v="4"/>
    <n v="1124.25"/>
    <n v="0.15"/>
    <n v="3822.45"/>
    <n v="2571.2600000000002"/>
    <n v="1251.19"/>
    <x v="1"/>
    <x v="3"/>
    <x v="1"/>
    <x v="0"/>
    <x v="0"/>
    <n v="0.32732671454172063"/>
  </r>
  <r>
    <x v="214"/>
    <d v="2025-01-09T00:00:00"/>
    <x v="179"/>
    <x v="9"/>
    <x v="1"/>
    <x v="12"/>
    <n v="1"/>
    <n v="1140.78"/>
    <n v="0.05"/>
    <n v="1083.74"/>
    <n v="769.91"/>
    <n v="313.83"/>
    <x v="1"/>
    <x v="3"/>
    <x v="1"/>
    <x v="9"/>
    <x v="1"/>
    <n v="0.28958052669459461"/>
  </r>
  <r>
    <x v="215"/>
    <d v="2025-03-05T00:00:00"/>
    <x v="180"/>
    <x v="4"/>
    <x v="0"/>
    <x v="11"/>
    <n v="2"/>
    <n v="1154.03"/>
    <n v="0.15"/>
    <n v="1961.85"/>
    <n v="1437.6"/>
    <n v="524.25"/>
    <x v="1"/>
    <x v="2"/>
    <x v="1"/>
    <x v="0"/>
    <x v="1"/>
    <n v="0.26722226469913601"/>
  </r>
  <r>
    <x v="216"/>
    <d v="2025-10-26T00:00:00"/>
    <x v="38"/>
    <x v="5"/>
    <x v="0"/>
    <x v="11"/>
    <n v="3"/>
    <n v="1154.3699999999999"/>
    <n v="0.2"/>
    <n v="2770.49"/>
    <n v="2230.4499999999998"/>
    <n v="540.04"/>
    <x v="1"/>
    <x v="3"/>
    <x v="0"/>
    <x v="11"/>
    <x v="1"/>
    <n v="0.19492580734815862"/>
  </r>
  <r>
    <x v="217"/>
    <d v="2026-07-10T00:00:00"/>
    <x v="28"/>
    <x v="3"/>
    <x v="3"/>
    <x v="10"/>
    <n v="3"/>
    <n v="1155.8"/>
    <n v="0.2"/>
    <n v="2773.92"/>
    <n v="1696.58"/>
    <n v="1077.3399999999999"/>
    <x v="1"/>
    <x v="0"/>
    <x v="1"/>
    <x v="2"/>
    <x v="0"/>
    <n v="0.38838178462248368"/>
  </r>
  <r>
    <x v="218"/>
    <d v="2025-07-14T00:00:00"/>
    <x v="181"/>
    <x v="4"/>
    <x v="0"/>
    <x v="0"/>
    <n v="6"/>
    <n v="1159.07"/>
    <n v="0.1"/>
    <n v="6258.98"/>
    <n v="4944.1000000000004"/>
    <n v="1314.88"/>
    <x v="1"/>
    <x v="0"/>
    <x v="0"/>
    <x v="2"/>
    <x v="1"/>
    <n v="0.21007895855235201"/>
  </r>
  <r>
    <x v="219"/>
    <d v="2025-11-22T00:00:00"/>
    <x v="182"/>
    <x v="2"/>
    <x v="0"/>
    <x v="9"/>
    <n v="4"/>
    <n v="1176.53"/>
    <n v="0.2"/>
    <n v="3764.9"/>
    <n v="2573.9499999999998"/>
    <n v="1190.95"/>
    <x v="0"/>
    <x v="2"/>
    <x v="1"/>
    <x v="3"/>
    <x v="1"/>
    <n v="0.3163297829955643"/>
  </r>
  <r>
    <x v="220"/>
    <d v="2026-02-27T00:00:00"/>
    <x v="166"/>
    <x v="0"/>
    <x v="1"/>
    <x v="18"/>
    <n v="4"/>
    <n v="1185.51"/>
    <n v="0"/>
    <n v="4742.04"/>
    <n v="3007.87"/>
    <n v="1734.17"/>
    <x v="1"/>
    <x v="2"/>
    <x v="1"/>
    <x v="1"/>
    <x v="0"/>
    <n v="0.36570125937360293"/>
  </r>
  <r>
    <x v="221"/>
    <d v="2025-12-20T00:00:00"/>
    <x v="183"/>
    <x v="7"/>
    <x v="0"/>
    <x v="0"/>
    <n v="1"/>
    <n v="1190.17"/>
    <n v="0.15"/>
    <n v="1011.64"/>
    <n v="620.03"/>
    <n v="391.61"/>
    <x v="1"/>
    <x v="3"/>
    <x v="1"/>
    <x v="7"/>
    <x v="1"/>
    <n v="0.38710410818077579"/>
  </r>
  <r>
    <x v="222"/>
    <d v="2025-11-29T00:00:00"/>
    <x v="184"/>
    <x v="4"/>
    <x v="0"/>
    <x v="11"/>
    <n v="4"/>
    <n v="1196.32"/>
    <n v="0.2"/>
    <n v="3828.22"/>
    <n v="3001.08"/>
    <n v="827.14"/>
    <x v="0"/>
    <x v="1"/>
    <x v="1"/>
    <x v="3"/>
    <x v="1"/>
    <n v="0.21606386257843072"/>
  </r>
  <r>
    <x v="223"/>
    <d v="2026-08-26T00:00:00"/>
    <x v="74"/>
    <x v="6"/>
    <x v="2"/>
    <x v="3"/>
    <n v="5"/>
    <n v="1200.31"/>
    <n v="0"/>
    <n v="6001.55"/>
    <n v="4478.75"/>
    <n v="1522.8"/>
    <x v="1"/>
    <x v="1"/>
    <x v="0"/>
    <x v="6"/>
    <x v="0"/>
    <n v="0.25373445193325056"/>
  </r>
  <r>
    <x v="224"/>
    <d v="2025-03-16T00:00:00"/>
    <x v="185"/>
    <x v="6"/>
    <x v="2"/>
    <x v="3"/>
    <n v="4"/>
    <n v="1200.42"/>
    <n v="0.2"/>
    <n v="3841.34"/>
    <n v="3238.78"/>
    <n v="602.55999999999995"/>
    <x v="0"/>
    <x v="1"/>
    <x v="1"/>
    <x v="0"/>
    <x v="1"/>
    <n v="0.15686192838957236"/>
  </r>
  <r>
    <x v="225"/>
    <d v="2025-07-01T00:00:00"/>
    <x v="186"/>
    <x v="7"/>
    <x v="0"/>
    <x v="9"/>
    <n v="5"/>
    <n v="1226.72"/>
    <n v="0.05"/>
    <n v="5826.92"/>
    <n v="3543.94"/>
    <n v="2282.98"/>
    <x v="0"/>
    <x v="3"/>
    <x v="1"/>
    <x v="2"/>
    <x v="1"/>
    <n v="0.39179875474521703"/>
  </r>
  <r>
    <x v="226"/>
    <d v="2026-07-31T00:00:00"/>
    <x v="131"/>
    <x v="4"/>
    <x v="2"/>
    <x v="14"/>
    <n v="4"/>
    <n v="1239.5"/>
    <n v="0.1"/>
    <n v="4462.2"/>
    <n v="2965.43"/>
    <n v="1496.77"/>
    <x v="1"/>
    <x v="3"/>
    <x v="1"/>
    <x v="2"/>
    <x v="0"/>
    <n v="0.33543319438841829"/>
  </r>
  <r>
    <x v="227"/>
    <d v="2025-12-24T00:00:00"/>
    <x v="187"/>
    <x v="5"/>
    <x v="3"/>
    <x v="6"/>
    <n v="5"/>
    <n v="1241.75"/>
    <n v="0.15"/>
    <n v="5277.44"/>
    <n v="3692.46"/>
    <n v="1584.98"/>
    <x v="1"/>
    <x v="2"/>
    <x v="1"/>
    <x v="7"/>
    <x v="1"/>
    <n v="0.30033122119815669"/>
  </r>
  <r>
    <x v="228"/>
    <d v="2025-01-28T00:00:00"/>
    <x v="107"/>
    <x v="5"/>
    <x v="1"/>
    <x v="16"/>
    <n v="6"/>
    <n v="1244.97"/>
    <n v="0"/>
    <n v="7469.82"/>
    <n v="5862.54"/>
    <n v="1607.28"/>
    <x v="1"/>
    <x v="2"/>
    <x v="1"/>
    <x v="9"/>
    <x v="1"/>
    <n v="0.21516984345004297"/>
  </r>
  <r>
    <x v="229"/>
    <d v="2025-12-25T00:00:00"/>
    <x v="188"/>
    <x v="8"/>
    <x v="2"/>
    <x v="15"/>
    <n v="2"/>
    <n v="1245.23"/>
    <n v="0"/>
    <n v="2490.46"/>
    <n v="1582.83"/>
    <n v="907.63"/>
    <x v="0"/>
    <x v="0"/>
    <x v="1"/>
    <x v="7"/>
    <x v="1"/>
    <n v="0.36444271339431267"/>
  </r>
  <r>
    <x v="230"/>
    <d v="2025-01-26T00:00:00"/>
    <x v="132"/>
    <x v="4"/>
    <x v="2"/>
    <x v="3"/>
    <n v="6"/>
    <n v="1251.3"/>
    <n v="0.1"/>
    <n v="6757.02"/>
    <n v="3865.24"/>
    <n v="2891.78"/>
    <x v="0"/>
    <x v="3"/>
    <x v="1"/>
    <x v="9"/>
    <x v="1"/>
    <n v="0.42796676641478049"/>
  </r>
  <r>
    <x v="231"/>
    <d v="2025-10-02T00:00:00"/>
    <x v="105"/>
    <x v="3"/>
    <x v="1"/>
    <x v="7"/>
    <n v="1"/>
    <n v="1253.29"/>
    <n v="0.2"/>
    <n v="1002.63"/>
    <n v="818.74"/>
    <n v="183.89"/>
    <x v="1"/>
    <x v="1"/>
    <x v="0"/>
    <x v="11"/>
    <x v="1"/>
    <n v="0.18340763791229067"/>
  </r>
  <r>
    <x v="232"/>
    <d v="2026-05-22T00:00:00"/>
    <x v="189"/>
    <x v="6"/>
    <x v="1"/>
    <x v="12"/>
    <n v="5"/>
    <n v="1258.53"/>
    <n v="0"/>
    <n v="6292.65"/>
    <n v="4625.0600000000004"/>
    <n v="1667.59"/>
    <x v="0"/>
    <x v="2"/>
    <x v="1"/>
    <x v="5"/>
    <x v="0"/>
    <n v="0.26500599906239819"/>
  </r>
  <r>
    <x v="233"/>
    <d v="2025-03-02T00:00:00"/>
    <x v="190"/>
    <x v="2"/>
    <x v="3"/>
    <x v="10"/>
    <n v="3"/>
    <n v="1259.3599999999999"/>
    <n v="0.2"/>
    <n v="3022.46"/>
    <n v="1905.5"/>
    <n v="1116.96"/>
    <x v="1"/>
    <x v="3"/>
    <x v="1"/>
    <x v="0"/>
    <x v="1"/>
    <n v="0.36955327779358538"/>
  </r>
  <r>
    <x v="234"/>
    <d v="2025-01-15T00:00:00"/>
    <x v="191"/>
    <x v="0"/>
    <x v="2"/>
    <x v="13"/>
    <n v="1"/>
    <n v="1260.23"/>
    <n v="0.05"/>
    <n v="1197.22"/>
    <n v="1015.11"/>
    <n v="182.11"/>
    <x v="1"/>
    <x v="2"/>
    <x v="1"/>
    <x v="9"/>
    <x v="1"/>
    <n v="0.15211072317535626"/>
  </r>
  <r>
    <x v="235"/>
    <d v="2025-03-12T00:00:00"/>
    <x v="153"/>
    <x v="7"/>
    <x v="2"/>
    <x v="14"/>
    <n v="6"/>
    <n v="1261.48"/>
    <n v="0"/>
    <n v="7568.88"/>
    <n v="6044.59"/>
    <n v="1524.29"/>
    <x v="1"/>
    <x v="1"/>
    <x v="0"/>
    <x v="0"/>
    <x v="1"/>
    <n v="0.20138910908879518"/>
  </r>
  <r>
    <x v="236"/>
    <d v="2026-05-13T00:00:00"/>
    <x v="192"/>
    <x v="0"/>
    <x v="3"/>
    <x v="4"/>
    <n v="4"/>
    <n v="1261.6600000000001"/>
    <n v="0.1"/>
    <n v="4541.9799999999996"/>
    <n v="3508.68"/>
    <n v="1033.3"/>
    <x v="1"/>
    <x v="3"/>
    <x v="1"/>
    <x v="5"/>
    <x v="0"/>
    <n v="0.22749990092426653"/>
  </r>
  <r>
    <x v="237"/>
    <d v="2026-02-15T00:00:00"/>
    <x v="163"/>
    <x v="1"/>
    <x v="3"/>
    <x v="6"/>
    <n v="2"/>
    <n v="1261.71"/>
    <n v="0.2"/>
    <n v="2018.74"/>
    <n v="1698.52"/>
    <n v="320.22000000000003"/>
    <x v="1"/>
    <x v="0"/>
    <x v="1"/>
    <x v="1"/>
    <x v="0"/>
    <n v="0.15862369596877263"/>
  </r>
  <r>
    <x v="238"/>
    <d v="2025-12-07T00:00:00"/>
    <x v="145"/>
    <x v="7"/>
    <x v="1"/>
    <x v="18"/>
    <n v="2"/>
    <n v="1280.76"/>
    <n v="0"/>
    <n v="2561.52"/>
    <n v="1683.01"/>
    <n v="878.51"/>
    <x v="1"/>
    <x v="1"/>
    <x v="0"/>
    <x v="7"/>
    <x v="1"/>
    <n v="0.34296433367687934"/>
  </r>
  <r>
    <x v="239"/>
    <d v="2025-03-23T00:00:00"/>
    <x v="193"/>
    <x v="3"/>
    <x v="0"/>
    <x v="1"/>
    <n v="5"/>
    <n v="1281.83"/>
    <n v="0.15"/>
    <n v="5447.78"/>
    <n v="3916.38"/>
    <n v="1531.4"/>
    <x v="1"/>
    <x v="2"/>
    <x v="1"/>
    <x v="0"/>
    <x v="1"/>
    <n v="0.28110533097885748"/>
  </r>
  <r>
    <x v="240"/>
    <d v="2026-05-14T00:00:00"/>
    <x v="34"/>
    <x v="3"/>
    <x v="3"/>
    <x v="5"/>
    <n v="3"/>
    <n v="1282.05"/>
    <n v="0.2"/>
    <n v="3076.92"/>
    <n v="1869.49"/>
    <n v="1207.43"/>
    <x v="0"/>
    <x v="0"/>
    <x v="0"/>
    <x v="5"/>
    <x v="0"/>
    <n v="0.39241514241514242"/>
  </r>
  <r>
    <x v="241"/>
    <d v="2026-08-12T00:00:00"/>
    <x v="11"/>
    <x v="3"/>
    <x v="0"/>
    <x v="17"/>
    <n v="5"/>
    <n v="1283.54"/>
    <n v="0.1"/>
    <n v="5775.93"/>
    <n v="4267.6000000000004"/>
    <n v="1508.33"/>
    <x v="0"/>
    <x v="2"/>
    <x v="1"/>
    <x v="6"/>
    <x v="0"/>
    <n v="0.2611406301669168"/>
  </r>
  <r>
    <x v="242"/>
    <d v="2026-01-04T00:00:00"/>
    <x v="194"/>
    <x v="7"/>
    <x v="0"/>
    <x v="17"/>
    <n v="2"/>
    <n v="1300.6500000000001"/>
    <n v="0"/>
    <n v="2601.3000000000002"/>
    <n v="2070.52"/>
    <n v="530.78"/>
    <x v="0"/>
    <x v="3"/>
    <x v="1"/>
    <x v="9"/>
    <x v="0"/>
    <n v="0.20404413178026368"/>
  </r>
  <r>
    <x v="243"/>
    <d v="2026-01-13T00:00:00"/>
    <x v="195"/>
    <x v="4"/>
    <x v="2"/>
    <x v="3"/>
    <n v="3"/>
    <n v="1304.32"/>
    <n v="0.1"/>
    <n v="3521.66"/>
    <n v="2063.1799999999998"/>
    <n v="1458.48"/>
    <x v="0"/>
    <x v="0"/>
    <x v="1"/>
    <x v="9"/>
    <x v="0"/>
    <n v="0.41414560179006493"/>
  </r>
  <r>
    <x v="244"/>
    <d v="2025-09-22T00:00:00"/>
    <x v="49"/>
    <x v="7"/>
    <x v="2"/>
    <x v="15"/>
    <n v="1"/>
    <n v="1309.21"/>
    <n v="0.2"/>
    <n v="1047.3699999999999"/>
    <n v="788.35"/>
    <n v="259.02"/>
    <x v="0"/>
    <x v="0"/>
    <x v="1"/>
    <x v="4"/>
    <x v="1"/>
    <n v="0.24730515481634954"/>
  </r>
  <r>
    <x v="245"/>
    <d v="2026-05-24T00:00:00"/>
    <x v="196"/>
    <x v="7"/>
    <x v="1"/>
    <x v="12"/>
    <n v="2"/>
    <n v="1310.42"/>
    <n v="0.2"/>
    <n v="2096.67"/>
    <n v="1275.78"/>
    <n v="820.89"/>
    <x v="1"/>
    <x v="1"/>
    <x v="1"/>
    <x v="5"/>
    <x v="0"/>
    <n v="0.39152084018944322"/>
  </r>
  <r>
    <x v="246"/>
    <d v="2026-01-29T00:00:00"/>
    <x v="197"/>
    <x v="6"/>
    <x v="0"/>
    <x v="17"/>
    <n v="4"/>
    <n v="1313.01"/>
    <n v="0.15"/>
    <n v="4464.2299999999996"/>
    <n v="3143.61"/>
    <n v="1320.62"/>
    <x v="1"/>
    <x v="1"/>
    <x v="0"/>
    <x v="9"/>
    <x v="0"/>
    <n v="0.29582257186569688"/>
  </r>
  <r>
    <x v="247"/>
    <d v="2026-05-10T00:00:00"/>
    <x v="47"/>
    <x v="3"/>
    <x v="0"/>
    <x v="17"/>
    <n v="4"/>
    <n v="1314.56"/>
    <n v="0.2"/>
    <n v="4206.59"/>
    <n v="3096.1"/>
    <n v="1110.49"/>
    <x v="1"/>
    <x v="0"/>
    <x v="1"/>
    <x v="5"/>
    <x v="0"/>
    <n v="0.26398817094130878"/>
  </r>
  <r>
    <x v="248"/>
    <d v="2025-12-06T00:00:00"/>
    <x v="160"/>
    <x v="6"/>
    <x v="2"/>
    <x v="14"/>
    <n v="4"/>
    <n v="1315.07"/>
    <n v="0"/>
    <n v="5260.28"/>
    <n v="3109.05"/>
    <n v="2151.23"/>
    <x v="1"/>
    <x v="3"/>
    <x v="0"/>
    <x v="7"/>
    <x v="1"/>
    <n v="0.40895731786140666"/>
  </r>
  <r>
    <x v="249"/>
    <d v="2026-08-30T00:00:00"/>
    <x v="198"/>
    <x v="4"/>
    <x v="0"/>
    <x v="17"/>
    <n v="6"/>
    <n v="1318.7"/>
    <n v="0"/>
    <n v="7912.2"/>
    <n v="4698.3"/>
    <n v="3213.9"/>
    <x v="0"/>
    <x v="3"/>
    <x v="1"/>
    <x v="6"/>
    <x v="0"/>
    <n v="0.40619549556381285"/>
  </r>
  <r>
    <x v="250"/>
    <d v="2025-06-10T00:00:00"/>
    <x v="190"/>
    <x v="2"/>
    <x v="2"/>
    <x v="13"/>
    <n v="3"/>
    <n v="1319.2"/>
    <n v="0"/>
    <n v="3957.6"/>
    <n v="2518.75"/>
    <n v="1438.85"/>
    <x v="0"/>
    <x v="3"/>
    <x v="1"/>
    <x v="10"/>
    <x v="1"/>
    <n v="0.36356630280978369"/>
  </r>
  <r>
    <x v="251"/>
    <d v="2025-04-11T00:00:00"/>
    <x v="199"/>
    <x v="0"/>
    <x v="1"/>
    <x v="18"/>
    <n v="1"/>
    <n v="1323.07"/>
    <n v="0.15"/>
    <n v="1124.6099999999999"/>
    <n v="703.73"/>
    <n v="420.88"/>
    <x v="1"/>
    <x v="3"/>
    <x v="1"/>
    <x v="8"/>
    <x v="1"/>
    <n v="0.37424529392411593"/>
  </r>
  <r>
    <x v="252"/>
    <d v="2026-02-03T00:00:00"/>
    <x v="200"/>
    <x v="4"/>
    <x v="1"/>
    <x v="7"/>
    <n v="1"/>
    <n v="1327.51"/>
    <n v="0"/>
    <n v="1327.51"/>
    <n v="753.2"/>
    <n v="574.30999999999995"/>
    <x v="0"/>
    <x v="2"/>
    <x v="1"/>
    <x v="1"/>
    <x v="0"/>
    <n v="0.43262197648228634"/>
  </r>
  <r>
    <x v="253"/>
    <d v="2026-01-20T00:00:00"/>
    <x v="26"/>
    <x v="8"/>
    <x v="0"/>
    <x v="0"/>
    <n v="2"/>
    <n v="1342.75"/>
    <n v="0"/>
    <n v="2685.5"/>
    <n v="1875.46"/>
    <n v="810.04"/>
    <x v="0"/>
    <x v="3"/>
    <x v="1"/>
    <x v="9"/>
    <x v="0"/>
    <n v="0.30163470489666727"/>
  </r>
  <r>
    <x v="254"/>
    <d v="2026-08-03T00:00:00"/>
    <x v="7"/>
    <x v="0"/>
    <x v="3"/>
    <x v="5"/>
    <n v="4"/>
    <n v="1347.75"/>
    <n v="0.2"/>
    <n v="4312.8"/>
    <n v="2596.62"/>
    <n v="1716.18"/>
    <x v="0"/>
    <x v="0"/>
    <x v="1"/>
    <x v="6"/>
    <x v="0"/>
    <n v="0.39792710072342791"/>
  </r>
  <r>
    <x v="255"/>
    <d v="2025-01-31T00:00:00"/>
    <x v="1"/>
    <x v="3"/>
    <x v="0"/>
    <x v="1"/>
    <n v="3"/>
    <n v="1349.14"/>
    <n v="0.2"/>
    <n v="3237.94"/>
    <n v="1813.44"/>
    <n v="1424.5"/>
    <x v="0"/>
    <x v="2"/>
    <x v="1"/>
    <x v="9"/>
    <x v="1"/>
    <n v="0.43994020889825014"/>
  </r>
  <r>
    <x v="256"/>
    <d v="2025-08-12T00:00:00"/>
    <x v="118"/>
    <x v="1"/>
    <x v="1"/>
    <x v="7"/>
    <n v="5"/>
    <n v="1350.74"/>
    <n v="0"/>
    <n v="6753.7"/>
    <n v="5170.2299999999996"/>
    <n v="1583.47"/>
    <x v="0"/>
    <x v="0"/>
    <x v="1"/>
    <x v="6"/>
    <x v="1"/>
    <n v="0.23445962953640229"/>
  </r>
  <r>
    <x v="257"/>
    <d v="2025-01-28T00:00:00"/>
    <x v="84"/>
    <x v="7"/>
    <x v="0"/>
    <x v="0"/>
    <n v="6"/>
    <n v="1357.88"/>
    <n v="0"/>
    <n v="8147.28"/>
    <n v="6496.79"/>
    <n v="1650.49"/>
    <x v="1"/>
    <x v="2"/>
    <x v="1"/>
    <x v="9"/>
    <x v="1"/>
    <n v="0.20258172052513232"/>
  </r>
  <r>
    <x v="258"/>
    <d v="2026-04-19T00:00:00"/>
    <x v="86"/>
    <x v="1"/>
    <x v="2"/>
    <x v="15"/>
    <n v="5"/>
    <n v="1367.29"/>
    <n v="0.05"/>
    <n v="6494.63"/>
    <n v="5329.13"/>
    <n v="1165.5"/>
    <x v="0"/>
    <x v="3"/>
    <x v="1"/>
    <x v="8"/>
    <x v="0"/>
    <n v="0.17945595053143903"/>
  </r>
  <r>
    <x v="259"/>
    <d v="2025-03-23T00:00:00"/>
    <x v="201"/>
    <x v="5"/>
    <x v="2"/>
    <x v="19"/>
    <n v="1"/>
    <n v="1367.82"/>
    <n v="0"/>
    <n v="1367.82"/>
    <n v="778.33"/>
    <n v="589.49"/>
    <x v="0"/>
    <x v="0"/>
    <x v="1"/>
    <x v="0"/>
    <x v="1"/>
    <n v="0.430970449328128"/>
  </r>
  <r>
    <x v="260"/>
    <d v="2025-05-31T00:00:00"/>
    <x v="202"/>
    <x v="6"/>
    <x v="1"/>
    <x v="2"/>
    <n v="1"/>
    <n v="1370.14"/>
    <n v="0.05"/>
    <n v="1301.6300000000001"/>
    <n v="954.09"/>
    <n v="347.54"/>
    <x v="1"/>
    <x v="3"/>
    <x v="1"/>
    <x v="5"/>
    <x v="1"/>
    <n v="0.2670036800012292"/>
  </r>
  <r>
    <x v="261"/>
    <d v="2025-05-17T00:00:00"/>
    <x v="203"/>
    <x v="1"/>
    <x v="3"/>
    <x v="8"/>
    <n v="5"/>
    <n v="1373.45"/>
    <n v="0.05"/>
    <n v="6523.89"/>
    <n v="5358.39"/>
    <n v="1165.5"/>
    <x v="0"/>
    <x v="1"/>
    <x v="0"/>
    <x v="5"/>
    <x v="1"/>
    <n v="0.17865108087352791"/>
  </r>
  <r>
    <x v="262"/>
    <d v="2026-02-15T00:00:00"/>
    <x v="173"/>
    <x v="9"/>
    <x v="2"/>
    <x v="3"/>
    <n v="6"/>
    <n v="1382.47"/>
    <n v="0.15"/>
    <n v="7050.6"/>
    <n v="4839.8999999999996"/>
    <n v="2210.6999999999998"/>
    <x v="0"/>
    <x v="2"/>
    <x v="0"/>
    <x v="1"/>
    <x v="0"/>
    <n v="0.31354778316738996"/>
  </r>
  <r>
    <x v="263"/>
    <d v="2026-04-26T00:00:00"/>
    <x v="146"/>
    <x v="6"/>
    <x v="0"/>
    <x v="11"/>
    <n v="5"/>
    <n v="1385.96"/>
    <n v="0"/>
    <n v="6929.8"/>
    <n v="4860.97"/>
    <n v="2068.83"/>
    <x v="0"/>
    <x v="3"/>
    <x v="1"/>
    <x v="8"/>
    <x v="0"/>
    <n v="0.2985410834367514"/>
  </r>
  <r>
    <x v="264"/>
    <d v="2025-10-26T00:00:00"/>
    <x v="91"/>
    <x v="9"/>
    <x v="2"/>
    <x v="19"/>
    <n v="2"/>
    <n v="1386.15"/>
    <n v="0"/>
    <n v="2772.3"/>
    <n v="2071.77"/>
    <n v="700.53"/>
    <x v="1"/>
    <x v="0"/>
    <x v="1"/>
    <x v="11"/>
    <x v="1"/>
    <n v="0.25268910291094032"/>
  </r>
  <r>
    <x v="265"/>
    <d v="2026-04-21T00:00:00"/>
    <x v="204"/>
    <x v="1"/>
    <x v="3"/>
    <x v="4"/>
    <n v="5"/>
    <n v="1387.92"/>
    <n v="0.2"/>
    <n v="5551.68"/>
    <n v="3430.57"/>
    <n v="2121.11"/>
    <x v="1"/>
    <x v="0"/>
    <x v="1"/>
    <x v="8"/>
    <x v="0"/>
    <n v="0.38206632947143926"/>
  </r>
  <r>
    <x v="266"/>
    <d v="2025-05-18T00:00:00"/>
    <x v="205"/>
    <x v="3"/>
    <x v="2"/>
    <x v="15"/>
    <n v="5"/>
    <n v="1390.92"/>
    <n v="0"/>
    <n v="6954.6"/>
    <n v="4916.08"/>
    <n v="2038.52"/>
    <x v="1"/>
    <x v="3"/>
    <x v="1"/>
    <x v="5"/>
    <x v="1"/>
    <n v="0.29311822390935494"/>
  </r>
  <r>
    <x v="267"/>
    <d v="2026-08-23T00:00:00"/>
    <x v="206"/>
    <x v="7"/>
    <x v="1"/>
    <x v="2"/>
    <n v="6"/>
    <n v="1394.34"/>
    <n v="0.1"/>
    <n v="7529.44"/>
    <n v="4503.8100000000004"/>
    <n v="3025.63"/>
    <x v="0"/>
    <x v="1"/>
    <x v="0"/>
    <x v="6"/>
    <x v="0"/>
    <n v="0.40183997747508449"/>
  </r>
  <r>
    <x v="268"/>
    <d v="2026-05-15T00:00:00"/>
    <x v="207"/>
    <x v="4"/>
    <x v="1"/>
    <x v="2"/>
    <n v="5"/>
    <n v="1396.26"/>
    <n v="0.05"/>
    <n v="6632.23"/>
    <n v="4601.08"/>
    <n v="2031.15"/>
    <x v="0"/>
    <x v="3"/>
    <x v="1"/>
    <x v="5"/>
    <x v="0"/>
    <n v="0.3062544573996982"/>
  </r>
  <r>
    <x v="269"/>
    <d v="2025-01-11T00:00:00"/>
    <x v="208"/>
    <x v="9"/>
    <x v="0"/>
    <x v="0"/>
    <n v="4"/>
    <n v="1397.77"/>
    <n v="0.05"/>
    <n v="5311.53"/>
    <n v="3604.35"/>
    <n v="1707.18"/>
    <x v="0"/>
    <x v="2"/>
    <x v="1"/>
    <x v="9"/>
    <x v="1"/>
    <n v="0.32141021513575185"/>
  </r>
  <r>
    <x v="270"/>
    <d v="2025-10-09T00:00:00"/>
    <x v="52"/>
    <x v="8"/>
    <x v="1"/>
    <x v="18"/>
    <n v="1"/>
    <n v="1401.98"/>
    <n v="0"/>
    <n v="1401.98"/>
    <n v="960.85"/>
    <n v="441.13"/>
    <x v="0"/>
    <x v="2"/>
    <x v="1"/>
    <x v="11"/>
    <x v="1"/>
    <n v="0.31464785517625071"/>
  </r>
  <r>
    <x v="271"/>
    <d v="2025-04-08T00:00:00"/>
    <x v="209"/>
    <x v="2"/>
    <x v="0"/>
    <x v="1"/>
    <n v="1"/>
    <n v="1404.41"/>
    <n v="0"/>
    <n v="1404.41"/>
    <n v="919.63"/>
    <n v="484.78"/>
    <x v="1"/>
    <x v="1"/>
    <x v="1"/>
    <x v="8"/>
    <x v="1"/>
    <n v="0.34518409866064748"/>
  </r>
  <r>
    <x v="272"/>
    <d v="2026-07-15T00:00:00"/>
    <x v="210"/>
    <x v="8"/>
    <x v="2"/>
    <x v="15"/>
    <n v="6"/>
    <n v="1408.58"/>
    <n v="0.1"/>
    <n v="7606.33"/>
    <n v="6194.66"/>
    <n v="1411.67"/>
    <x v="1"/>
    <x v="1"/>
    <x v="1"/>
    <x v="2"/>
    <x v="0"/>
    <n v="0.18559147446929072"/>
  </r>
  <r>
    <x v="273"/>
    <d v="2026-08-22T00:00:00"/>
    <x v="21"/>
    <x v="8"/>
    <x v="1"/>
    <x v="16"/>
    <n v="6"/>
    <n v="1413.38"/>
    <n v="0"/>
    <n v="8480.2800000000007"/>
    <n v="4962.7700000000004"/>
    <n v="3517.51"/>
    <x v="1"/>
    <x v="2"/>
    <x v="1"/>
    <x v="6"/>
    <x v="0"/>
    <n v="0.41478701174961202"/>
  </r>
  <r>
    <x v="274"/>
    <d v="2026-03-07T00:00:00"/>
    <x v="209"/>
    <x v="0"/>
    <x v="2"/>
    <x v="13"/>
    <n v="4"/>
    <n v="1414.64"/>
    <n v="0.1"/>
    <n v="5092.7"/>
    <n v="4168.4399999999996"/>
    <n v="924.26"/>
    <x v="0"/>
    <x v="3"/>
    <x v="1"/>
    <x v="0"/>
    <x v="0"/>
    <n v="0.18148722681485263"/>
  </r>
  <r>
    <x v="275"/>
    <d v="2025-09-15T00:00:00"/>
    <x v="190"/>
    <x v="9"/>
    <x v="1"/>
    <x v="2"/>
    <n v="3"/>
    <n v="1424.53"/>
    <n v="0"/>
    <n v="4273.59"/>
    <n v="3071.73"/>
    <n v="1201.8599999999999"/>
    <x v="1"/>
    <x v="0"/>
    <x v="1"/>
    <x v="4"/>
    <x v="1"/>
    <n v="0.28122959853425339"/>
  </r>
  <r>
    <x v="276"/>
    <d v="2026-02-20T00:00:00"/>
    <x v="211"/>
    <x v="8"/>
    <x v="1"/>
    <x v="18"/>
    <n v="5"/>
    <n v="1432.43"/>
    <n v="0.2"/>
    <n v="5729.72"/>
    <n v="4081.49"/>
    <n v="1648.23"/>
    <x v="1"/>
    <x v="3"/>
    <x v="0"/>
    <x v="1"/>
    <x v="0"/>
    <n v="0.2876632715036686"/>
  </r>
  <r>
    <x v="277"/>
    <d v="2025-07-25T00:00:00"/>
    <x v="17"/>
    <x v="6"/>
    <x v="3"/>
    <x v="4"/>
    <n v="5"/>
    <n v="1433.84"/>
    <n v="0.2"/>
    <n v="5735.36"/>
    <n v="4139.7700000000004"/>
    <n v="1595.59"/>
    <x v="1"/>
    <x v="0"/>
    <x v="1"/>
    <x v="2"/>
    <x v="1"/>
    <n v="0.27820224013836969"/>
  </r>
  <r>
    <x v="278"/>
    <d v="2026-02-25T00:00:00"/>
    <x v="212"/>
    <x v="8"/>
    <x v="1"/>
    <x v="2"/>
    <n v="4"/>
    <n v="1443.52"/>
    <n v="0.15"/>
    <n v="4907.97"/>
    <n v="2754.71"/>
    <n v="2153.2600000000002"/>
    <x v="1"/>
    <x v="1"/>
    <x v="0"/>
    <x v="1"/>
    <x v="0"/>
    <n v="0.43872721308402457"/>
  </r>
  <r>
    <x v="279"/>
    <d v="2025-11-16T00:00:00"/>
    <x v="100"/>
    <x v="4"/>
    <x v="1"/>
    <x v="16"/>
    <n v="6"/>
    <n v="1445.39"/>
    <n v="0.2"/>
    <n v="6937.87"/>
    <n v="4638.8"/>
    <n v="2299.0700000000002"/>
    <x v="0"/>
    <x v="3"/>
    <x v="1"/>
    <x v="3"/>
    <x v="1"/>
    <n v="0.33137980388793681"/>
  </r>
  <r>
    <x v="280"/>
    <d v="2025-03-17T00:00:00"/>
    <x v="213"/>
    <x v="0"/>
    <x v="3"/>
    <x v="6"/>
    <n v="1"/>
    <n v="1445.61"/>
    <n v="0.1"/>
    <n v="1301.05"/>
    <n v="1040.83"/>
    <n v="260.22000000000003"/>
    <x v="0"/>
    <x v="2"/>
    <x v="0"/>
    <x v="0"/>
    <x v="1"/>
    <n v="0.20000768609968875"/>
  </r>
  <r>
    <x v="281"/>
    <d v="2025-07-02T00:00:00"/>
    <x v="209"/>
    <x v="2"/>
    <x v="2"/>
    <x v="19"/>
    <n v="4"/>
    <n v="1445.64"/>
    <n v="0"/>
    <n v="5782.56"/>
    <n v="3750.96"/>
    <n v="2031.6"/>
    <x v="0"/>
    <x v="3"/>
    <x v="0"/>
    <x v="2"/>
    <x v="1"/>
    <n v="0.35133228189590765"/>
  </r>
  <r>
    <x v="282"/>
    <d v="2025-03-26T00:00:00"/>
    <x v="214"/>
    <x v="0"/>
    <x v="2"/>
    <x v="3"/>
    <n v="5"/>
    <n v="1448.02"/>
    <n v="0.05"/>
    <n v="6878.1"/>
    <n v="4580.2299999999996"/>
    <n v="2297.87"/>
    <x v="0"/>
    <x v="2"/>
    <x v="1"/>
    <x v="0"/>
    <x v="1"/>
    <n v="0.33408499440252393"/>
  </r>
  <r>
    <x v="283"/>
    <d v="2026-04-21T00:00:00"/>
    <x v="215"/>
    <x v="0"/>
    <x v="1"/>
    <x v="2"/>
    <n v="4"/>
    <n v="1458.77"/>
    <n v="0.1"/>
    <n v="5251.57"/>
    <n v="4056.94"/>
    <n v="1194.6300000000001"/>
    <x v="0"/>
    <x v="1"/>
    <x v="1"/>
    <x v="8"/>
    <x v="0"/>
    <n v="0.22748054391353445"/>
  </r>
  <r>
    <x v="284"/>
    <d v="2025-10-09T00:00:00"/>
    <x v="88"/>
    <x v="9"/>
    <x v="1"/>
    <x v="12"/>
    <n v="5"/>
    <n v="1463.16"/>
    <n v="0"/>
    <n v="7315.8"/>
    <n v="4469.72"/>
    <n v="2846.08"/>
    <x v="1"/>
    <x v="1"/>
    <x v="0"/>
    <x v="11"/>
    <x v="1"/>
    <n v="0.38903195822739822"/>
  </r>
  <r>
    <x v="285"/>
    <d v="2025-04-29T00:00:00"/>
    <x v="216"/>
    <x v="5"/>
    <x v="1"/>
    <x v="2"/>
    <n v="2"/>
    <n v="1468.97"/>
    <n v="0.15"/>
    <n v="2497.25"/>
    <n v="1460.12"/>
    <n v="1037.1300000000001"/>
    <x v="0"/>
    <x v="3"/>
    <x v="1"/>
    <x v="8"/>
    <x v="1"/>
    <n v="0.41530883972369609"/>
  </r>
  <r>
    <x v="286"/>
    <d v="2025-10-30T00:00:00"/>
    <x v="217"/>
    <x v="3"/>
    <x v="2"/>
    <x v="14"/>
    <n v="1"/>
    <n v="1471.73"/>
    <n v="0"/>
    <n v="1471.73"/>
    <n v="908.42"/>
    <n v="563.30999999999995"/>
    <x v="0"/>
    <x v="0"/>
    <x v="1"/>
    <x v="11"/>
    <x v="1"/>
    <n v="0.38275363008160462"/>
  </r>
  <r>
    <x v="287"/>
    <d v="2026-04-07T00:00:00"/>
    <x v="142"/>
    <x v="7"/>
    <x v="0"/>
    <x v="1"/>
    <n v="3"/>
    <n v="1472.12"/>
    <n v="0"/>
    <n v="4416.3599999999997"/>
    <n v="3659.48"/>
    <n v="756.88"/>
    <x v="1"/>
    <x v="1"/>
    <x v="1"/>
    <x v="8"/>
    <x v="0"/>
    <n v="0.17138095626262353"/>
  </r>
  <r>
    <x v="288"/>
    <d v="2025-06-13T00:00:00"/>
    <x v="190"/>
    <x v="7"/>
    <x v="2"/>
    <x v="15"/>
    <n v="4"/>
    <n v="1473.12"/>
    <n v="0.1"/>
    <n v="5303.23"/>
    <n v="3286.64"/>
    <n v="2016.59"/>
    <x v="0"/>
    <x v="1"/>
    <x v="1"/>
    <x v="10"/>
    <x v="1"/>
    <n v="0.38025693775302977"/>
  </r>
  <r>
    <x v="289"/>
    <d v="2026-02-02T00:00:00"/>
    <x v="218"/>
    <x v="7"/>
    <x v="2"/>
    <x v="3"/>
    <n v="5"/>
    <n v="1474.12"/>
    <n v="0.1"/>
    <n v="6633.54"/>
    <n v="3706.91"/>
    <n v="2926.63"/>
    <x v="0"/>
    <x v="3"/>
    <x v="1"/>
    <x v="1"/>
    <x v="0"/>
    <n v="0.44118675699551069"/>
  </r>
  <r>
    <x v="290"/>
    <d v="2026-07-13T00:00:00"/>
    <x v="219"/>
    <x v="5"/>
    <x v="2"/>
    <x v="19"/>
    <n v="3"/>
    <n v="1483.89"/>
    <n v="0.2"/>
    <n v="3561.34"/>
    <n v="2956.32"/>
    <n v="605.02"/>
    <x v="0"/>
    <x v="0"/>
    <x v="1"/>
    <x v="2"/>
    <x v="0"/>
    <n v="0.16988549253932508"/>
  </r>
  <r>
    <x v="291"/>
    <d v="2026-02-16T00:00:00"/>
    <x v="104"/>
    <x v="8"/>
    <x v="3"/>
    <x v="5"/>
    <n v="5"/>
    <n v="1492.31"/>
    <n v="0.2"/>
    <n v="5969.24"/>
    <n v="5008.4799999999996"/>
    <n v="960.76"/>
    <x v="0"/>
    <x v="3"/>
    <x v="1"/>
    <x v="1"/>
    <x v="0"/>
    <n v="0.16095181296111399"/>
  </r>
  <r>
    <x v="292"/>
    <d v="2026-05-23T00:00:00"/>
    <x v="220"/>
    <x v="6"/>
    <x v="3"/>
    <x v="6"/>
    <n v="6"/>
    <n v="1494.74"/>
    <n v="0"/>
    <n v="8968.44"/>
    <n v="5202.2299999999996"/>
    <n v="3766.21"/>
    <x v="0"/>
    <x v="2"/>
    <x v="0"/>
    <x v="5"/>
    <x v="0"/>
    <n v="0.4199403686705826"/>
  </r>
  <r>
    <x v="293"/>
    <d v="2025-12-28T00:00:00"/>
    <x v="221"/>
    <x v="4"/>
    <x v="1"/>
    <x v="7"/>
    <n v="6"/>
    <n v="1499.64"/>
    <n v="0"/>
    <n v="8997.84"/>
    <n v="5633.86"/>
    <n v="3363.98"/>
    <x v="0"/>
    <x v="3"/>
    <x v="0"/>
    <x v="7"/>
    <x v="1"/>
    <n v="0.37386528322352919"/>
  </r>
  <r>
    <x v="294"/>
    <d v="2025-01-09T00:00:00"/>
    <x v="179"/>
    <x v="1"/>
    <x v="3"/>
    <x v="8"/>
    <n v="1"/>
    <n v="1506.09"/>
    <n v="0"/>
    <n v="1506.09"/>
    <n v="1209.31"/>
    <n v="296.77999999999997"/>
    <x v="0"/>
    <x v="0"/>
    <x v="0"/>
    <x v="9"/>
    <x v="1"/>
    <n v="0.19705329694772555"/>
  </r>
  <r>
    <x v="295"/>
    <d v="2026-07-21T00:00:00"/>
    <x v="91"/>
    <x v="8"/>
    <x v="3"/>
    <x v="8"/>
    <n v="6"/>
    <n v="1509.28"/>
    <n v="0"/>
    <n v="9055.68"/>
    <n v="5268.06"/>
    <n v="3787.62"/>
    <x v="1"/>
    <x v="2"/>
    <x v="1"/>
    <x v="2"/>
    <x v="0"/>
    <n v="0.41825903742181703"/>
  </r>
  <r>
    <x v="296"/>
    <d v="2025-10-20T00:00:00"/>
    <x v="81"/>
    <x v="2"/>
    <x v="2"/>
    <x v="13"/>
    <n v="6"/>
    <n v="1510.93"/>
    <n v="0.05"/>
    <n v="8612.2999999999993"/>
    <n v="7030.95"/>
    <n v="1581.35"/>
    <x v="0"/>
    <x v="2"/>
    <x v="1"/>
    <x v="11"/>
    <x v="1"/>
    <n v="0.18361529440451449"/>
  </r>
  <r>
    <x v="297"/>
    <d v="2025-10-26T00:00:00"/>
    <x v="132"/>
    <x v="8"/>
    <x v="0"/>
    <x v="0"/>
    <n v="3"/>
    <n v="1511.15"/>
    <n v="0.15"/>
    <n v="3853.43"/>
    <n v="3167.59"/>
    <n v="685.84"/>
    <x v="1"/>
    <x v="1"/>
    <x v="1"/>
    <x v="11"/>
    <x v="1"/>
    <n v="0.17798169423085408"/>
  </r>
  <r>
    <x v="298"/>
    <d v="2025-12-25T00:00:00"/>
    <x v="83"/>
    <x v="0"/>
    <x v="1"/>
    <x v="12"/>
    <n v="3"/>
    <n v="1518.01"/>
    <n v="0.05"/>
    <n v="4326.33"/>
    <n v="3611.66"/>
    <n v="714.67"/>
    <x v="1"/>
    <x v="3"/>
    <x v="0"/>
    <x v="7"/>
    <x v="1"/>
    <n v="0.16519081993282989"/>
  </r>
  <r>
    <x v="299"/>
    <d v="2025-11-10T00:00:00"/>
    <x v="20"/>
    <x v="9"/>
    <x v="3"/>
    <x v="10"/>
    <n v="2"/>
    <n v="1523.71"/>
    <n v="0"/>
    <n v="3047.42"/>
    <n v="2318.85"/>
    <n v="728.57"/>
    <x v="1"/>
    <x v="1"/>
    <x v="1"/>
    <x v="3"/>
    <x v="1"/>
    <n v="0.23907764600875495"/>
  </r>
  <r>
    <x v="300"/>
    <d v="2025-12-26T00:00:00"/>
    <x v="222"/>
    <x v="4"/>
    <x v="3"/>
    <x v="6"/>
    <n v="5"/>
    <n v="1525.67"/>
    <n v="0.15"/>
    <n v="6484.1"/>
    <n v="4550.62"/>
    <n v="1933.48"/>
    <x v="1"/>
    <x v="3"/>
    <x v="0"/>
    <x v="7"/>
    <x v="1"/>
    <n v="0.29818787495566074"/>
  </r>
  <r>
    <x v="301"/>
    <d v="2025-10-29T00:00:00"/>
    <x v="5"/>
    <x v="8"/>
    <x v="3"/>
    <x v="6"/>
    <n v="5"/>
    <n v="1526.96"/>
    <n v="0.2"/>
    <n v="6107.84"/>
    <n v="5000.24"/>
    <n v="1107.5999999999999"/>
    <x v="0"/>
    <x v="2"/>
    <x v="1"/>
    <x v="11"/>
    <x v="1"/>
    <n v="0.18134070309634828"/>
  </r>
  <r>
    <x v="302"/>
    <d v="2025-01-02T00:00:00"/>
    <x v="223"/>
    <x v="4"/>
    <x v="1"/>
    <x v="12"/>
    <n v="1"/>
    <n v="1537.26"/>
    <n v="0.2"/>
    <n v="1229.81"/>
    <n v="738.64"/>
    <n v="491.17"/>
    <x v="1"/>
    <x v="2"/>
    <x v="1"/>
    <x v="9"/>
    <x v="1"/>
    <n v="0.39938689716297643"/>
  </r>
  <r>
    <x v="303"/>
    <d v="2025-01-13T00:00:00"/>
    <x v="132"/>
    <x v="1"/>
    <x v="1"/>
    <x v="12"/>
    <n v="5"/>
    <n v="1540.52"/>
    <n v="0"/>
    <n v="7702.6"/>
    <n v="6223.28"/>
    <n v="1479.32"/>
    <x v="0"/>
    <x v="3"/>
    <x v="1"/>
    <x v="9"/>
    <x v="1"/>
    <n v="0.19205463090385064"/>
  </r>
  <r>
    <x v="304"/>
    <d v="2025-06-11T00:00:00"/>
    <x v="80"/>
    <x v="8"/>
    <x v="1"/>
    <x v="16"/>
    <n v="4"/>
    <n v="1540.79"/>
    <n v="0.15"/>
    <n v="5238.6899999999996"/>
    <n v="4254.51"/>
    <n v="984.18"/>
    <x v="0"/>
    <x v="2"/>
    <x v="0"/>
    <x v="10"/>
    <x v="1"/>
    <n v="0.18786757758141825"/>
  </r>
  <r>
    <x v="305"/>
    <d v="2025-02-26T00:00:00"/>
    <x v="151"/>
    <x v="1"/>
    <x v="3"/>
    <x v="4"/>
    <n v="2"/>
    <n v="1542.07"/>
    <n v="0"/>
    <n v="3084.14"/>
    <n v="1824.04"/>
    <n v="1260.0999999999999"/>
    <x v="0"/>
    <x v="2"/>
    <x v="0"/>
    <x v="1"/>
    <x v="1"/>
    <n v="0.40857418923913957"/>
  </r>
  <r>
    <x v="306"/>
    <d v="2025-11-20T00:00:00"/>
    <x v="66"/>
    <x v="8"/>
    <x v="1"/>
    <x v="18"/>
    <n v="3"/>
    <n v="1560.4"/>
    <n v="0.1"/>
    <n v="4213.08"/>
    <n v="2834.43"/>
    <n v="1378.65"/>
    <x v="0"/>
    <x v="1"/>
    <x v="1"/>
    <x v="3"/>
    <x v="1"/>
    <n v="0.32723090945341654"/>
  </r>
  <r>
    <x v="307"/>
    <d v="2026-04-06T00:00:00"/>
    <x v="166"/>
    <x v="9"/>
    <x v="0"/>
    <x v="9"/>
    <n v="4"/>
    <n v="1564.76"/>
    <n v="0"/>
    <n v="6259.04"/>
    <n v="4497.8"/>
    <n v="1761.24"/>
    <x v="1"/>
    <x v="1"/>
    <x v="1"/>
    <x v="8"/>
    <x v="0"/>
    <n v="0.28139139548556968"/>
  </r>
  <r>
    <x v="308"/>
    <d v="2025-09-22T00:00:00"/>
    <x v="199"/>
    <x v="7"/>
    <x v="1"/>
    <x v="18"/>
    <n v="6"/>
    <n v="1565.16"/>
    <n v="0"/>
    <n v="9390.9599999999991"/>
    <n v="7467.25"/>
    <n v="1923.71"/>
    <x v="0"/>
    <x v="3"/>
    <x v="1"/>
    <x v="4"/>
    <x v="1"/>
    <n v="0.20484700179747334"/>
  </r>
  <r>
    <x v="309"/>
    <d v="2025-02-08T00:00:00"/>
    <x v="224"/>
    <x v="2"/>
    <x v="1"/>
    <x v="7"/>
    <n v="3"/>
    <n v="1578.83"/>
    <n v="0.1"/>
    <n v="4262.84"/>
    <n v="2774.26"/>
    <n v="1488.58"/>
    <x v="1"/>
    <x v="0"/>
    <x v="1"/>
    <x v="1"/>
    <x v="1"/>
    <n v="0.34919912546565196"/>
  </r>
  <r>
    <x v="310"/>
    <d v="2025-10-09T00:00:00"/>
    <x v="30"/>
    <x v="7"/>
    <x v="2"/>
    <x v="19"/>
    <n v="4"/>
    <n v="1584.11"/>
    <n v="0.2"/>
    <n v="5069.1499999999996"/>
    <n v="3937.63"/>
    <n v="1131.52"/>
    <x v="1"/>
    <x v="2"/>
    <x v="1"/>
    <x v="11"/>
    <x v="1"/>
    <n v="0.22321691013286252"/>
  </r>
  <r>
    <x v="311"/>
    <d v="2026-06-26T00:00:00"/>
    <x v="225"/>
    <x v="1"/>
    <x v="0"/>
    <x v="0"/>
    <n v="5"/>
    <n v="1587.33"/>
    <n v="0"/>
    <n v="7936.65"/>
    <n v="6512.22"/>
    <n v="1424.43"/>
    <x v="0"/>
    <x v="2"/>
    <x v="1"/>
    <x v="10"/>
    <x v="0"/>
    <n v="0.17947496739808358"/>
  </r>
  <r>
    <x v="312"/>
    <d v="2025-12-10T00:00:00"/>
    <x v="77"/>
    <x v="5"/>
    <x v="0"/>
    <x v="9"/>
    <n v="3"/>
    <n v="1588.74"/>
    <n v="0.05"/>
    <n v="4527.91"/>
    <n v="3521.92"/>
    <n v="1005.99"/>
    <x v="0"/>
    <x v="1"/>
    <x v="1"/>
    <x v="7"/>
    <x v="1"/>
    <n v="0.22217535242529116"/>
  </r>
  <r>
    <x v="313"/>
    <d v="2025-06-09T00:00:00"/>
    <x v="226"/>
    <x v="9"/>
    <x v="3"/>
    <x v="5"/>
    <n v="6"/>
    <n v="1589.3"/>
    <n v="0.2"/>
    <n v="7628.64"/>
    <n v="4485.3100000000004"/>
    <n v="3143.33"/>
    <x v="0"/>
    <x v="2"/>
    <x v="1"/>
    <x v="10"/>
    <x v="1"/>
    <n v="0.41204329998531847"/>
  </r>
  <r>
    <x v="314"/>
    <d v="2026-04-23T00:00:00"/>
    <x v="227"/>
    <x v="1"/>
    <x v="2"/>
    <x v="15"/>
    <n v="4"/>
    <n v="1594.93"/>
    <n v="0.15"/>
    <n v="5422.76"/>
    <n v="4157.17"/>
    <n v="1265.5899999999999"/>
    <x v="0"/>
    <x v="0"/>
    <x v="1"/>
    <x v="8"/>
    <x v="0"/>
    <n v="0.23338484461786985"/>
  </r>
  <r>
    <x v="315"/>
    <d v="2026-05-03T00:00:00"/>
    <x v="228"/>
    <x v="0"/>
    <x v="3"/>
    <x v="5"/>
    <n v="6"/>
    <n v="1597.63"/>
    <n v="0.2"/>
    <n v="7668.62"/>
    <n v="5548.71"/>
    <n v="2119.91"/>
    <x v="1"/>
    <x v="3"/>
    <x v="1"/>
    <x v="5"/>
    <x v="0"/>
    <n v="0.27643956800571678"/>
  </r>
  <r>
    <x v="316"/>
    <d v="2026-01-03T00:00:00"/>
    <x v="124"/>
    <x v="7"/>
    <x v="3"/>
    <x v="5"/>
    <n v="3"/>
    <n v="1598.03"/>
    <n v="0"/>
    <n v="4794.09"/>
    <n v="3430.62"/>
    <n v="1363.47"/>
    <x v="1"/>
    <x v="3"/>
    <x v="0"/>
    <x v="9"/>
    <x v="0"/>
    <n v="0.28440642541128763"/>
  </r>
  <r>
    <x v="317"/>
    <d v="2025-01-02T00:00:00"/>
    <x v="94"/>
    <x v="0"/>
    <x v="2"/>
    <x v="13"/>
    <n v="3"/>
    <n v="1599.25"/>
    <n v="0"/>
    <n v="4797.75"/>
    <n v="2919.04"/>
    <n v="1878.71"/>
    <x v="1"/>
    <x v="2"/>
    <x v="0"/>
    <x v="9"/>
    <x v="1"/>
    <n v="0.3915814704809546"/>
  </r>
  <r>
    <x v="318"/>
    <d v="2026-03-17T00:00:00"/>
    <x v="229"/>
    <x v="5"/>
    <x v="3"/>
    <x v="4"/>
    <n v="4"/>
    <n v="1600.32"/>
    <n v="0"/>
    <n v="6401.28"/>
    <n v="3822.13"/>
    <n v="2579.15"/>
    <x v="1"/>
    <x v="3"/>
    <x v="1"/>
    <x v="0"/>
    <x v="0"/>
    <n v="0.40291160517896424"/>
  </r>
  <r>
    <x v="319"/>
    <d v="2026-06-26T00:00:00"/>
    <x v="230"/>
    <x v="4"/>
    <x v="3"/>
    <x v="10"/>
    <n v="1"/>
    <n v="1623.24"/>
    <n v="0.05"/>
    <n v="1542.08"/>
    <n v="1292.73"/>
    <n v="249.35"/>
    <x v="1"/>
    <x v="1"/>
    <x v="1"/>
    <x v="10"/>
    <x v="0"/>
    <n v="0.16169718821332227"/>
  </r>
  <r>
    <x v="320"/>
    <d v="2025-07-13T00:00:00"/>
    <x v="231"/>
    <x v="9"/>
    <x v="1"/>
    <x v="2"/>
    <n v="4"/>
    <n v="1633.24"/>
    <n v="0.1"/>
    <n v="5879.66"/>
    <n v="4953.57"/>
    <n v="926.09"/>
    <x v="1"/>
    <x v="0"/>
    <x v="0"/>
    <x v="2"/>
    <x v="1"/>
    <n v="0.15750740689087464"/>
  </r>
  <r>
    <x v="321"/>
    <d v="2025-11-07T00:00:00"/>
    <x v="33"/>
    <x v="1"/>
    <x v="2"/>
    <x v="3"/>
    <n v="2"/>
    <n v="1639.15"/>
    <n v="0.2"/>
    <n v="2622.64"/>
    <n v="1778.5"/>
    <n v="844.14"/>
    <x v="0"/>
    <x v="1"/>
    <x v="1"/>
    <x v="3"/>
    <x v="1"/>
    <n v="0.32186651618216761"/>
  </r>
  <r>
    <x v="322"/>
    <d v="2026-03-13T00:00:00"/>
    <x v="232"/>
    <x v="2"/>
    <x v="2"/>
    <x v="3"/>
    <n v="5"/>
    <n v="1646.66"/>
    <n v="0"/>
    <n v="8233.2999999999993"/>
    <n v="5023.17"/>
    <n v="3210.13"/>
    <x v="1"/>
    <x v="1"/>
    <x v="1"/>
    <x v="0"/>
    <x v="0"/>
    <n v="0.38989591050975919"/>
  </r>
  <r>
    <x v="323"/>
    <d v="2025-08-29T00:00:00"/>
    <x v="178"/>
    <x v="1"/>
    <x v="0"/>
    <x v="9"/>
    <n v="3"/>
    <n v="1648.68"/>
    <n v="0.05"/>
    <n v="4698.74"/>
    <n v="3701.04"/>
    <n v="997.7"/>
    <x v="1"/>
    <x v="2"/>
    <x v="0"/>
    <x v="6"/>
    <x v="1"/>
    <n v="0.21233351919876395"/>
  </r>
  <r>
    <x v="324"/>
    <d v="2025-05-16T00:00:00"/>
    <x v="233"/>
    <x v="3"/>
    <x v="1"/>
    <x v="18"/>
    <n v="2"/>
    <n v="1649.57"/>
    <n v="0.1"/>
    <n v="2969.23"/>
    <n v="2252.96"/>
    <n v="716.27"/>
    <x v="0"/>
    <x v="2"/>
    <x v="1"/>
    <x v="5"/>
    <x v="1"/>
    <n v="0.24123089151059365"/>
  </r>
  <r>
    <x v="325"/>
    <d v="2025-01-07T00:00:00"/>
    <x v="234"/>
    <x v="4"/>
    <x v="0"/>
    <x v="9"/>
    <n v="2"/>
    <n v="1650.09"/>
    <n v="0.05"/>
    <n v="3135.17"/>
    <n v="2639.13"/>
    <n v="496.04"/>
    <x v="1"/>
    <x v="1"/>
    <x v="0"/>
    <x v="9"/>
    <x v="1"/>
    <n v="0.15821789568029804"/>
  </r>
  <r>
    <x v="326"/>
    <d v="2025-04-23T00:00:00"/>
    <x v="235"/>
    <x v="8"/>
    <x v="0"/>
    <x v="9"/>
    <n v="4"/>
    <n v="1664.34"/>
    <n v="0"/>
    <n v="6657.36"/>
    <n v="5157.3999999999996"/>
    <n v="1499.96"/>
    <x v="0"/>
    <x v="0"/>
    <x v="1"/>
    <x v="8"/>
    <x v="1"/>
    <n v="0.22530853070886961"/>
  </r>
  <r>
    <x v="327"/>
    <d v="2026-07-11T00:00:00"/>
    <x v="23"/>
    <x v="2"/>
    <x v="1"/>
    <x v="12"/>
    <n v="5"/>
    <n v="1664.98"/>
    <n v="0.2"/>
    <n v="6659.92"/>
    <n v="4895.45"/>
    <n v="1764.47"/>
    <x v="1"/>
    <x v="1"/>
    <x v="1"/>
    <x v="2"/>
    <x v="0"/>
    <n v="0.26493861788129586"/>
  </r>
  <r>
    <x v="328"/>
    <d v="2025-09-03T00:00:00"/>
    <x v="236"/>
    <x v="7"/>
    <x v="3"/>
    <x v="10"/>
    <n v="2"/>
    <n v="1667.23"/>
    <n v="0.2"/>
    <n v="2667.57"/>
    <n v="2172.59"/>
    <n v="494.98"/>
    <x v="1"/>
    <x v="3"/>
    <x v="1"/>
    <x v="4"/>
    <x v="1"/>
    <n v="0.18555464336456026"/>
  </r>
  <r>
    <x v="329"/>
    <d v="2026-08-11T00:00:00"/>
    <x v="13"/>
    <x v="1"/>
    <x v="3"/>
    <x v="10"/>
    <n v="1"/>
    <n v="1684.41"/>
    <n v="0.2"/>
    <n v="1347.53"/>
    <n v="1129.42"/>
    <n v="218.11"/>
    <x v="1"/>
    <x v="1"/>
    <x v="0"/>
    <x v="6"/>
    <x v="0"/>
    <n v="0.16185910517762128"/>
  </r>
  <r>
    <x v="330"/>
    <d v="2026-05-16T00:00:00"/>
    <x v="215"/>
    <x v="2"/>
    <x v="1"/>
    <x v="7"/>
    <n v="2"/>
    <n v="1689.31"/>
    <n v="0.1"/>
    <n v="3040.76"/>
    <n v="2503.6"/>
    <n v="537.16"/>
    <x v="1"/>
    <x v="0"/>
    <x v="1"/>
    <x v="5"/>
    <x v="0"/>
    <n v="0.17665320511977267"/>
  </r>
  <r>
    <x v="331"/>
    <d v="2026-03-07T00:00:00"/>
    <x v="237"/>
    <x v="3"/>
    <x v="1"/>
    <x v="16"/>
    <n v="4"/>
    <n v="1691.91"/>
    <n v="0"/>
    <n v="6767.64"/>
    <n v="4992.58"/>
    <n v="1775.06"/>
    <x v="0"/>
    <x v="0"/>
    <x v="1"/>
    <x v="0"/>
    <x v="0"/>
    <n v="0.26228641003363062"/>
  </r>
  <r>
    <x v="332"/>
    <d v="2026-04-24T00:00:00"/>
    <x v="40"/>
    <x v="7"/>
    <x v="1"/>
    <x v="7"/>
    <n v="4"/>
    <n v="1694.67"/>
    <n v="0.1"/>
    <n v="6100.81"/>
    <n v="4844.3999999999996"/>
    <n v="1256.4100000000001"/>
    <x v="1"/>
    <x v="0"/>
    <x v="0"/>
    <x v="8"/>
    <x v="0"/>
    <n v="0.20594150612787482"/>
  </r>
  <r>
    <x v="333"/>
    <d v="2025-03-04T00:00:00"/>
    <x v="110"/>
    <x v="7"/>
    <x v="0"/>
    <x v="0"/>
    <n v="5"/>
    <n v="1696.44"/>
    <n v="0"/>
    <n v="8482.2000000000007"/>
    <n v="6517.65"/>
    <n v="1964.55"/>
    <x v="0"/>
    <x v="3"/>
    <x v="1"/>
    <x v="0"/>
    <x v="1"/>
    <n v="0.23160854495296029"/>
  </r>
  <r>
    <x v="334"/>
    <d v="2025-12-10T00:00:00"/>
    <x v="188"/>
    <x v="0"/>
    <x v="2"/>
    <x v="3"/>
    <n v="2"/>
    <n v="1697.89"/>
    <n v="0.05"/>
    <n v="3225.99"/>
    <n v="2541.77"/>
    <n v="684.22"/>
    <x v="1"/>
    <x v="0"/>
    <x v="1"/>
    <x v="7"/>
    <x v="1"/>
    <n v="0.21209613173010458"/>
  </r>
  <r>
    <x v="335"/>
    <d v="2025-01-21T00:00:00"/>
    <x v="103"/>
    <x v="8"/>
    <x v="0"/>
    <x v="17"/>
    <n v="4"/>
    <n v="1702.57"/>
    <n v="0.05"/>
    <n v="6469.77"/>
    <n v="3567.64"/>
    <n v="2902.13"/>
    <x v="1"/>
    <x v="3"/>
    <x v="1"/>
    <x v="9"/>
    <x v="1"/>
    <n v="0.44856772342757162"/>
  </r>
  <r>
    <x v="336"/>
    <d v="2025-11-29T00:00:00"/>
    <x v="200"/>
    <x v="4"/>
    <x v="0"/>
    <x v="11"/>
    <n v="4"/>
    <n v="1703.68"/>
    <n v="0.2"/>
    <n v="5451.78"/>
    <n v="3697.78"/>
    <n v="1754"/>
    <x v="0"/>
    <x v="2"/>
    <x v="0"/>
    <x v="3"/>
    <x v="1"/>
    <n v="0.32172978366698585"/>
  </r>
  <r>
    <x v="337"/>
    <d v="2025-09-11T00:00:00"/>
    <x v="238"/>
    <x v="0"/>
    <x v="2"/>
    <x v="3"/>
    <n v="5"/>
    <n v="1704.02"/>
    <n v="0.15"/>
    <n v="7242.09"/>
    <n v="4338.91"/>
    <n v="2903.18"/>
    <x v="1"/>
    <x v="0"/>
    <x v="1"/>
    <x v="4"/>
    <x v="1"/>
    <n v="0.40087599021829329"/>
  </r>
  <r>
    <x v="338"/>
    <d v="2025-07-03T00:00:00"/>
    <x v="15"/>
    <x v="7"/>
    <x v="3"/>
    <x v="10"/>
    <n v="5"/>
    <n v="1705.63"/>
    <n v="0"/>
    <n v="8528.15"/>
    <n v="7132.13"/>
    <n v="1396.02"/>
    <x v="0"/>
    <x v="0"/>
    <x v="1"/>
    <x v="2"/>
    <x v="1"/>
    <n v="0.16369552599332798"/>
  </r>
  <r>
    <x v="339"/>
    <d v="2026-03-20T00:00:00"/>
    <x v="208"/>
    <x v="6"/>
    <x v="1"/>
    <x v="7"/>
    <n v="2"/>
    <n v="1709.12"/>
    <n v="0.15"/>
    <n v="2905.5"/>
    <n v="1699.1"/>
    <n v="1206.4000000000001"/>
    <x v="0"/>
    <x v="3"/>
    <x v="1"/>
    <x v="0"/>
    <x v="0"/>
    <n v="0.41521252796420582"/>
  </r>
  <r>
    <x v="340"/>
    <d v="2025-06-19T00:00:00"/>
    <x v="162"/>
    <x v="9"/>
    <x v="3"/>
    <x v="5"/>
    <n v="1"/>
    <n v="1711.42"/>
    <n v="0"/>
    <n v="1711.42"/>
    <n v="1406.83"/>
    <n v="304.58999999999997"/>
    <x v="1"/>
    <x v="2"/>
    <x v="1"/>
    <x v="10"/>
    <x v="1"/>
    <n v="0.17797501489990766"/>
  </r>
  <r>
    <x v="341"/>
    <d v="2025-02-28T00:00:00"/>
    <x v="130"/>
    <x v="1"/>
    <x v="1"/>
    <x v="18"/>
    <n v="3"/>
    <n v="1721.05"/>
    <n v="0.15"/>
    <n v="4388.68"/>
    <n v="3381.86"/>
    <n v="1006.82"/>
    <x v="0"/>
    <x v="2"/>
    <x v="1"/>
    <x v="1"/>
    <x v="1"/>
    <n v="0.2294129442110156"/>
  </r>
  <r>
    <x v="342"/>
    <d v="2025-11-08T00:00:00"/>
    <x v="222"/>
    <x v="1"/>
    <x v="3"/>
    <x v="8"/>
    <n v="1"/>
    <n v="1725.03"/>
    <n v="0.2"/>
    <n v="1380.02"/>
    <n v="1115.8900000000001"/>
    <n v="264.13"/>
    <x v="0"/>
    <x v="2"/>
    <x v="1"/>
    <x v="3"/>
    <x v="1"/>
    <n v="0.19139577687279893"/>
  </r>
  <r>
    <x v="343"/>
    <d v="2026-04-22T00:00:00"/>
    <x v="22"/>
    <x v="2"/>
    <x v="3"/>
    <x v="4"/>
    <n v="4"/>
    <n v="1726.03"/>
    <n v="0.2"/>
    <n v="5523.3"/>
    <n v="3198.83"/>
    <n v="2324.4699999999998"/>
    <x v="1"/>
    <x v="3"/>
    <x v="0"/>
    <x v="8"/>
    <x v="0"/>
    <n v="0.42084804374196583"/>
  </r>
  <r>
    <x v="344"/>
    <d v="2026-05-21T00:00:00"/>
    <x v="132"/>
    <x v="3"/>
    <x v="3"/>
    <x v="4"/>
    <n v="5"/>
    <n v="1726.95"/>
    <n v="0"/>
    <n v="8634.75"/>
    <n v="5041.17"/>
    <n v="3593.58"/>
    <x v="1"/>
    <x v="3"/>
    <x v="1"/>
    <x v="5"/>
    <x v="0"/>
    <n v="0.41617649613480412"/>
  </r>
  <r>
    <x v="345"/>
    <d v="2026-07-11T00:00:00"/>
    <x v="239"/>
    <x v="2"/>
    <x v="1"/>
    <x v="2"/>
    <n v="1"/>
    <n v="1733.89"/>
    <n v="0.2"/>
    <n v="1387.11"/>
    <n v="827.02"/>
    <n v="560.09"/>
    <x v="0"/>
    <x v="2"/>
    <x v="1"/>
    <x v="2"/>
    <x v="0"/>
    <n v="0.40378196393941368"/>
  </r>
  <r>
    <x v="346"/>
    <d v="2026-07-28T00:00:00"/>
    <x v="240"/>
    <x v="6"/>
    <x v="3"/>
    <x v="5"/>
    <n v="4"/>
    <n v="1735.32"/>
    <n v="0.05"/>
    <n v="6594.22"/>
    <n v="5015.25"/>
    <n v="1578.97"/>
    <x v="1"/>
    <x v="3"/>
    <x v="0"/>
    <x v="2"/>
    <x v="0"/>
    <n v="0.2394475768172733"/>
  </r>
  <r>
    <x v="347"/>
    <d v="2026-05-02T00:00:00"/>
    <x v="182"/>
    <x v="2"/>
    <x v="1"/>
    <x v="7"/>
    <n v="3"/>
    <n v="1746.82"/>
    <n v="0"/>
    <n v="5240.46"/>
    <n v="3893.96"/>
    <n v="1346.5"/>
    <x v="1"/>
    <x v="2"/>
    <x v="0"/>
    <x v="5"/>
    <x v="0"/>
    <n v="0.25694309278193134"/>
  </r>
  <r>
    <x v="348"/>
    <d v="2026-04-13T00:00:00"/>
    <x v="241"/>
    <x v="0"/>
    <x v="2"/>
    <x v="13"/>
    <n v="5"/>
    <n v="1751.75"/>
    <n v="0.1"/>
    <n v="7882.88"/>
    <n v="6503.76"/>
    <n v="1379.12"/>
    <x v="0"/>
    <x v="2"/>
    <x v="1"/>
    <x v="8"/>
    <x v="0"/>
    <n v="0.17495128683932773"/>
  </r>
  <r>
    <x v="349"/>
    <d v="2025-03-08T00:00:00"/>
    <x v="191"/>
    <x v="1"/>
    <x v="1"/>
    <x v="2"/>
    <n v="4"/>
    <n v="1752.11"/>
    <n v="0"/>
    <n v="7008.44"/>
    <n v="5741.41"/>
    <n v="1267.03"/>
    <x v="0"/>
    <x v="1"/>
    <x v="0"/>
    <x v="0"/>
    <x v="1"/>
    <n v="0.18078630907876789"/>
  </r>
  <r>
    <x v="350"/>
    <d v="2025-03-16T00:00:00"/>
    <x v="241"/>
    <x v="6"/>
    <x v="0"/>
    <x v="9"/>
    <n v="5"/>
    <n v="1752.17"/>
    <n v="0.15"/>
    <n v="7446.72"/>
    <n v="4608.2299999999996"/>
    <n v="2838.49"/>
    <x v="0"/>
    <x v="2"/>
    <x v="1"/>
    <x v="0"/>
    <x v="1"/>
    <n v="0.38117318765845898"/>
  </r>
  <r>
    <x v="351"/>
    <d v="2025-11-21T00:00:00"/>
    <x v="242"/>
    <x v="4"/>
    <x v="0"/>
    <x v="0"/>
    <n v="2"/>
    <n v="1763.83"/>
    <n v="0"/>
    <n v="3527.66"/>
    <n v="1999.48"/>
    <n v="1528.18"/>
    <x v="1"/>
    <x v="1"/>
    <x v="1"/>
    <x v="3"/>
    <x v="1"/>
    <n v="0.43319934460804049"/>
  </r>
  <r>
    <x v="352"/>
    <d v="2026-01-31T00:00:00"/>
    <x v="75"/>
    <x v="0"/>
    <x v="3"/>
    <x v="5"/>
    <n v="3"/>
    <n v="1765.45"/>
    <n v="0.1"/>
    <n v="4766.72"/>
    <n v="2769.13"/>
    <n v="1997.59"/>
    <x v="1"/>
    <x v="1"/>
    <x v="0"/>
    <x v="9"/>
    <x v="0"/>
    <n v="0.41907013627819545"/>
  </r>
  <r>
    <x v="353"/>
    <d v="2025-01-02T00:00:00"/>
    <x v="243"/>
    <x v="0"/>
    <x v="3"/>
    <x v="8"/>
    <n v="3"/>
    <n v="1766.49"/>
    <n v="0"/>
    <n v="5299.47"/>
    <n v="3787.65"/>
    <n v="1511.82"/>
    <x v="0"/>
    <x v="2"/>
    <x v="1"/>
    <x v="9"/>
    <x v="1"/>
    <n v="0.28527758436220979"/>
  </r>
  <r>
    <x v="354"/>
    <d v="2025-02-26T00:00:00"/>
    <x v="244"/>
    <x v="7"/>
    <x v="1"/>
    <x v="7"/>
    <n v="3"/>
    <n v="1774.92"/>
    <n v="0.15"/>
    <n v="4526.05"/>
    <n v="2516.6999999999998"/>
    <n v="2009.35"/>
    <x v="1"/>
    <x v="1"/>
    <x v="1"/>
    <x v="1"/>
    <x v="1"/>
    <n v="0.44395223207874412"/>
  </r>
  <r>
    <x v="355"/>
    <d v="2026-01-02T00:00:00"/>
    <x v="138"/>
    <x v="4"/>
    <x v="1"/>
    <x v="7"/>
    <n v="1"/>
    <n v="1776.25"/>
    <n v="0.2"/>
    <n v="1421"/>
    <n v="965.32"/>
    <n v="455.68"/>
    <x v="0"/>
    <x v="3"/>
    <x v="1"/>
    <x v="9"/>
    <x v="0"/>
    <n v="0.32067558057705842"/>
  </r>
  <r>
    <x v="356"/>
    <d v="2026-02-24T00:00:00"/>
    <x v="245"/>
    <x v="3"/>
    <x v="2"/>
    <x v="19"/>
    <n v="6"/>
    <n v="1784.31"/>
    <n v="0.2"/>
    <n v="8564.69"/>
    <n v="4758.62"/>
    <n v="3806.07"/>
    <x v="0"/>
    <x v="1"/>
    <x v="0"/>
    <x v="1"/>
    <x v="0"/>
    <n v="0.4443908652852584"/>
  </r>
  <r>
    <x v="357"/>
    <d v="2025-11-18T00:00:00"/>
    <x v="171"/>
    <x v="0"/>
    <x v="3"/>
    <x v="10"/>
    <n v="4"/>
    <n v="1784.88"/>
    <n v="0.05"/>
    <n v="6782.54"/>
    <n v="4425.5200000000004"/>
    <n v="2357.02"/>
    <x v="1"/>
    <x v="2"/>
    <x v="0"/>
    <x v="3"/>
    <x v="1"/>
    <n v="0.34751287865607872"/>
  </r>
  <r>
    <x v="358"/>
    <d v="2026-08-01T00:00:00"/>
    <x v="9"/>
    <x v="6"/>
    <x v="1"/>
    <x v="7"/>
    <n v="1"/>
    <n v="1789.37"/>
    <n v="0"/>
    <n v="1789.37"/>
    <n v="1148.31"/>
    <n v="641.05999999999995"/>
    <x v="0"/>
    <x v="0"/>
    <x v="0"/>
    <x v="6"/>
    <x v="0"/>
    <n v="0.35826016978042552"/>
  </r>
  <r>
    <x v="359"/>
    <d v="2026-03-26T00:00:00"/>
    <x v="246"/>
    <x v="7"/>
    <x v="3"/>
    <x v="4"/>
    <n v="2"/>
    <n v="1791.54"/>
    <n v="0.1"/>
    <n v="3224.77"/>
    <n v="2554.83"/>
    <n v="669.94"/>
    <x v="1"/>
    <x v="0"/>
    <x v="1"/>
    <x v="0"/>
    <x v="0"/>
    <n v="0.20774814948042808"/>
  </r>
  <r>
    <x v="360"/>
    <d v="2025-05-27T00:00:00"/>
    <x v="247"/>
    <x v="1"/>
    <x v="1"/>
    <x v="16"/>
    <n v="1"/>
    <n v="1792.73"/>
    <n v="0"/>
    <n v="1792.73"/>
    <n v="1145.1400000000001"/>
    <n v="647.59"/>
    <x v="1"/>
    <x v="3"/>
    <x v="1"/>
    <x v="5"/>
    <x v="1"/>
    <n v="0.36123119488154937"/>
  </r>
  <r>
    <x v="361"/>
    <d v="2025-08-13T00:00:00"/>
    <x v="248"/>
    <x v="9"/>
    <x v="2"/>
    <x v="14"/>
    <n v="3"/>
    <n v="1793.17"/>
    <n v="0.1"/>
    <n v="4841.5600000000004"/>
    <n v="3432.19"/>
    <n v="1409.37"/>
    <x v="0"/>
    <x v="3"/>
    <x v="0"/>
    <x v="6"/>
    <x v="1"/>
    <n v="0.29109832368079708"/>
  </r>
  <r>
    <x v="362"/>
    <d v="2026-03-23T00:00:00"/>
    <x v="7"/>
    <x v="2"/>
    <x v="0"/>
    <x v="17"/>
    <n v="6"/>
    <n v="1793.27"/>
    <n v="0.15"/>
    <n v="9145.68"/>
    <n v="7281.17"/>
    <n v="1864.51"/>
    <x v="1"/>
    <x v="2"/>
    <x v="1"/>
    <x v="0"/>
    <x v="0"/>
    <n v="0.20386783705530917"/>
  </r>
  <r>
    <x v="363"/>
    <d v="2026-03-06T00:00:00"/>
    <x v="246"/>
    <x v="3"/>
    <x v="0"/>
    <x v="9"/>
    <n v="6"/>
    <n v="1795.81"/>
    <n v="0"/>
    <n v="10774.86"/>
    <n v="5974.88"/>
    <n v="4799.9799999999996"/>
    <x v="1"/>
    <x v="1"/>
    <x v="1"/>
    <x v="0"/>
    <x v="0"/>
    <n v="0.44547957003617672"/>
  </r>
  <r>
    <x v="364"/>
    <d v="2026-08-06T00:00:00"/>
    <x v="75"/>
    <x v="2"/>
    <x v="0"/>
    <x v="9"/>
    <n v="1"/>
    <n v="1803.96"/>
    <n v="0.2"/>
    <n v="1443.17"/>
    <n v="1011.12"/>
    <n v="432.05"/>
    <x v="1"/>
    <x v="0"/>
    <x v="1"/>
    <x v="6"/>
    <x v="0"/>
    <n v="0.29937567992682773"/>
  </r>
  <r>
    <x v="365"/>
    <d v="2026-07-13T00:00:00"/>
    <x v="147"/>
    <x v="8"/>
    <x v="0"/>
    <x v="17"/>
    <n v="5"/>
    <n v="1805.82"/>
    <n v="0"/>
    <n v="9029.1"/>
    <n v="5093.3900000000003"/>
    <n v="3935.71"/>
    <x v="0"/>
    <x v="2"/>
    <x v="0"/>
    <x v="2"/>
    <x v="0"/>
    <n v="0.43589172785770453"/>
  </r>
  <r>
    <x v="366"/>
    <d v="2025-09-07T00:00:00"/>
    <x v="249"/>
    <x v="5"/>
    <x v="0"/>
    <x v="11"/>
    <n v="5"/>
    <n v="1808.84"/>
    <n v="0"/>
    <n v="9044.2000000000007"/>
    <n v="7492.64"/>
    <n v="1551.56"/>
    <x v="0"/>
    <x v="1"/>
    <x v="1"/>
    <x v="4"/>
    <x v="1"/>
    <n v="0.17155303951703851"/>
  </r>
  <r>
    <x v="367"/>
    <d v="2026-08-31T00:00:00"/>
    <x v="142"/>
    <x v="6"/>
    <x v="0"/>
    <x v="1"/>
    <n v="3"/>
    <n v="1814.19"/>
    <n v="0.05"/>
    <n v="5170.4399999999996"/>
    <n v="3530.77"/>
    <n v="1639.67"/>
    <x v="0"/>
    <x v="0"/>
    <x v="1"/>
    <x v="6"/>
    <x v="0"/>
    <n v="0.31712388113970963"/>
  </r>
  <r>
    <x v="368"/>
    <d v="2025-06-02T00:00:00"/>
    <x v="241"/>
    <x v="2"/>
    <x v="0"/>
    <x v="1"/>
    <n v="6"/>
    <n v="1815.43"/>
    <n v="0"/>
    <n v="10892.58"/>
    <n v="7334.27"/>
    <n v="3558.31"/>
    <x v="1"/>
    <x v="1"/>
    <x v="1"/>
    <x v="10"/>
    <x v="1"/>
    <n v="0.32667283600395863"/>
  </r>
  <r>
    <x v="369"/>
    <d v="2025-11-30T00:00:00"/>
    <x v="250"/>
    <x v="6"/>
    <x v="3"/>
    <x v="8"/>
    <n v="4"/>
    <n v="1822.22"/>
    <n v="0"/>
    <n v="7288.88"/>
    <n v="5128.49"/>
    <n v="2160.39"/>
    <x v="1"/>
    <x v="1"/>
    <x v="0"/>
    <x v="3"/>
    <x v="1"/>
    <n v="0.29639533096991577"/>
  </r>
  <r>
    <x v="370"/>
    <d v="2025-02-09T00:00:00"/>
    <x v="251"/>
    <x v="8"/>
    <x v="1"/>
    <x v="2"/>
    <n v="1"/>
    <n v="1823.59"/>
    <n v="0.2"/>
    <n v="1458.87"/>
    <n v="1124.3"/>
    <n v="334.57"/>
    <x v="1"/>
    <x v="1"/>
    <x v="1"/>
    <x v="1"/>
    <x v="1"/>
    <n v="0.22933503327918184"/>
  </r>
  <r>
    <x v="371"/>
    <d v="2026-08-04T00:00:00"/>
    <x v="19"/>
    <x v="6"/>
    <x v="3"/>
    <x v="8"/>
    <n v="4"/>
    <n v="1823.71"/>
    <n v="0.1"/>
    <n v="6565.36"/>
    <n v="4994.3999999999996"/>
    <n v="1570.96"/>
    <x v="0"/>
    <x v="1"/>
    <x v="0"/>
    <x v="6"/>
    <x v="0"/>
    <n v="0.23928010040576603"/>
  </r>
  <r>
    <x v="372"/>
    <d v="2025-05-04T00:00:00"/>
    <x v="121"/>
    <x v="8"/>
    <x v="1"/>
    <x v="16"/>
    <n v="5"/>
    <n v="1832.89"/>
    <n v="0.2"/>
    <n v="7331.56"/>
    <n v="4069.89"/>
    <n v="3261.67"/>
    <x v="1"/>
    <x v="0"/>
    <x v="1"/>
    <x v="5"/>
    <x v="1"/>
    <n v="0.44488076207519273"/>
  </r>
  <r>
    <x v="373"/>
    <d v="2025-08-23T00:00:00"/>
    <x v="252"/>
    <x v="4"/>
    <x v="1"/>
    <x v="18"/>
    <n v="5"/>
    <n v="1840.5"/>
    <n v="0.1"/>
    <n v="8282.25"/>
    <n v="4691.91"/>
    <n v="3590.34"/>
    <x v="1"/>
    <x v="3"/>
    <x v="1"/>
    <x v="6"/>
    <x v="1"/>
    <n v="0.43349814362039302"/>
  </r>
  <r>
    <x v="374"/>
    <d v="2026-02-08T00:00:00"/>
    <x v="253"/>
    <x v="8"/>
    <x v="3"/>
    <x v="5"/>
    <n v="4"/>
    <n v="1844.55"/>
    <n v="0.05"/>
    <n v="7009.29"/>
    <n v="5391.82"/>
    <n v="1617.47"/>
    <x v="0"/>
    <x v="2"/>
    <x v="1"/>
    <x v="1"/>
    <x v="0"/>
    <n v="0.23076089019001925"/>
  </r>
  <r>
    <x v="375"/>
    <d v="2025-01-03T00:00:00"/>
    <x v="67"/>
    <x v="5"/>
    <x v="2"/>
    <x v="15"/>
    <n v="5"/>
    <n v="1847.34"/>
    <n v="0"/>
    <n v="9236.7000000000007"/>
    <n v="5171.6499999999996"/>
    <n v="4065.05"/>
    <x v="1"/>
    <x v="0"/>
    <x v="0"/>
    <x v="9"/>
    <x v="1"/>
    <n v="0.44009765392402045"/>
  </r>
  <r>
    <x v="376"/>
    <d v="2025-05-13T00:00:00"/>
    <x v="254"/>
    <x v="2"/>
    <x v="2"/>
    <x v="14"/>
    <n v="2"/>
    <n v="1849.23"/>
    <n v="0"/>
    <n v="3698.46"/>
    <n v="2905.96"/>
    <n v="792.5"/>
    <x v="0"/>
    <x v="2"/>
    <x v="0"/>
    <x v="5"/>
    <x v="1"/>
    <n v="0.21427837532378341"/>
  </r>
  <r>
    <x v="377"/>
    <d v="2026-05-15T00:00:00"/>
    <x v="118"/>
    <x v="6"/>
    <x v="1"/>
    <x v="18"/>
    <n v="2"/>
    <n v="1855.21"/>
    <n v="0.2"/>
    <n v="2968.34"/>
    <n v="2096.44"/>
    <n v="871.9"/>
    <x v="1"/>
    <x v="0"/>
    <x v="1"/>
    <x v="5"/>
    <x v="0"/>
    <n v="0.29373319767951106"/>
  </r>
  <r>
    <x v="378"/>
    <d v="2026-07-09T00:00:00"/>
    <x v="234"/>
    <x v="5"/>
    <x v="0"/>
    <x v="9"/>
    <n v="3"/>
    <n v="1860.97"/>
    <n v="0.05"/>
    <n v="5303.76"/>
    <n v="4474.38"/>
    <n v="829.38"/>
    <x v="0"/>
    <x v="0"/>
    <x v="1"/>
    <x v="2"/>
    <x v="0"/>
    <n v="0.15637585411104574"/>
  </r>
  <r>
    <x v="379"/>
    <d v="2025-09-15T00:00:00"/>
    <x v="255"/>
    <x v="3"/>
    <x v="2"/>
    <x v="19"/>
    <n v="4"/>
    <n v="1864.25"/>
    <n v="0.15"/>
    <n v="6338.45"/>
    <n v="5115.7299999999996"/>
    <n v="1222.72"/>
    <x v="0"/>
    <x v="1"/>
    <x v="1"/>
    <x v="4"/>
    <x v="1"/>
    <n v="0.19290520553132076"/>
  </r>
  <r>
    <x v="380"/>
    <d v="2025-05-07T00:00:00"/>
    <x v="256"/>
    <x v="5"/>
    <x v="1"/>
    <x v="16"/>
    <n v="5"/>
    <n v="1870.52"/>
    <n v="0.1"/>
    <n v="8417.34"/>
    <n v="6658.5"/>
    <n v="1758.84"/>
    <x v="1"/>
    <x v="3"/>
    <x v="0"/>
    <x v="5"/>
    <x v="1"/>
    <n v="0.20895437275909015"/>
  </r>
  <r>
    <x v="381"/>
    <d v="2025-04-23T00:00:00"/>
    <x v="188"/>
    <x v="7"/>
    <x v="1"/>
    <x v="7"/>
    <n v="2"/>
    <n v="1871.45"/>
    <n v="0"/>
    <n v="3742.9"/>
    <n v="2992.67"/>
    <n v="750.23"/>
    <x v="1"/>
    <x v="0"/>
    <x v="1"/>
    <x v="8"/>
    <x v="1"/>
    <n v="0.20044083464693152"/>
  </r>
  <r>
    <x v="382"/>
    <d v="2025-11-28T00:00:00"/>
    <x v="168"/>
    <x v="8"/>
    <x v="3"/>
    <x v="10"/>
    <n v="5"/>
    <n v="1872.68"/>
    <n v="0.15"/>
    <n v="7958.89"/>
    <n v="6449.58"/>
    <n v="1509.31"/>
    <x v="0"/>
    <x v="2"/>
    <x v="1"/>
    <x v="3"/>
    <x v="1"/>
    <n v="0.18963825357556141"/>
  </r>
  <r>
    <x v="383"/>
    <d v="2025-07-15T00:00:00"/>
    <x v="257"/>
    <x v="5"/>
    <x v="1"/>
    <x v="2"/>
    <n v="6"/>
    <n v="1880.49"/>
    <n v="0"/>
    <n v="11282.94"/>
    <n v="8076.84"/>
    <n v="3206.1"/>
    <x v="0"/>
    <x v="3"/>
    <x v="0"/>
    <x v="2"/>
    <x v="1"/>
    <n v="0.28415466181686688"/>
  </r>
  <r>
    <x v="384"/>
    <d v="2026-07-10T00:00:00"/>
    <x v="2"/>
    <x v="8"/>
    <x v="1"/>
    <x v="12"/>
    <n v="4"/>
    <n v="1880.74"/>
    <n v="0.1"/>
    <n v="6770.66"/>
    <n v="4650.3599999999997"/>
    <n v="2120.3000000000002"/>
    <x v="0"/>
    <x v="3"/>
    <x v="0"/>
    <x v="2"/>
    <x v="0"/>
    <n v="0.31316001689643258"/>
  </r>
  <r>
    <x v="385"/>
    <d v="2026-02-11T00:00:00"/>
    <x v="151"/>
    <x v="2"/>
    <x v="2"/>
    <x v="19"/>
    <n v="4"/>
    <n v="1883.71"/>
    <n v="0.2"/>
    <n v="6027.87"/>
    <n v="4075.05"/>
    <n v="1952.82"/>
    <x v="0"/>
    <x v="0"/>
    <x v="0"/>
    <x v="1"/>
    <x v="0"/>
    <n v="0.32396518173086014"/>
  </r>
  <r>
    <x v="386"/>
    <d v="2026-02-12T00:00:00"/>
    <x v="209"/>
    <x v="6"/>
    <x v="2"/>
    <x v="13"/>
    <n v="6"/>
    <n v="1890.41"/>
    <n v="0"/>
    <n v="11342.46"/>
    <n v="6743.83"/>
    <n v="4598.63"/>
    <x v="1"/>
    <x v="0"/>
    <x v="1"/>
    <x v="1"/>
    <x v="0"/>
    <n v="0.40543497618682373"/>
  </r>
  <r>
    <x v="387"/>
    <d v="2025-01-27T00:00:00"/>
    <x v="233"/>
    <x v="9"/>
    <x v="0"/>
    <x v="17"/>
    <n v="6"/>
    <n v="1893.65"/>
    <n v="0"/>
    <n v="11361.9"/>
    <n v="9605.43"/>
    <n v="1756.47"/>
    <x v="1"/>
    <x v="1"/>
    <x v="0"/>
    <x v="9"/>
    <x v="1"/>
    <n v="0.15459298180762021"/>
  </r>
  <r>
    <x v="388"/>
    <d v="2026-04-17T00:00:00"/>
    <x v="258"/>
    <x v="8"/>
    <x v="3"/>
    <x v="8"/>
    <n v="5"/>
    <n v="1899.26"/>
    <n v="0.2"/>
    <n v="7597.04"/>
    <n v="5183.87"/>
    <n v="2413.17"/>
    <x v="0"/>
    <x v="2"/>
    <x v="1"/>
    <x v="8"/>
    <x v="0"/>
    <n v="0.31764608321135601"/>
  </r>
  <r>
    <x v="389"/>
    <d v="2025-01-16T00:00:00"/>
    <x v="259"/>
    <x v="7"/>
    <x v="2"/>
    <x v="3"/>
    <n v="6"/>
    <n v="1901.1"/>
    <n v="0"/>
    <n v="11406.6"/>
    <n v="7113.88"/>
    <n v="4292.72"/>
    <x v="1"/>
    <x v="1"/>
    <x v="0"/>
    <x v="9"/>
    <x v="1"/>
    <n v="0.37633650693458176"/>
  </r>
  <r>
    <x v="390"/>
    <d v="2026-04-12T00:00:00"/>
    <x v="205"/>
    <x v="8"/>
    <x v="1"/>
    <x v="18"/>
    <n v="3"/>
    <n v="1902.62"/>
    <n v="0.1"/>
    <n v="5137.07"/>
    <n v="3341.4"/>
    <n v="1795.67"/>
    <x v="0"/>
    <x v="3"/>
    <x v="1"/>
    <x v="8"/>
    <x v="0"/>
    <n v="0.34955139797588902"/>
  </r>
  <r>
    <x v="391"/>
    <d v="2025-11-10T00:00:00"/>
    <x v="95"/>
    <x v="4"/>
    <x v="3"/>
    <x v="4"/>
    <n v="3"/>
    <n v="1902.85"/>
    <n v="0"/>
    <n v="5708.55"/>
    <n v="3255.08"/>
    <n v="2453.4699999999998"/>
    <x v="0"/>
    <x v="2"/>
    <x v="0"/>
    <x v="3"/>
    <x v="1"/>
    <n v="0.42978865035779656"/>
  </r>
  <r>
    <x v="392"/>
    <d v="2025-05-11T00:00:00"/>
    <x v="260"/>
    <x v="4"/>
    <x v="2"/>
    <x v="3"/>
    <n v="6"/>
    <n v="1903.98"/>
    <n v="0.2"/>
    <n v="9139.1"/>
    <n v="7623.29"/>
    <n v="1515.81"/>
    <x v="1"/>
    <x v="0"/>
    <x v="1"/>
    <x v="5"/>
    <x v="1"/>
    <n v="0.16585987679311967"/>
  </r>
  <r>
    <x v="393"/>
    <d v="2025-12-14T00:00:00"/>
    <x v="261"/>
    <x v="9"/>
    <x v="0"/>
    <x v="0"/>
    <n v="1"/>
    <n v="1906.97"/>
    <n v="0"/>
    <n v="1906.97"/>
    <n v="1482.05"/>
    <n v="424.92"/>
    <x v="0"/>
    <x v="3"/>
    <x v="1"/>
    <x v="7"/>
    <x v="1"/>
    <n v="0.2228246904775639"/>
  </r>
  <r>
    <x v="394"/>
    <d v="2026-03-09T00:00:00"/>
    <x v="262"/>
    <x v="1"/>
    <x v="3"/>
    <x v="10"/>
    <n v="3"/>
    <n v="1909.6"/>
    <n v="0.1"/>
    <n v="5155.92"/>
    <n v="2905.8"/>
    <n v="2250.12"/>
    <x v="1"/>
    <x v="2"/>
    <x v="0"/>
    <x v="0"/>
    <x v="0"/>
    <n v="0.43641483964064609"/>
  </r>
  <r>
    <x v="395"/>
    <d v="2026-06-23T00:00:00"/>
    <x v="263"/>
    <x v="4"/>
    <x v="1"/>
    <x v="12"/>
    <n v="2"/>
    <n v="1911.09"/>
    <n v="0"/>
    <n v="3822.18"/>
    <n v="2675.48"/>
    <n v="1146.7"/>
    <x v="1"/>
    <x v="2"/>
    <x v="1"/>
    <x v="10"/>
    <x v="0"/>
    <n v="0.3000120350166659"/>
  </r>
  <r>
    <x v="396"/>
    <d v="2026-03-22T00:00:00"/>
    <x v="177"/>
    <x v="0"/>
    <x v="3"/>
    <x v="5"/>
    <n v="2"/>
    <n v="1916.24"/>
    <n v="0.2"/>
    <n v="3065.98"/>
    <n v="2521.61"/>
    <n v="544.37"/>
    <x v="1"/>
    <x v="1"/>
    <x v="1"/>
    <x v="0"/>
    <x v="0"/>
    <n v="0.17755171266609698"/>
  </r>
  <r>
    <x v="397"/>
    <d v="2026-07-08T00:00:00"/>
    <x v="264"/>
    <x v="7"/>
    <x v="0"/>
    <x v="11"/>
    <n v="3"/>
    <n v="1922.91"/>
    <n v="0"/>
    <n v="5768.73"/>
    <n v="3893.92"/>
    <n v="1874.81"/>
    <x v="1"/>
    <x v="1"/>
    <x v="1"/>
    <x v="2"/>
    <x v="0"/>
    <n v="0.32499527625664576"/>
  </r>
  <r>
    <x v="398"/>
    <d v="2026-04-24T00:00:00"/>
    <x v="174"/>
    <x v="4"/>
    <x v="0"/>
    <x v="9"/>
    <n v="6"/>
    <n v="1935.65"/>
    <n v="0.05"/>
    <n v="11033.21"/>
    <n v="8389.91"/>
    <n v="2643.3"/>
    <x v="0"/>
    <x v="3"/>
    <x v="1"/>
    <x v="8"/>
    <x v="0"/>
    <n v="0.23957669617454941"/>
  </r>
  <r>
    <x v="399"/>
    <d v="2025-02-08T00:00:00"/>
    <x v="248"/>
    <x v="7"/>
    <x v="2"/>
    <x v="3"/>
    <n v="1"/>
    <n v="1935.78"/>
    <n v="0.05"/>
    <n v="1838.99"/>
    <n v="1196.83"/>
    <n v="642.16"/>
    <x v="1"/>
    <x v="1"/>
    <x v="1"/>
    <x v="1"/>
    <x v="1"/>
    <n v="0.34919167586555661"/>
  </r>
  <r>
    <x v="400"/>
    <d v="2025-10-03T00:00:00"/>
    <x v="265"/>
    <x v="5"/>
    <x v="2"/>
    <x v="15"/>
    <n v="6"/>
    <n v="1940.13"/>
    <n v="0.2"/>
    <n v="9312.6200000000008"/>
    <n v="7520.87"/>
    <n v="1791.75"/>
    <x v="1"/>
    <x v="2"/>
    <x v="1"/>
    <x v="11"/>
    <x v="1"/>
    <n v="0.19240020531279059"/>
  </r>
  <r>
    <x v="401"/>
    <d v="2025-07-15T00:00:00"/>
    <x v="85"/>
    <x v="9"/>
    <x v="1"/>
    <x v="2"/>
    <n v="1"/>
    <n v="1950.59"/>
    <n v="0.1"/>
    <n v="1755.53"/>
    <n v="1303.9000000000001"/>
    <n v="451.63"/>
    <x v="0"/>
    <x v="1"/>
    <x v="0"/>
    <x v="2"/>
    <x v="1"/>
    <n v="0.25726133988026406"/>
  </r>
  <r>
    <x v="402"/>
    <d v="2025-06-26T00:00:00"/>
    <x v="266"/>
    <x v="4"/>
    <x v="1"/>
    <x v="7"/>
    <n v="5"/>
    <n v="1952.49"/>
    <n v="0.2"/>
    <n v="7809.96"/>
    <n v="6408.46"/>
    <n v="1401.5"/>
    <x v="0"/>
    <x v="1"/>
    <x v="1"/>
    <x v="10"/>
    <x v="1"/>
    <n v="0.17945034289548217"/>
  </r>
  <r>
    <x v="403"/>
    <d v="2026-02-26T00:00:00"/>
    <x v="8"/>
    <x v="9"/>
    <x v="0"/>
    <x v="1"/>
    <n v="2"/>
    <n v="1970.68"/>
    <n v="0.2"/>
    <n v="3153.09"/>
    <n v="1896.57"/>
    <n v="1256.52"/>
    <x v="0"/>
    <x v="0"/>
    <x v="1"/>
    <x v="1"/>
    <x v="0"/>
    <n v="0.39850432432946725"/>
  </r>
  <r>
    <x v="404"/>
    <d v="2026-04-05T00:00:00"/>
    <x v="110"/>
    <x v="7"/>
    <x v="1"/>
    <x v="16"/>
    <n v="5"/>
    <n v="1971.98"/>
    <n v="0.05"/>
    <n v="9366.9"/>
    <n v="7086.66"/>
    <n v="2280.2399999999998"/>
    <x v="1"/>
    <x v="0"/>
    <x v="0"/>
    <x v="8"/>
    <x v="0"/>
    <n v="0.24343592864234698"/>
  </r>
  <r>
    <x v="405"/>
    <d v="2026-03-20T00:00:00"/>
    <x v="267"/>
    <x v="9"/>
    <x v="2"/>
    <x v="13"/>
    <n v="4"/>
    <n v="1977.42"/>
    <n v="0.1"/>
    <n v="7118.71"/>
    <n v="5574.67"/>
    <n v="1544.04"/>
    <x v="0"/>
    <x v="3"/>
    <x v="1"/>
    <x v="0"/>
    <x v="0"/>
    <n v="0.2168988482463817"/>
  </r>
  <r>
    <x v="406"/>
    <d v="2025-07-20T00:00:00"/>
    <x v="112"/>
    <x v="1"/>
    <x v="1"/>
    <x v="12"/>
    <n v="4"/>
    <n v="1980.98"/>
    <n v="0.1"/>
    <n v="7131.53"/>
    <n v="4463.96"/>
    <n v="2667.57"/>
    <x v="0"/>
    <x v="1"/>
    <x v="0"/>
    <x v="2"/>
    <x v="1"/>
    <n v="0.37405297320490838"/>
  </r>
  <r>
    <x v="407"/>
    <d v="2026-07-15T00:00:00"/>
    <x v="268"/>
    <x v="0"/>
    <x v="2"/>
    <x v="15"/>
    <n v="5"/>
    <n v="1981.58"/>
    <n v="0"/>
    <n v="9907.9"/>
    <n v="7052.82"/>
    <n v="2855.08"/>
    <x v="1"/>
    <x v="1"/>
    <x v="1"/>
    <x v="2"/>
    <x v="0"/>
    <n v="0.28816197175990876"/>
  </r>
  <r>
    <x v="408"/>
    <d v="2025-11-01T00:00:00"/>
    <x v="269"/>
    <x v="9"/>
    <x v="1"/>
    <x v="2"/>
    <n v="2"/>
    <n v="1983.41"/>
    <n v="0"/>
    <n v="3966.82"/>
    <n v="2998.55"/>
    <n v="968.27"/>
    <x v="1"/>
    <x v="0"/>
    <x v="0"/>
    <x v="3"/>
    <x v="1"/>
    <n v="0.24409224517371597"/>
  </r>
  <r>
    <x v="409"/>
    <d v="2025-09-23T00:00:00"/>
    <x v="270"/>
    <x v="7"/>
    <x v="0"/>
    <x v="1"/>
    <n v="5"/>
    <n v="1988.89"/>
    <n v="0.1"/>
    <n v="8950.01"/>
    <n v="6086.48"/>
    <n v="2863.53"/>
    <x v="0"/>
    <x v="0"/>
    <x v="0"/>
    <x v="4"/>
    <x v="1"/>
    <n v="0.31994712855069435"/>
  </r>
  <r>
    <x v="410"/>
    <d v="2025-04-01T00:00:00"/>
    <x v="124"/>
    <x v="0"/>
    <x v="0"/>
    <x v="11"/>
    <n v="4"/>
    <n v="1991.39"/>
    <n v="0"/>
    <n v="7965.56"/>
    <n v="6086.58"/>
    <n v="1878.98"/>
    <x v="0"/>
    <x v="3"/>
    <x v="1"/>
    <x v="8"/>
    <x v="1"/>
    <n v="0.23588799783066097"/>
  </r>
  <r>
    <x v="411"/>
    <d v="2025-07-03T00:00:00"/>
    <x v="271"/>
    <x v="6"/>
    <x v="1"/>
    <x v="7"/>
    <n v="5"/>
    <n v="1991.63"/>
    <n v="0.1"/>
    <n v="8962.34"/>
    <n v="5069.8"/>
    <n v="3892.54"/>
    <x v="1"/>
    <x v="0"/>
    <x v="1"/>
    <x v="2"/>
    <x v="1"/>
    <n v="0.43432184005516417"/>
  </r>
  <r>
    <x v="412"/>
    <d v="2025-06-28T00:00:00"/>
    <x v="78"/>
    <x v="4"/>
    <x v="3"/>
    <x v="6"/>
    <n v="4"/>
    <n v="1993.39"/>
    <n v="0.05"/>
    <n v="7574.88"/>
    <n v="5694.76"/>
    <n v="1880.12"/>
    <x v="0"/>
    <x v="2"/>
    <x v="1"/>
    <x v="10"/>
    <x v="1"/>
    <n v="0.24820459201993958"/>
  </r>
  <r>
    <x v="413"/>
    <d v="2025-06-30T00:00:00"/>
    <x v="272"/>
    <x v="1"/>
    <x v="2"/>
    <x v="19"/>
    <n v="4"/>
    <n v="1997.44"/>
    <n v="0.1"/>
    <n v="7190.78"/>
    <n v="4566.91"/>
    <n v="2623.87"/>
    <x v="1"/>
    <x v="3"/>
    <x v="1"/>
    <x v="10"/>
    <x v="1"/>
    <n v="0.36489365548660924"/>
  </r>
  <r>
    <x v="414"/>
    <d v="2026-03-02T00:00:00"/>
    <x v="273"/>
    <x v="3"/>
    <x v="1"/>
    <x v="18"/>
    <n v="5"/>
    <n v="1997.94"/>
    <n v="0.05"/>
    <n v="9490.2199999999993"/>
    <n v="5746.72"/>
    <n v="3743.5"/>
    <x v="0"/>
    <x v="3"/>
    <x v="0"/>
    <x v="0"/>
    <x v="0"/>
    <n v="0.39445871644703706"/>
  </r>
  <r>
    <x v="415"/>
    <d v="2025-07-04T00:00:00"/>
    <x v="269"/>
    <x v="9"/>
    <x v="2"/>
    <x v="13"/>
    <n v="3"/>
    <n v="1998.55"/>
    <n v="0"/>
    <n v="5995.65"/>
    <n v="4165.6000000000004"/>
    <n v="1830.05"/>
    <x v="0"/>
    <x v="2"/>
    <x v="0"/>
    <x v="2"/>
    <x v="1"/>
    <n v="0.30522962481132154"/>
  </r>
  <r>
    <x v="416"/>
    <d v="2025-04-19T00:00:00"/>
    <x v="87"/>
    <x v="8"/>
    <x v="2"/>
    <x v="14"/>
    <n v="5"/>
    <n v="2001.81"/>
    <n v="0"/>
    <n v="10009.049999999999"/>
    <n v="7152.5"/>
    <n v="2856.55"/>
    <x v="1"/>
    <x v="2"/>
    <x v="0"/>
    <x v="8"/>
    <x v="1"/>
    <n v="0.28539671597204536"/>
  </r>
  <r>
    <x v="417"/>
    <d v="2025-01-19T00:00:00"/>
    <x v="274"/>
    <x v="4"/>
    <x v="2"/>
    <x v="19"/>
    <n v="6"/>
    <n v="2005.05"/>
    <n v="0.15"/>
    <n v="10225.75"/>
    <n v="7841.07"/>
    <n v="2384.6799999999998"/>
    <x v="0"/>
    <x v="2"/>
    <x v="1"/>
    <x v="9"/>
    <x v="1"/>
    <n v="0.23320343251106274"/>
  </r>
  <r>
    <x v="418"/>
    <d v="2025-12-02T00:00:00"/>
    <x v="119"/>
    <x v="0"/>
    <x v="1"/>
    <x v="18"/>
    <n v="2"/>
    <n v="2010.31"/>
    <n v="0"/>
    <n v="4020.62"/>
    <n v="2369.7600000000002"/>
    <n v="1650.86"/>
    <x v="0"/>
    <x v="3"/>
    <x v="1"/>
    <x v="7"/>
    <x v="1"/>
    <n v="0.4105983654262278"/>
  </r>
  <r>
    <x v="419"/>
    <d v="2025-01-07T00:00:00"/>
    <x v="120"/>
    <x v="8"/>
    <x v="2"/>
    <x v="15"/>
    <n v="1"/>
    <n v="2018.16"/>
    <n v="0.1"/>
    <n v="1816.34"/>
    <n v="1210.4000000000001"/>
    <n v="605.94000000000005"/>
    <x v="1"/>
    <x v="2"/>
    <x v="1"/>
    <x v="9"/>
    <x v="1"/>
    <n v="0.33360494180604955"/>
  </r>
  <r>
    <x v="420"/>
    <d v="2025-01-16T00:00:00"/>
    <x v="275"/>
    <x v="3"/>
    <x v="0"/>
    <x v="11"/>
    <n v="1"/>
    <n v="2020"/>
    <n v="0"/>
    <n v="2020"/>
    <n v="1427.55"/>
    <n v="592.45000000000005"/>
    <x v="1"/>
    <x v="1"/>
    <x v="1"/>
    <x v="9"/>
    <x v="1"/>
    <n v="0.29329207920792083"/>
  </r>
  <r>
    <x v="421"/>
    <d v="2025-06-15T00:00:00"/>
    <x v="8"/>
    <x v="4"/>
    <x v="1"/>
    <x v="2"/>
    <n v="1"/>
    <n v="2025.17"/>
    <n v="0"/>
    <n v="2025.17"/>
    <n v="1145.19"/>
    <n v="879.98"/>
    <x v="0"/>
    <x v="2"/>
    <x v="1"/>
    <x v="10"/>
    <x v="1"/>
    <n v="0.43452154633931966"/>
  </r>
  <r>
    <x v="422"/>
    <d v="2026-02-26T00:00:00"/>
    <x v="276"/>
    <x v="1"/>
    <x v="1"/>
    <x v="12"/>
    <n v="5"/>
    <n v="2026.86"/>
    <n v="0.1"/>
    <n v="9120.8700000000008"/>
    <n v="5528.78"/>
    <n v="3592.09"/>
    <x v="1"/>
    <x v="0"/>
    <x v="1"/>
    <x v="1"/>
    <x v="0"/>
    <n v="0.39383194804881549"/>
  </r>
  <r>
    <x v="423"/>
    <d v="2026-04-10T00:00:00"/>
    <x v="277"/>
    <x v="0"/>
    <x v="1"/>
    <x v="16"/>
    <n v="4"/>
    <n v="2029.32"/>
    <n v="0.2"/>
    <n v="6493.82"/>
    <n v="4609.6099999999997"/>
    <n v="1884.21"/>
    <x v="0"/>
    <x v="3"/>
    <x v="1"/>
    <x v="8"/>
    <x v="0"/>
    <n v="0.29015433134888252"/>
  </r>
  <r>
    <x v="424"/>
    <d v="2025-11-21T00:00:00"/>
    <x v="278"/>
    <x v="3"/>
    <x v="2"/>
    <x v="19"/>
    <n v="6"/>
    <n v="2041.35"/>
    <n v="0.05"/>
    <n v="11635.69"/>
    <n v="6935.36"/>
    <n v="4700.33"/>
    <x v="0"/>
    <x v="2"/>
    <x v="1"/>
    <x v="3"/>
    <x v="1"/>
    <n v="0.40395799475579014"/>
  </r>
  <r>
    <x v="425"/>
    <d v="2025-03-05T00:00:00"/>
    <x v="279"/>
    <x v="4"/>
    <x v="3"/>
    <x v="8"/>
    <n v="2"/>
    <n v="2045.35"/>
    <n v="0.15"/>
    <n v="3477.09"/>
    <n v="2542.7600000000002"/>
    <n v="934.33"/>
    <x v="1"/>
    <x v="2"/>
    <x v="1"/>
    <x v="0"/>
    <x v="1"/>
    <n v="0.26871032961470653"/>
  </r>
  <r>
    <x v="426"/>
    <d v="2026-05-12T00:00:00"/>
    <x v="133"/>
    <x v="8"/>
    <x v="3"/>
    <x v="4"/>
    <n v="4"/>
    <n v="2047.43"/>
    <n v="0"/>
    <n v="8189.72"/>
    <n v="6499.85"/>
    <n v="1689.87"/>
    <x v="0"/>
    <x v="1"/>
    <x v="1"/>
    <x v="5"/>
    <x v="0"/>
    <n v="0.20634038770556257"/>
  </r>
  <r>
    <x v="427"/>
    <d v="2026-07-04T00:00:00"/>
    <x v="158"/>
    <x v="0"/>
    <x v="3"/>
    <x v="10"/>
    <n v="5"/>
    <n v="2051.83"/>
    <n v="0.2"/>
    <n v="8207.32"/>
    <n v="6877.01"/>
    <n v="1330.31"/>
    <x v="0"/>
    <x v="1"/>
    <x v="1"/>
    <x v="2"/>
    <x v="0"/>
    <n v="0.16208823343064485"/>
  </r>
  <r>
    <x v="428"/>
    <d v="2025-10-04T00:00:00"/>
    <x v="280"/>
    <x v="9"/>
    <x v="3"/>
    <x v="10"/>
    <n v="4"/>
    <n v="2052.81"/>
    <n v="0.1"/>
    <n v="7390.12"/>
    <n v="5116.05"/>
    <n v="2274.0700000000002"/>
    <x v="1"/>
    <x v="1"/>
    <x v="1"/>
    <x v="11"/>
    <x v="1"/>
    <n v="0.30771760133800263"/>
  </r>
  <r>
    <x v="429"/>
    <d v="2025-12-23T00:00:00"/>
    <x v="281"/>
    <x v="2"/>
    <x v="2"/>
    <x v="14"/>
    <n v="6"/>
    <n v="2053.1799999999998"/>
    <n v="0.1"/>
    <n v="11087.17"/>
    <n v="6103.16"/>
    <n v="4984.01"/>
    <x v="1"/>
    <x v="1"/>
    <x v="1"/>
    <x v="7"/>
    <x v="1"/>
    <n v="0.44952950121627072"/>
  </r>
  <r>
    <x v="430"/>
    <d v="2025-08-05T00:00:00"/>
    <x v="47"/>
    <x v="6"/>
    <x v="2"/>
    <x v="14"/>
    <n v="3"/>
    <n v="2054.83"/>
    <n v="0.05"/>
    <n v="5856.27"/>
    <n v="4052.08"/>
    <n v="1804.19"/>
    <x v="0"/>
    <x v="1"/>
    <x v="1"/>
    <x v="6"/>
    <x v="1"/>
    <n v="0.30807835021267804"/>
  </r>
  <r>
    <x v="431"/>
    <d v="2025-05-25T00:00:00"/>
    <x v="282"/>
    <x v="3"/>
    <x v="2"/>
    <x v="13"/>
    <n v="2"/>
    <n v="2065.1999999999998"/>
    <n v="0.1"/>
    <n v="3717.36"/>
    <n v="3122.43"/>
    <n v="594.92999999999995"/>
    <x v="1"/>
    <x v="2"/>
    <x v="0"/>
    <x v="5"/>
    <x v="1"/>
    <n v="0.16004099683646456"/>
  </r>
  <r>
    <x v="432"/>
    <d v="2026-08-17T00:00:00"/>
    <x v="283"/>
    <x v="3"/>
    <x v="1"/>
    <x v="18"/>
    <n v="2"/>
    <n v="2066.08"/>
    <n v="0"/>
    <n v="4132.16"/>
    <n v="2457.62"/>
    <n v="1674.54"/>
    <x v="1"/>
    <x v="1"/>
    <x v="1"/>
    <x v="6"/>
    <x v="0"/>
    <n v="0.40524568264539612"/>
  </r>
  <r>
    <x v="433"/>
    <d v="2025-07-01T00:00:00"/>
    <x v="284"/>
    <x v="6"/>
    <x v="2"/>
    <x v="15"/>
    <n v="6"/>
    <n v="2066.7399999999998"/>
    <n v="0.1"/>
    <n v="11160.4"/>
    <n v="7306.51"/>
    <n v="3853.89"/>
    <x v="1"/>
    <x v="3"/>
    <x v="0"/>
    <x v="2"/>
    <x v="1"/>
    <n v="0.34531826816243144"/>
  </r>
  <r>
    <x v="434"/>
    <d v="2026-06-03T00:00:00"/>
    <x v="285"/>
    <x v="6"/>
    <x v="3"/>
    <x v="10"/>
    <n v="4"/>
    <n v="2077.66"/>
    <n v="0.2"/>
    <n v="6648.51"/>
    <n v="4541.45"/>
    <n v="2107.06"/>
    <x v="1"/>
    <x v="1"/>
    <x v="1"/>
    <x v="10"/>
    <x v="0"/>
    <n v="0.31692213744132142"/>
  </r>
  <r>
    <x v="435"/>
    <d v="2025-06-03T00:00:00"/>
    <x v="286"/>
    <x v="4"/>
    <x v="1"/>
    <x v="7"/>
    <n v="6"/>
    <n v="2086.37"/>
    <n v="0"/>
    <n v="12518.22"/>
    <n v="8282.0499999999993"/>
    <n v="4236.17"/>
    <x v="0"/>
    <x v="3"/>
    <x v="0"/>
    <x v="10"/>
    <x v="1"/>
    <n v="0.33840034765326066"/>
  </r>
  <r>
    <x v="436"/>
    <d v="2026-02-07T00:00:00"/>
    <x v="287"/>
    <x v="9"/>
    <x v="2"/>
    <x v="15"/>
    <n v="6"/>
    <n v="2086.4499999999998"/>
    <n v="0"/>
    <n v="12518.7"/>
    <n v="6920.41"/>
    <n v="5598.29"/>
    <x v="1"/>
    <x v="3"/>
    <x v="0"/>
    <x v="1"/>
    <x v="0"/>
    <n v="0.44719419748056904"/>
  </r>
  <r>
    <x v="437"/>
    <d v="2025-01-16T00:00:00"/>
    <x v="284"/>
    <x v="0"/>
    <x v="3"/>
    <x v="4"/>
    <n v="6"/>
    <n v="2086.54"/>
    <n v="0.05"/>
    <n v="11893.28"/>
    <n v="9349.14"/>
    <n v="2544.14"/>
    <x v="1"/>
    <x v="2"/>
    <x v="1"/>
    <x v="9"/>
    <x v="1"/>
    <n v="0.21391407584787372"/>
  </r>
  <r>
    <x v="438"/>
    <d v="2026-07-13T00:00:00"/>
    <x v="225"/>
    <x v="0"/>
    <x v="0"/>
    <x v="17"/>
    <n v="4"/>
    <n v="2095.58"/>
    <n v="0.05"/>
    <n v="7963.2"/>
    <n v="6489.46"/>
    <n v="1473.74"/>
    <x v="0"/>
    <x v="3"/>
    <x v="1"/>
    <x v="2"/>
    <x v="0"/>
    <n v="0.18506881655615834"/>
  </r>
  <r>
    <x v="439"/>
    <d v="2026-07-02T00:00:00"/>
    <x v="288"/>
    <x v="6"/>
    <x v="3"/>
    <x v="6"/>
    <n v="2"/>
    <n v="2097.44"/>
    <n v="0"/>
    <n v="4194.88"/>
    <n v="3561.05"/>
    <n v="633.83000000000004"/>
    <x v="0"/>
    <x v="1"/>
    <x v="1"/>
    <x v="2"/>
    <x v="0"/>
    <n v="0.15109609810054161"/>
  </r>
  <r>
    <x v="440"/>
    <d v="2025-09-22T00:00:00"/>
    <x v="200"/>
    <x v="1"/>
    <x v="1"/>
    <x v="2"/>
    <n v="3"/>
    <n v="2114.34"/>
    <n v="0"/>
    <n v="6343.02"/>
    <n v="4359.37"/>
    <n v="1983.65"/>
    <x v="0"/>
    <x v="0"/>
    <x v="1"/>
    <x v="4"/>
    <x v="1"/>
    <n v="0.31272958306926352"/>
  </r>
  <r>
    <x v="441"/>
    <d v="2026-08-25T00:00:00"/>
    <x v="254"/>
    <x v="4"/>
    <x v="1"/>
    <x v="12"/>
    <n v="3"/>
    <n v="2114.5100000000002"/>
    <n v="0.15"/>
    <n v="5392"/>
    <n v="3747.11"/>
    <n v="1644.89"/>
    <x v="1"/>
    <x v="2"/>
    <x v="1"/>
    <x v="6"/>
    <x v="0"/>
    <n v="0.30506120178041546"/>
  </r>
  <r>
    <x v="442"/>
    <d v="2026-03-29T00:00:00"/>
    <x v="289"/>
    <x v="3"/>
    <x v="0"/>
    <x v="17"/>
    <n v="4"/>
    <n v="2119.3000000000002"/>
    <n v="0"/>
    <n v="8477.2000000000007"/>
    <n v="5107.4399999999996"/>
    <n v="3369.76"/>
    <x v="1"/>
    <x v="1"/>
    <x v="1"/>
    <x v="0"/>
    <x v="0"/>
    <n v="0.39750861133393101"/>
  </r>
  <r>
    <x v="443"/>
    <d v="2025-07-30T00:00:00"/>
    <x v="290"/>
    <x v="8"/>
    <x v="2"/>
    <x v="19"/>
    <n v="2"/>
    <n v="2126.15"/>
    <n v="0.1"/>
    <n v="3827.07"/>
    <n v="2646.94"/>
    <n v="1180.1300000000001"/>
    <x v="1"/>
    <x v="0"/>
    <x v="0"/>
    <x v="2"/>
    <x v="1"/>
    <n v="0.30836383969982262"/>
  </r>
  <r>
    <x v="444"/>
    <d v="2025-02-07T00:00:00"/>
    <x v="55"/>
    <x v="0"/>
    <x v="1"/>
    <x v="16"/>
    <n v="4"/>
    <n v="2131.98"/>
    <n v="0.1"/>
    <n v="7675.13"/>
    <n v="5425.2"/>
    <n v="2249.9299999999998"/>
    <x v="1"/>
    <x v="2"/>
    <x v="0"/>
    <x v="1"/>
    <x v="1"/>
    <n v="0.29314552326800974"/>
  </r>
  <r>
    <x v="445"/>
    <d v="2026-02-05T00:00:00"/>
    <x v="57"/>
    <x v="8"/>
    <x v="2"/>
    <x v="15"/>
    <n v="2"/>
    <n v="2132.77"/>
    <n v="0.1"/>
    <n v="3838.99"/>
    <n v="2619.9699999999998"/>
    <n v="1219.02"/>
    <x v="0"/>
    <x v="0"/>
    <x v="0"/>
    <x v="1"/>
    <x v="0"/>
    <n v="0.31753664375265372"/>
  </r>
  <r>
    <x v="446"/>
    <d v="2026-08-02T00:00:00"/>
    <x v="9"/>
    <x v="0"/>
    <x v="0"/>
    <x v="0"/>
    <n v="2"/>
    <n v="2144.08"/>
    <n v="0.2"/>
    <n v="3430.53"/>
    <n v="2287.2800000000002"/>
    <n v="1143.25"/>
    <x v="1"/>
    <x v="1"/>
    <x v="1"/>
    <x v="6"/>
    <x v="0"/>
    <n v="0.33325754329505936"/>
  </r>
  <r>
    <x v="447"/>
    <d v="2026-06-17T00:00:00"/>
    <x v="91"/>
    <x v="4"/>
    <x v="1"/>
    <x v="12"/>
    <n v="6"/>
    <n v="2146.98"/>
    <n v="0.15"/>
    <n v="10949.6"/>
    <n v="8209.91"/>
    <n v="2739.69"/>
    <x v="1"/>
    <x v="1"/>
    <x v="0"/>
    <x v="10"/>
    <x v="0"/>
    <n v="0.25020914005991085"/>
  </r>
  <r>
    <x v="448"/>
    <d v="2025-11-30T00:00:00"/>
    <x v="218"/>
    <x v="3"/>
    <x v="0"/>
    <x v="9"/>
    <n v="4"/>
    <n v="2147.88"/>
    <n v="0.2"/>
    <n v="6873.22"/>
    <n v="3875.82"/>
    <n v="2997.4"/>
    <x v="0"/>
    <x v="0"/>
    <x v="1"/>
    <x v="3"/>
    <x v="1"/>
    <n v="0.43609836437652222"/>
  </r>
  <r>
    <x v="449"/>
    <d v="2025-10-12T00:00:00"/>
    <x v="171"/>
    <x v="6"/>
    <x v="0"/>
    <x v="9"/>
    <n v="4"/>
    <n v="2150.17"/>
    <n v="0.05"/>
    <n v="8170.65"/>
    <n v="4787.24"/>
    <n v="3383.41"/>
    <x v="0"/>
    <x v="1"/>
    <x v="1"/>
    <x v="11"/>
    <x v="1"/>
    <n v="0.41409312600588694"/>
  </r>
  <r>
    <x v="450"/>
    <d v="2026-03-30T00:00:00"/>
    <x v="291"/>
    <x v="4"/>
    <x v="0"/>
    <x v="17"/>
    <n v="6"/>
    <n v="2151.13"/>
    <n v="0.15"/>
    <n v="10970.76"/>
    <n v="9218.3799999999992"/>
    <n v="1752.38"/>
    <x v="0"/>
    <x v="1"/>
    <x v="1"/>
    <x v="0"/>
    <x v="0"/>
    <n v="0.15973186907743858"/>
  </r>
  <r>
    <x v="451"/>
    <d v="2026-08-27T00:00:00"/>
    <x v="292"/>
    <x v="8"/>
    <x v="1"/>
    <x v="7"/>
    <n v="4"/>
    <n v="2152.04"/>
    <n v="0"/>
    <n v="8608.16"/>
    <n v="4846.97"/>
    <n v="3761.19"/>
    <x v="1"/>
    <x v="1"/>
    <x v="1"/>
    <x v="6"/>
    <x v="0"/>
    <n v="0.43693309603910707"/>
  </r>
  <r>
    <x v="452"/>
    <d v="2025-02-12T00:00:00"/>
    <x v="113"/>
    <x v="6"/>
    <x v="0"/>
    <x v="11"/>
    <n v="1"/>
    <n v="2152.13"/>
    <n v="0.1"/>
    <n v="1936.92"/>
    <n v="1632.31"/>
    <n v="304.61"/>
    <x v="0"/>
    <x v="0"/>
    <x v="1"/>
    <x v="1"/>
    <x v="1"/>
    <n v="0.15726514259752597"/>
  </r>
  <r>
    <x v="453"/>
    <d v="2025-07-05T00:00:00"/>
    <x v="196"/>
    <x v="7"/>
    <x v="2"/>
    <x v="15"/>
    <n v="4"/>
    <n v="2157.42"/>
    <n v="0.1"/>
    <n v="7766.71"/>
    <n v="6053.68"/>
    <n v="1713.03"/>
    <x v="0"/>
    <x v="0"/>
    <x v="1"/>
    <x v="2"/>
    <x v="1"/>
    <n v="0.22056057197964132"/>
  </r>
  <r>
    <x v="454"/>
    <d v="2026-04-22T00:00:00"/>
    <x v="99"/>
    <x v="6"/>
    <x v="2"/>
    <x v="3"/>
    <n v="1"/>
    <n v="2160.4299999999998"/>
    <n v="0.2"/>
    <n v="1728.34"/>
    <n v="951.59"/>
    <n v="776.75"/>
    <x v="1"/>
    <x v="1"/>
    <x v="1"/>
    <x v="8"/>
    <x v="0"/>
    <n v="0.44941967436962638"/>
  </r>
  <r>
    <x v="455"/>
    <d v="2025-12-16T00:00:00"/>
    <x v="29"/>
    <x v="8"/>
    <x v="3"/>
    <x v="8"/>
    <n v="4"/>
    <n v="2162.0300000000002"/>
    <n v="0.05"/>
    <n v="8215.7099999999991"/>
    <n v="6895.92"/>
    <n v="1319.79"/>
    <x v="0"/>
    <x v="0"/>
    <x v="1"/>
    <x v="7"/>
    <x v="1"/>
    <n v="0.16064223299021024"/>
  </r>
  <r>
    <x v="456"/>
    <d v="2026-02-13T00:00:00"/>
    <x v="167"/>
    <x v="7"/>
    <x v="3"/>
    <x v="5"/>
    <n v="5"/>
    <n v="2162.63"/>
    <n v="0.15"/>
    <n v="9191.18"/>
    <n v="6705.68"/>
    <n v="2485.5"/>
    <x v="0"/>
    <x v="3"/>
    <x v="0"/>
    <x v="1"/>
    <x v="0"/>
    <n v="0.27042229615783825"/>
  </r>
  <r>
    <x v="457"/>
    <d v="2025-07-11T00:00:00"/>
    <x v="37"/>
    <x v="1"/>
    <x v="2"/>
    <x v="3"/>
    <n v="4"/>
    <n v="2171.5700000000002"/>
    <n v="0"/>
    <n v="8686.2800000000007"/>
    <n v="5622.35"/>
    <n v="3063.93"/>
    <x v="1"/>
    <x v="1"/>
    <x v="1"/>
    <x v="2"/>
    <x v="1"/>
    <n v="0.35273212468398435"/>
  </r>
  <r>
    <x v="458"/>
    <d v="2026-03-27T00:00:00"/>
    <x v="28"/>
    <x v="6"/>
    <x v="0"/>
    <x v="1"/>
    <n v="6"/>
    <n v="2185.92"/>
    <n v="0.15"/>
    <n v="11148.19"/>
    <n v="8074.16"/>
    <n v="3074.03"/>
    <x v="1"/>
    <x v="2"/>
    <x v="1"/>
    <x v="0"/>
    <x v="0"/>
    <n v="0.27574251963771695"/>
  </r>
  <r>
    <x v="459"/>
    <d v="2025-04-06T00:00:00"/>
    <x v="287"/>
    <x v="7"/>
    <x v="0"/>
    <x v="0"/>
    <n v="2"/>
    <n v="2186.6"/>
    <n v="0"/>
    <n v="4373.2"/>
    <n v="3175.06"/>
    <n v="1198.1400000000001"/>
    <x v="0"/>
    <x v="2"/>
    <x v="1"/>
    <x v="8"/>
    <x v="1"/>
    <n v="0.27397329186865454"/>
  </r>
  <r>
    <x v="460"/>
    <d v="2025-03-10T00:00:00"/>
    <x v="144"/>
    <x v="0"/>
    <x v="2"/>
    <x v="14"/>
    <n v="5"/>
    <n v="2187.2399999999998"/>
    <n v="0"/>
    <n v="10936.2"/>
    <n v="9089.61"/>
    <n v="1846.59"/>
    <x v="1"/>
    <x v="2"/>
    <x v="0"/>
    <x v="0"/>
    <x v="1"/>
    <n v="0.16885115488012287"/>
  </r>
  <r>
    <x v="461"/>
    <d v="2025-05-16T00:00:00"/>
    <x v="176"/>
    <x v="1"/>
    <x v="3"/>
    <x v="5"/>
    <n v="3"/>
    <n v="2192.77"/>
    <n v="0.15"/>
    <n v="5591.56"/>
    <n v="3418.17"/>
    <n v="2173.39"/>
    <x v="1"/>
    <x v="3"/>
    <x v="0"/>
    <x v="5"/>
    <x v="1"/>
    <n v="0.3886911702637546"/>
  </r>
  <r>
    <x v="462"/>
    <d v="2025-02-05T00:00:00"/>
    <x v="255"/>
    <x v="6"/>
    <x v="1"/>
    <x v="16"/>
    <n v="1"/>
    <n v="2197.08"/>
    <n v="0.1"/>
    <n v="1977.37"/>
    <n v="1453.04"/>
    <n v="524.33000000000004"/>
    <x v="0"/>
    <x v="1"/>
    <x v="1"/>
    <x v="1"/>
    <x v="1"/>
    <n v="0.26516534588873103"/>
  </r>
  <r>
    <x v="463"/>
    <d v="2026-04-14T00:00:00"/>
    <x v="186"/>
    <x v="9"/>
    <x v="1"/>
    <x v="12"/>
    <n v="3"/>
    <n v="2198.6799999999998"/>
    <n v="0.15"/>
    <n v="5606.63"/>
    <n v="3679.16"/>
    <n v="1927.47"/>
    <x v="1"/>
    <x v="0"/>
    <x v="1"/>
    <x v="8"/>
    <x v="0"/>
    <n v="0.34378405566267078"/>
  </r>
  <r>
    <x v="464"/>
    <d v="2026-01-23T00:00:00"/>
    <x v="293"/>
    <x v="2"/>
    <x v="0"/>
    <x v="9"/>
    <n v="6"/>
    <n v="2206.69"/>
    <n v="0"/>
    <n v="13240.14"/>
    <n v="7962.72"/>
    <n v="5277.42"/>
    <x v="0"/>
    <x v="1"/>
    <x v="1"/>
    <x v="9"/>
    <x v="0"/>
    <n v="0.39859246201324156"/>
  </r>
  <r>
    <x v="465"/>
    <d v="2025-01-18T00:00:00"/>
    <x v="294"/>
    <x v="5"/>
    <x v="3"/>
    <x v="5"/>
    <n v="3"/>
    <n v="2207.9"/>
    <n v="0.15"/>
    <n v="5630.15"/>
    <n v="4453.24"/>
    <n v="1176.9100000000001"/>
    <x v="0"/>
    <x v="0"/>
    <x v="1"/>
    <x v="9"/>
    <x v="1"/>
    <n v="0.20903705940339071"/>
  </r>
  <r>
    <x v="466"/>
    <d v="2025-06-16T00:00:00"/>
    <x v="295"/>
    <x v="6"/>
    <x v="3"/>
    <x v="6"/>
    <n v="1"/>
    <n v="2210.08"/>
    <n v="0"/>
    <n v="2210.08"/>
    <n v="1697.96"/>
    <n v="512.12"/>
    <x v="0"/>
    <x v="1"/>
    <x v="1"/>
    <x v="10"/>
    <x v="1"/>
    <n v="0.2317201187287338"/>
  </r>
  <r>
    <x v="467"/>
    <d v="2025-12-08T00:00:00"/>
    <x v="296"/>
    <x v="3"/>
    <x v="2"/>
    <x v="3"/>
    <n v="4"/>
    <n v="2217.4299999999998"/>
    <n v="0"/>
    <n v="8869.7199999999993"/>
    <n v="5603.06"/>
    <n v="3266.66"/>
    <x v="0"/>
    <x v="1"/>
    <x v="1"/>
    <x v="7"/>
    <x v="1"/>
    <n v="0.36829347487857567"/>
  </r>
  <r>
    <x v="468"/>
    <d v="2025-03-22T00:00:00"/>
    <x v="297"/>
    <x v="8"/>
    <x v="1"/>
    <x v="7"/>
    <n v="1"/>
    <n v="2219.08"/>
    <n v="0.15"/>
    <n v="1886.22"/>
    <n v="1215.06"/>
    <n v="671.16"/>
    <x v="1"/>
    <x v="3"/>
    <x v="1"/>
    <x v="0"/>
    <x v="1"/>
    <n v="0.3558227566243598"/>
  </r>
  <r>
    <x v="469"/>
    <d v="2026-07-29T00:00:00"/>
    <x v="96"/>
    <x v="3"/>
    <x v="3"/>
    <x v="6"/>
    <n v="4"/>
    <n v="2220.58"/>
    <n v="0.15"/>
    <n v="7549.97"/>
    <n v="6193.92"/>
    <n v="1356.05"/>
    <x v="1"/>
    <x v="1"/>
    <x v="0"/>
    <x v="2"/>
    <x v="0"/>
    <n v="0.17960998520523921"/>
  </r>
  <r>
    <x v="470"/>
    <d v="2026-06-03T00:00:00"/>
    <x v="70"/>
    <x v="1"/>
    <x v="0"/>
    <x v="1"/>
    <n v="6"/>
    <n v="2235.06"/>
    <n v="0"/>
    <n v="13410.36"/>
    <n v="10850.24"/>
    <n v="2560.12"/>
    <x v="1"/>
    <x v="2"/>
    <x v="0"/>
    <x v="10"/>
    <x v="0"/>
    <n v="0.19090613525662248"/>
  </r>
  <r>
    <x v="471"/>
    <d v="2026-04-15T00:00:00"/>
    <x v="298"/>
    <x v="1"/>
    <x v="0"/>
    <x v="0"/>
    <n v="4"/>
    <n v="2239.38"/>
    <n v="0.1"/>
    <n v="8061.77"/>
    <n v="6036.33"/>
    <n v="2025.44"/>
    <x v="0"/>
    <x v="0"/>
    <x v="1"/>
    <x v="8"/>
    <x v="0"/>
    <n v="0.25124011228303461"/>
  </r>
  <r>
    <x v="472"/>
    <d v="2025-04-13T00:00:00"/>
    <x v="48"/>
    <x v="0"/>
    <x v="3"/>
    <x v="4"/>
    <n v="4"/>
    <n v="2241.15"/>
    <n v="0"/>
    <n v="8964.6"/>
    <n v="6457.41"/>
    <n v="2507.19"/>
    <x v="0"/>
    <x v="3"/>
    <x v="0"/>
    <x v="8"/>
    <x v="1"/>
    <n v="0.27967672846529684"/>
  </r>
  <r>
    <x v="473"/>
    <d v="2026-02-26T00:00:00"/>
    <x v="286"/>
    <x v="4"/>
    <x v="2"/>
    <x v="3"/>
    <n v="5"/>
    <n v="2244.3000000000002"/>
    <n v="0.05"/>
    <n v="10660.42"/>
    <n v="8926.41"/>
    <n v="1734.01"/>
    <x v="1"/>
    <x v="1"/>
    <x v="1"/>
    <x v="1"/>
    <x v="0"/>
    <n v="0.16265869449796536"/>
  </r>
  <r>
    <x v="474"/>
    <d v="2026-06-02T00:00:00"/>
    <x v="169"/>
    <x v="5"/>
    <x v="0"/>
    <x v="11"/>
    <n v="4"/>
    <n v="2254.2199999999998"/>
    <n v="0"/>
    <n v="9016.8799999999992"/>
    <n v="7118.01"/>
    <n v="1898.87"/>
    <x v="0"/>
    <x v="3"/>
    <x v="1"/>
    <x v="10"/>
    <x v="0"/>
    <n v="0.21059058122099886"/>
  </r>
  <r>
    <x v="475"/>
    <d v="2025-09-18T00:00:00"/>
    <x v="299"/>
    <x v="9"/>
    <x v="1"/>
    <x v="7"/>
    <n v="4"/>
    <n v="2263.48"/>
    <n v="0.05"/>
    <n v="8601.2199999999993"/>
    <n v="7136.85"/>
    <n v="1464.37"/>
    <x v="0"/>
    <x v="2"/>
    <x v="1"/>
    <x v="4"/>
    <x v="1"/>
    <n v="0.17025142944838059"/>
  </r>
  <r>
    <x v="476"/>
    <d v="2025-06-09T00:00:00"/>
    <x v="300"/>
    <x v="6"/>
    <x v="3"/>
    <x v="5"/>
    <n v="4"/>
    <n v="2265.1"/>
    <n v="0.05"/>
    <n v="8607.3799999999992"/>
    <n v="5106.16"/>
    <n v="3501.22"/>
    <x v="1"/>
    <x v="1"/>
    <x v="1"/>
    <x v="10"/>
    <x v="1"/>
    <n v="0.40676953962762191"/>
  </r>
  <r>
    <x v="477"/>
    <d v="2025-02-27T00:00:00"/>
    <x v="301"/>
    <x v="9"/>
    <x v="3"/>
    <x v="4"/>
    <n v="4"/>
    <n v="2266.6999999999998"/>
    <n v="0.2"/>
    <n v="7253.44"/>
    <n v="6126.86"/>
    <n v="1126.58"/>
    <x v="1"/>
    <x v="2"/>
    <x v="1"/>
    <x v="1"/>
    <x v="1"/>
    <n v="0.15531664975515067"/>
  </r>
  <r>
    <x v="478"/>
    <d v="2026-04-08T00:00:00"/>
    <x v="302"/>
    <x v="8"/>
    <x v="2"/>
    <x v="3"/>
    <n v="2"/>
    <n v="2273.44"/>
    <n v="0.05"/>
    <n v="4319.54"/>
    <n v="2798.67"/>
    <n v="1520.87"/>
    <x v="1"/>
    <x v="3"/>
    <x v="1"/>
    <x v="8"/>
    <x v="0"/>
    <n v="0.35209073188348755"/>
  </r>
  <r>
    <x v="479"/>
    <d v="2025-05-30T00:00:00"/>
    <x v="303"/>
    <x v="3"/>
    <x v="3"/>
    <x v="10"/>
    <n v="6"/>
    <n v="2282.77"/>
    <n v="0"/>
    <n v="13696.62"/>
    <n v="8415.69"/>
    <n v="5280.93"/>
    <x v="1"/>
    <x v="3"/>
    <x v="0"/>
    <x v="5"/>
    <x v="1"/>
    <n v="0.3855644677299947"/>
  </r>
  <r>
    <x v="480"/>
    <d v="2026-01-11T00:00:00"/>
    <x v="212"/>
    <x v="1"/>
    <x v="0"/>
    <x v="9"/>
    <n v="2"/>
    <n v="2287.2800000000002"/>
    <n v="0.2"/>
    <n v="3659.65"/>
    <n v="2028.58"/>
    <n v="1631.07"/>
    <x v="0"/>
    <x v="2"/>
    <x v="1"/>
    <x v="9"/>
    <x v="0"/>
    <n v="0.44569016162747799"/>
  </r>
  <r>
    <x v="481"/>
    <d v="2026-01-23T00:00:00"/>
    <x v="252"/>
    <x v="2"/>
    <x v="0"/>
    <x v="11"/>
    <n v="2"/>
    <n v="2288.08"/>
    <n v="0.2"/>
    <n v="3660.93"/>
    <n v="2339.56"/>
    <n v="1321.37"/>
    <x v="1"/>
    <x v="3"/>
    <x v="0"/>
    <x v="9"/>
    <x v="0"/>
    <n v="0.36093834080411258"/>
  </r>
  <r>
    <x v="482"/>
    <d v="2025-11-29T00:00:00"/>
    <x v="304"/>
    <x v="6"/>
    <x v="0"/>
    <x v="17"/>
    <n v="4"/>
    <n v="2289.52"/>
    <n v="0.15"/>
    <n v="7784.37"/>
    <n v="4798.28"/>
    <n v="2986.09"/>
    <x v="0"/>
    <x v="3"/>
    <x v="0"/>
    <x v="3"/>
    <x v="1"/>
    <n v="0.3836007281257186"/>
  </r>
  <r>
    <x v="483"/>
    <d v="2025-06-22T00:00:00"/>
    <x v="270"/>
    <x v="4"/>
    <x v="1"/>
    <x v="2"/>
    <n v="6"/>
    <n v="2289.5700000000002"/>
    <n v="0"/>
    <n v="13737.42"/>
    <n v="10534.27"/>
    <n v="3203.15"/>
    <x v="1"/>
    <x v="0"/>
    <x v="1"/>
    <x v="10"/>
    <x v="1"/>
    <n v="0.23316969270794663"/>
  </r>
  <r>
    <x v="484"/>
    <d v="2025-11-16T00:00:00"/>
    <x v="209"/>
    <x v="3"/>
    <x v="2"/>
    <x v="3"/>
    <n v="1"/>
    <n v="2293.54"/>
    <n v="0.05"/>
    <n v="2178.86"/>
    <n v="1746.43"/>
    <n v="432.43"/>
    <x v="0"/>
    <x v="1"/>
    <x v="1"/>
    <x v="3"/>
    <x v="1"/>
    <n v="0.19846617038267717"/>
  </r>
  <r>
    <x v="485"/>
    <d v="2026-05-10T00:00:00"/>
    <x v="305"/>
    <x v="4"/>
    <x v="1"/>
    <x v="2"/>
    <n v="1"/>
    <n v="2294.38"/>
    <n v="0"/>
    <n v="2294.38"/>
    <n v="1680.64"/>
    <n v="613.74"/>
    <x v="0"/>
    <x v="3"/>
    <x v="0"/>
    <x v="5"/>
    <x v="0"/>
    <n v="0.26749710161350776"/>
  </r>
  <r>
    <x v="486"/>
    <d v="2025-09-06T00:00:00"/>
    <x v="306"/>
    <x v="9"/>
    <x v="2"/>
    <x v="19"/>
    <n v="3"/>
    <n v="2302.46"/>
    <n v="0"/>
    <n v="6907.38"/>
    <n v="5148.1099999999997"/>
    <n v="1759.27"/>
    <x v="1"/>
    <x v="2"/>
    <x v="1"/>
    <x v="4"/>
    <x v="1"/>
    <n v="0.25469425455092959"/>
  </r>
  <r>
    <x v="487"/>
    <d v="2026-04-04T00:00:00"/>
    <x v="307"/>
    <x v="7"/>
    <x v="1"/>
    <x v="2"/>
    <n v="6"/>
    <n v="2304.69"/>
    <n v="0.1"/>
    <n v="12445.33"/>
    <n v="9354.32"/>
    <n v="3091.01"/>
    <x v="0"/>
    <x v="2"/>
    <x v="1"/>
    <x v="8"/>
    <x v="0"/>
    <n v="0.24836705816559307"/>
  </r>
  <r>
    <x v="488"/>
    <d v="2026-01-22T00:00:00"/>
    <x v="38"/>
    <x v="9"/>
    <x v="0"/>
    <x v="17"/>
    <n v="1"/>
    <n v="2310.52"/>
    <n v="0"/>
    <n v="2310.52"/>
    <n v="1794.42"/>
    <n v="516.1"/>
    <x v="1"/>
    <x v="2"/>
    <x v="1"/>
    <x v="9"/>
    <x v="0"/>
    <n v="0.22336963107871821"/>
  </r>
  <r>
    <x v="489"/>
    <d v="2025-07-16T00:00:00"/>
    <x v="121"/>
    <x v="6"/>
    <x v="3"/>
    <x v="4"/>
    <n v="2"/>
    <n v="2318.2600000000002"/>
    <n v="0"/>
    <n v="4636.5200000000004"/>
    <n v="3566.5"/>
    <n v="1070.02"/>
    <x v="1"/>
    <x v="1"/>
    <x v="0"/>
    <x v="2"/>
    <x v="1"/>
    <n v="0.23078084425388004"/>
  </r>
  <r>
    <x v="490"/>
    <d v="2025-09-19T00:00:00"/>
    <x v="308"/>
    <x v="7"/>
    <x v="0"/>
    <x v="0"/>
    <n v="1"/>
    <n v="2323.6999999999998"/>
    <n v="0.1"/>
    <n v="2091.33"/>
    <n v="1403.75"/>
    <n v="687.58"/>
    <x v="1"/>
    <x v="1"/>
    <x v="0"/>
    <x v="4"/>
    <x v="1"/>
    <n v="0.32877642457192319"/>
  </r>
  <r>
    <x v="491"/>
    <d v="2025-09-06T00:00:00"/>
    <x v="66"/>
    <x v="7"/>
    <x v="2"/>
    <x v="13"/>
    <n v="4"/>
    <n v="2326.98"/>
    <n v="0.15"/>
    <n v="7911.73"/>
    <n v="6640.06"/>
    <n v="1271.67"/>
    <x v="1"/>
    <x v="0"/>
    <x v="1"/>
    <x v="4"/>
    <x v="1"/>
    <n v="0.16073222923431413"/>
  </r>
  <r>
    <x v="492"/>
    <d v="2025-01-19T00:00:00"/>
    <x v="158"/>
    <x v="3"/>
    <x v="1"/>
    <x v="16"/>
    <n v="2"/>
    <n v="2329.7199999999998"/>
    <n v="0"/>
    <n v="4659.4399999999996"/>
    <n v="2590.5"/>
    <n v="2068.94"/>
    <x v="1"/>
    <x v="2"/>
    <x v="0"/>
    <x v="9"/>
    <x v="1"/>
    <n v="0.44403190082928423"/>
  </r>
  <r>
    <x v="493"/>
    <d v="2025-01-06T00:00:00"/>
    <x v="46"/>
    <x v="2"/>
    <x v="3"/>
    <x v="4"/>
    <n v="5"/>
    <n v="2343.5100000000002"/>
    <n v="0.2"/>
    <n v="9374.0400000000009"/>
    <n v="7907.25"/>
    <n v="1466.79"/>
    <x v="1"/>
    <x v="2"/>
    <x v="1"/>
    <x v="9"/>
    <x v="1"/>
    <n v="0.15647362289898484"/>
  </r>
  <r>
    <x v="494"/>
    <d v="2026-07-28T00:00:00"/>
    <x v="27"/>
    <x v="1"/>
    <x v="0"/>
    <x v="17"/>
    <n v="2"/>
    <n v="2360.42"/>
    <n v="0.05"/>
    <n v="4484.8"/>
    <n v="2986.3"/>
    <n v="1498.5"/>
    <x v="1"/>
    <x v="3"/>
    <x v="1"/>
    <x v="2"/>
    <x v="0"/>
    <n v="0.33412861220121298"/>
  </r>
  <r>
    <x v="495"/>
    <d v="2026-06-25T00:00:00"/>
    <x v="35"/>
    <x v="2"/>
    <x v="1"/>
    <x v="12"/>
    <n v="5"/>
    <n v="2360.46"/>
    <n v="0.1"/>
    <n v="10622.07"/>
    <n v="8382.8799999999992"/>
    <n v="2239.19"/>
    <x v="1"/>
    <x v="0"/>
    <x v="0"/>
    <x v="10"/>
    <x v="0"/>
    <n v="0.21080542681417089"/>
  </r>
  <r>
    <x v="496"/>
    <d v="2025-01-12T00:00:00"/>
    <x v="309"/>
    <x v="0"/>
    <x v="1"/>
    <x v="12"/>
    <n v="4"/>
    <n v="2363.2199999999998"/>
    <n v="0.05"/>
    <n v="8980.24"/>
    <n v="6657.85"/>
    <n v="2322.39"/>
    <x v="0"/>
    <x v="0"/>
    <x v="1"/>
    <x v="9"/>
    <x v="1"/>
    <n v="0.25861112843309308"/>
  </r>
  <r>
    <x v="497"/>
    <d v="2025-09-06T00:00:00"/>
    <x v="310"/>
    <x v="6"/>
    <x v="3"/>
    <x v="6"/>
    <n v="4"/>
    <n v="2363.46"/>
    <n v="0.2"/>
    <n v="7563.07"/>
    <n v="5801.16"/>
    <n v="1761.91"/>
    <x v="1"/>
    <x v="1"/>
    <x v="1"/>
    <x v="4"/>
    <x v="1"/>
    <n v="0.23296227590118829"/>
  </r>
  <r>
    <x v="498"/>
    <d v="2025-02-17T00:00:00"/>
    <x v="311"/>
    <x v="7"/>
    <x v="3"/>
    <x v="6"/>
    <n v="5"/>
    <n v="2376.7199999999998"/>
    <n v="0.15"/>
    <n v="10101.06"/>
    <n v="7964.25"/>
    <n v="2136.81"/>
    <x v="0"/>
    <x v="2"/>
    <x v="1"/>
    <x v="1"/>
    <x v="1"/>
    <n v="0.21154314497686383"/>
  </r>
  <r>
    <x v="499"/>
    <d v="2026-06-24T00:00:00"/>
    <x v="69"/>
    <x v="8"/>
    <x v="1"/>
    <x v="16"/>
    <n v="3"/>
    <n v="2376.9699999999998"/>
    <n v="0.05"/>
    <n v="6774.36"/>
    <n v="5525.11"/>
    <n v="1249.25"/>
    <x v="0"/>
    <x v="1"/>
    <x v="0"/>
    <x v="10"/>
    <x v="0"/>
    <n v="0.18440856405623557"/>
  </r>
  <r>
    <x v="500"/>
    <d v="2026-04-24T00:00:00"/>
    <x v="40"/>
    <x v="6"/>
    <x v="2"/>
    <x v="14"/>
    <n v="5"/>
    <n v="2377.37"/>
    <n v="0.15"/>
    <n v="10103.82"/>
    <n v="5709"/>
    <n v="4394.82"/>
    <x v="0"/>
    <x v="3"/>
    <x v="1"/>
    <x v="8"/>
    <x v="0"/>
    <n v="0.43496618110773944"/>
  </r>
  <r>
    <x v="501"/>
    <d v="2026-04-22T00:00:00"/>
    <x v="87"/>
    <x v="3"/>
    <x v="2"/>
    <x v="3"/>
    <n v="5"/>
    <n v="2378.9299999999998"/>
    <n v="0.1"/>
    <n v="10705.18"/>
    <n v="8247.7999999999993"/>
    <n v="2457.38"/>
    <x v="0"/>
    <x v="3"/>
    <x v="0"/>
    <x v="8"/>
    <x v="0"/>
    <n v="0.22955055403085237"/>
  </r>
  <r>
    <x v="502"/>
    <d v="2026-07-03T00:00:00"/>
    <x v="33"/>
    <x v="3"/>
    <x v="3"/>
    <x v="8"/>
    <n v="2"/>
    <n v="2381.56"/>
    <n v="0.05"/>
    <n v="4524.96"/>
    <n v="3706.75"/>
    <n v="818.21"/>
    <x v="0"/>
    <x v="0"/>
    <x v="1"/>
    <x v="2"/>
    <x v="0"/>
    <n v="0.18082148792475514"/>
  </r>
  <r>
    <x v="503"/>
    <d v="2025-10-26T00:00:00"/>
    <x v="312"/>
    <x v="9"/>
    <x v="0"/>
    <x v="9"/>
    <n v="4"/>
    <n v="2384.67"/>
    <n v="0.15"/>
    <n v="8107.88"/>
    <n v="6593.19"/>
    <n v="1514.69"/>
    <x v="0"/>
    <x v="0"/>
    <x v="0"/>
    <x v="11"/>
    <x v="1"/>
    <n v="0.18681702245223167"/>
  </r>
  <r>
    <x v="504"/>
    <d v="2026-05-10T00:00:00"/>
    <x v="313"/>
    <x v="9"/>
    <x v="1"/>
    <x v="12"/>
    <n v="1"/>
    <n v="2387.2800000000002"/>
    <n v="0.05"/>
    <n v="2267.92"/>
    <n v="1786.51"/>
    <n v="481.41"/>
    <x v="0"/>
    <x v="1"/>
    <x v="1"/>
    <x v="5"/>
    <x v="0"/>
    <n v="0.21226939221842039"/>
  </r>
  <r>
    <x v="505"/>
    <d v="2026-04-05T00:00:00"/>
    <x v="198"/>
    <x v="5"/>
    <x v="1"/>
    <x v="16"/>
    <n v="6"/>
    <n v="2388.29"/>
    <n v="0.2"/>
    <n v="11463.79"/>
    <n v="8375.9500000000007"/>
    <n v="3087.84"/>
    <x v="0"/>
    <x v="0"/>
    <x v="0"/>
    <x v="8"/>
    <x v="0"/>
    <n v="0.26935594598296025"/>
  </r>
  <r>
    <x v="506"/>
    <d v="2025-02-06T00:00:00"/>
    <x v="310"/>
    <x v="4"/>
    <x v="1"/>
    <x v="2"/>
    <n v="5"/>
    <n v="2413.13"/>
    <n v="0.05"/>
    <n v="11462.37"/>
    <n v="8550.35"/>
    <n v="2912.02"/>
    <x v="1"/>
    <x v="2"/>
    <x v="0"/>
    <x v="1"/>
    <x v="1"/>
    <n v="0.25405042761662727"/>
  </r>
  <r>
    <x v="507"/>
    <d v="2026-08-23T00:00:00"/>
    <x v="217"/>
    <x v="6"/>
    <x v="1"/>
    <x v="7"/>
    <n v="4"/>
    <n v="2415.0300000000002"/>
    <n v="0.05"/>
    <n v="9177.11"/>
    <n v="7648.18"/>
    <n v="1528.93"/>
    <x v="0"/>
    <x v="1"/>
    <x v="0"/>
    <x v="6"/>
    <x v="0"/>
    <n v="0.16660255788587039"/>
  </r>
  <r>
    <x v="508"/>
    <d v="2025-06-07T00:00:00"/>
    <x v="314"/>
    <x v="3"/>
    <x v="0"/>
    <x v="17"/>
    <n v="3"/>
    <n v="2420.33"/>
    <n v="0.15"/>
    <n v="6171.84"/>
    <n v="3808.23"/>
    <n v="2363.61"/>
    <x v="0"/>
    <x v="3"/>
    <x v="1"/>
    <x v="10"/>
    <x v="1"/>
    <n v="0.38296682998911186"/>
  </r>
  <r>
    <x v="509"/>
    <d v="2025-12-23T00:00:00"/>
    <x v="158"/>
    <x v="9"/>
    <x v="1"/>
    <x v="12"/>
    <n v="2"/>
    <n v="2424.4"/>
    <n v="0.15"/>
    <n v="4121.4799999999996"/>
    <n v="2968.23"/>
    <n v="1153.25"/>
    <x v="1"/>
    <x v="2"/>
    <x v="1"/>
    <x v="7"/>
    <x v="1"/>
    <n v="0.2798145326436135"/>
  </r>
  <r>
    <x v="510"/>
    <d v="2026-07-18T00:00:00"/>
    <x v="75"/>
    <x v="1"/>
    <x v="1"/>
    <x v="16"/>
    <n v="5"/>
    <n v="2428.8200000000002"/>
    <n v="0"/>
    <n v="12144.1"/>
    <n v="7832.82"/>
    <n v="4311.28"/>
    <x v="1"/>
    <x v="1"/>
    <x v="1"/>
    <x v="2"/>
    <x v="0"/>
    <n v="0.35501025189186514"/>
  </r>
  <r>
    <x v="511"/>
    <d v="2026-07-20T00:00:00"/>
    <x v="315"/>
    <x v="0"/>
    <x v="2"/>
    <x v="14"/>
    <n v="3"/>
    <n v="2440.98"/>
    <n v="0.15"/>
    <n v="6224.5"/>
    <n v="4855.6400000000003"/>
    <n v="1368.86"/>
    <x v="1"/>
    <x v="2"/>
    <x v="0"/>
    <x v="2"/>
    <x v="0"/>
    <n v="0.21991485259860227"/>
  </r>
  <r>
    <x v="512"/>
    <d v="2026-02-12T00:00:00"/>
    <x v="316"/>
    <x v="8"/>
    <x v="0"/>
    <x v="1"/>
    <n v="5"/>
    <n v="2443.2399999999998"/>
    <n v="0"/>
    <n v="12216.2"/>
    <n v="8284.2099999999991"/>
    <n v="3931.99"/>
    <x v="0"/>
    <x v="1"/>
    <x v="0"/>
    <x v="1"/>
    <x v="0"/>
    <n v="0.32186686530999814"/>
  </r>
  <r>
    <x v="513"/>
    <d v="2026-07-03T00:00:00"/>
    <x v="317"/>
    <x v="8"/>
    <x v="2"/>
    <x v="19"/>
    <n v="2"/>
    <n v="2447.2800000000002"/>
    <n v="0"/>
    <n v="4894.5600000000004"/>
    <n v="3389.38"/>
    <n v="1505.18"/>
    <x v="1"/>
    <x v="1"/>
    <x v="0"/>
    <x v="2"/>
    <x v="0"/>
    <n v="0.30752100290935241"/>
  </r>
  <r>
    <x v="514"/>
    <d v="2025-12-05T00:00:00"/>
    <x v="318"/>
    <x v="4"/>
    <x v="0"/>
    <x v="0"/>
    <n v="5"/>
    <n v="2455.7600000000002"/>
    <n v="0"/>
    <n v="12278.8"/>
    <n v="9189.89"/>
    <n v="3088.91"/>
    <x v="0"/>
    <x v="1"/>
    <x v="1"/>
    <x v="7"/>
    <x v="1"/>
    <n v="0.25156448512883994"/>
  </r>
  <r>
    <x v="515"/>
    <d v="2025-10-01T00:00:00"/>
    <x v="102"/>
    <x v="2"/>
    <x v="0"/>
    <x v="1"/>
    <n v="1"/>
    <n v="2461.6799999999998"/>
    <n v="0.1"/>
    <n v="2215.5100000000002"/>
    <n v="1397"/>
    <n v="818.51"/>
    <x v="1"/>
    <x v="2"/>
    <x v="1"/>
    <x v="11"/>
    <x v="1"/>
    <n v="0.36944540986048358"/>
  </r>
  <r>
    <x v="516"/>
    <d v="2025-06-10T00:00:00"/>
    <x v="135"/>
    <x v="8"/>
    <x v="2"/>
    <x v="13"/>
    <n v="3"/>
    <n v="2461.7399999999998"/>
    <n v="0.15"/>
    <n v="6277.44"/>
    <n v="4646.3"/>
    <n v="1631.14"/>
    <x v="0"/>
    <x v="3"/>
    <x v="1"/>
    <x v="10"/>
    <x v="1"/>
    <n v="0.25984159147678038"/>
  </r>
  <r>
    <x v="517"/>
    <d v="2025-10-15T00:00:00"/>
    <x v="319"/>
    <x v="9"/>
    <x v="3"/>
    <x v="8"/>
    <n v="2"/>
    <n v="2462.0100000000002"/>
    <n v="0.2"/>
    <n v="3939.22"/>
    <n v="2762.8"/>
    <n v="1176.42"/>
    <x v="0"/>
    <x v="3"/>
    <x v="0"/>
    <x v="11"/>
    <x v="1"/>
    <n v="0.2986428785394063"/>
  </r>
  <r>
    <x v="518"/>
    <d v="2025-01-05T00:00:00"/>
    <x v="69"/>
    <x v="4"/>
    <x v="3"/>
    <x v="6"/>
    <n v="3"/>
    <n v="2467.96"/>
    <n v="0.2"/>
    <n v="5923.1"/>
    <n v="3676"/>
    <n v="2247.1"/>
    <x v="0"/>
    <x v="3"/>
    <x v="1"/>
    <x v="9"/>
    <x v="1"/>
    <n v="0.37937904138035822"/>
  </r>
  <r>
    <x v="519"/>
    <d v="2025-12-27T00:00:00"/>
    <x v="5"/>
    <x v="6"/>
    <x v="3"/>
    <x v="10"/>
    <n v="4"/>
    <n v="2473.81"/>
    <n v="0.1"/>
    <n v="8905.7199999999993"/>
    <n v="6630.27"/>
    <n v="2275.4499999999998"/>
    <x v="0"/>
    <x v="3"/>
    <x v="0"/>
    <x v="7"/>
    <x v="1"/>
    <n v="0.25550432755577313"/>
  </r>
  <r>
    <x v="520"/>
    <d v="2026-05-24T00:00:00"/>
    <x v="320"/>
    <x v="0"/>
    <x v="3"/>
    <x v="5"/>
    <n v="3"/>
    <n v="2474.4499999999998"/>
    <n v="0.15"/>
    <n v="6309.85"/>
    <n v="5317.66"/>
    <n v="992.19"/>
    <x v="1"/>
    <x v="2"/>
    <x v="1"/>
    <x v="5"/>
    <x v="0"/>
    <n v="0.15724462546653248"/>
  </r>
  <r>
    <x v="521"/>
    <d v="2026-04-03T00:00:00"/>
    <x v="39"/>
    <x v="2"/>
    <x v="3"/>
    <x v="6"/>
    <n v="6"/>
    <n v="2477.37"/>
    <n v="0.1"/>
    <n v="13377.8"/>
    <n v="8589.36"/>
    <n v="4788.4399999999996"/>
    <x v="1"/>
    <x v="1"/>
    <x v="1"/>
    <x v="8"/>
    <x v="0"/>
    <n v="0.35793927252612534"/>
  </r>
  <r>
    <x v="522"/>
    <d v="2026-04-24T00:00:00"/>
    <x v="321"/>
    <x v="0"/>
    <x v="3"/>
    <x v="6"/>
    <n v="4"/>
    <n v="2500.3200000000002"/>
    <n v="0.2"/>
    <n v="8001.02"/>
    <n v="6093.89"/>
    <n v="1907.13"/>
    <x v="0"/>
    <x v="3"/>
    <x v="1"/>
    <x v="8"/>
    <x v="0"/>
    <n v="0.23836085899047871"/>
  </r>
  <r>
    <x v="523"/>
    <d v="2026-03-02T00:00:00"/>
    <x v="37"/>
    <x v="10"/>
    <x v="3"/>
    <x v="10"/>
    <n v="1"/>
    <n v="2506.1999999999998"/>
    <n v="0.2"/>
    <n v="2004.96"/>
    <n v="1384.42"/>
    <n v="620.54"/>
    <x v="1"/>
    <x v="2"/>
    <x v="1"/>
    <x v="0"/>
    <x v="0"/>
    <n v="0.30950243396376981"/>
  </r>
  <r>
    <x v="524"/>
    <d v="2025-12-18T00:00:00"/>
    <x v="122"/>
    <x v="5"/>
    <x v="1"/>
    <x v="18"/>
    <n v="6"/>
    <n v="2507.5300000000002"/>
    <n v="0.1"/>
    <n v="13540.66"/>
    <n v="8434.07"/>
    <n v="5106.59"/>
    <x v="1"/>
    <x v="2"/>
    <x v="1"/>
    <x v="7"/>
    <x v="1"/>
    <n v="0.37713006603813998"/>
  </r>
  <r>
    <x v="525"/>
    <d v="2025-07-31T00:00:00"/>
    <x v="152"/>
    <x v="7"/>
    <x v="2"/>
    <x v="3"/>
    <n v="4"/>
    <n v="2515.33"/>
    <n v="0.1"/>
    <n v="9055.19"/>
    <n v="5166.05"/>
    <n v="3889.14"/>
    <x v="1"/>
    <x v="1"/>
    <x v="1"/>
    <x v="2"/>
    <x v="1"/>
    <n v="0.42949292063446481"/>
  </r>
  <r>
    <x v="526"/>
    <d v="2025-09-10T00:00:00"/>
    <x v="45"/>
    <x v="2"/>
    <x v="0"/>
    <x v="9"/>
    <n v="6"/>
    <n v="2517.63"/>
    <n v="0.05"/>
    <n v="14350.49"/>
    <n v="11179.41"/>
    <n v="3171.08"/>
    <x v="1"/>
    <x v="3"/>
    <x v="0"/>
    <x v="4"/>
    <x v="1"/>
    <n v="0.22097363922765006"/>
  </r>
  <r>
    <x v="527"/>
    <d v="2025-12-01T00:00:00"/>
    <x v="143"/>
    <x v="3"/>
    <x v="1"/>
    <x v="18"/>
    <n v="1"/>
    <n v="2526.02"/>
    <n v="0.2"/>
    <n v="2020.82"/>
    <n v="1529.53"/>
    <n v="491.29"/>
    <x v="0"/>
    <x v="2"/>
    <x v="1"/>
    <x v="7"/>
    <x v="1"/>
    <n v="0.24311418137191834"/>
  </r>
  <r>
    <x v="528"/>
    <d v="2025-04-06T00:00:00"/>
    <x v="322"/>
    <x v="1"/>
    <x v="2"/>
    <x v="19"/>
    <n v="6"/>
    <n v="2526.2800000000002"/>
    <n v="0.05"/>
    <n v="14399.8"/>
    <n v="10776.87"/>
    <n v="3622.93"/>
    <x v="1"/>
    <x v="0"/>
    <x v="0"/>
    <x v="8"/>
    <x v="1"/>
    <n v="0.25159585549799302"/>
  </r>
  <r>
    <x v="529"/>
    <d v="2026-01-03T00:00:00"/>
    <x v="323"/>
    <x v="5"/>
    <x v="3"/>
    <x v="4"/>
    <n v="6"/>
    <n v="2528.75"/>
    <n v="0.1"/>
    <n v="13655.25"/>
    <n v="11233.34"/>
    <n v="2421.91"/>
    <x v="0"/>
    <x v="3"/>
    <x v="1"/>
    <x v="9"/>
    <x v="0"/>
    <n v="0.17736108822614011"/>
  </r>
  <r>
    <x v="530"/>
    <d v="2026-07-21T00:00:00"/>
    <x v="324"/>
    <x v="1"/>
    <x v="2"/>
    <x v="15"/>
    <n v="6"/>
    <n v="2529.13"/>
    <n v="0"/>
    <n v="15174.78"/>
    <n v="9646.08"/>
    <n v="5528.7"/>
    <x v="1"/>
    <x v="0"/>
    <x v="0"/>
    <x v="2"/>
    <x v="0"/>
    <n v="0.364334771245448"/>
  </r>
  <r>
    <x v="531"/>
    <d v="2025-03-09T00:00:00"/>
    <x v="76"/>
    <x v="2"/>
    <x v="3"/>
    <x v="6"/>
    <n v="1"/>
    <n v="2532.73"/>
    <n v="0.1"/>
    <n v="2279.46"/>
    <n v="1740.85"/>
    <n v="538.61"/>
    <x v="0"/>
    <x v="3"/>
    <x v="1"/>
    <x v="0"/>
    <x v="1"/>
    <n v="0.23628841918700044"/>
  </r>
  <r>
    <x v="532"/>
    <d v="2026-08-01T00:00:00"/>
    <x v="290"/>
    <x v="7"/>
    <x v="1"/>
    <x v="7"/>
    <n v="4"/>
    <n v="2541.06"/>
    <n v="0"/>
    <n v="10164.24"/>
    <n v="5975.7"/>
    <n v="4188.54"/>
    <x v="0"/>
    <x v="0"/>
    <x v="1"/>
    <x v="6"/>
    <x v="0"/>
    <n v="0.41208590115935873"/>
  </r>
  <r>
    <x v="533"/>
    <d v="2026-01-26T00:00:00"/>
    <x v="116"/>
    <x v="4"/>
    <x v="1"/>
    <x v="12"/>
    <n v="3"/>
    <n v="2548.9499999999998"/>
    <n v="0.15"/>
    <n v="6499.82"/>
    <n v="4537.76"/>
    <n v="1962.06"/>
    <x v="0"/>
    <x v="1"/>
    <x v="1"/>
    <x v="9"/>
    <x v="0"/>
    <n v="0.3018637439190624"/>
  </r>
  <r>
    <x v="534"/>
    <d v="2025-07-16T00:00:00"/>
    <x v="179"/>
    <x v="9"/>
    <x v="2"/>
    <x v="15"/>
    <n v="6"/>
    <n v="2550.9499999999998"/>
    <n v="0.05"/>
    <n v="14540.41"/>
    <n v="10611.59"/>
    <n v="3928.82"/>
    <x v="1"/>
    <x v="1"/>
    <x v="0"/>
    <x v="2"/>
    <x v="1"/>
    <n v="0.2702000837665513"/>
  </r>
  <r>
    <x v="535"/>
    <d v="2026-07-27T00:00:00"/>
    <x v="325"/>
    <x v="1"/>
    <x v="2"/>
    <x v="14"/>
    <n v="5"/>
    <n v="2555.11"/>
    <n v="0.2"/>
    <n v="10220.44"/>
    <n v="8468.58"/>
    <n v="1751.86"/>
    <x v="1"/>
    <x v="3"/>
    <x v="1"/>
    <x v="2"/>
    <x v="0"/>
    <n v="0.17140749321946999"/>
  </r>
  <r>
    <x v="536"/>
    <d v="2025-11-27T00:00:00"/>
    <x v="301"/>
    <x v="6"/>
    <x v="2"/>
    <x v="15"/>
    <n v="3"/>
    <n v="2555.38"/>
    <n v="0.15"/>
    <n v="6516.22"/>
    <n v="4948.67"/>
    <n v="1567.55"/>
    <x v="1"/>
    <x v="3"/>
    <x v="1"/>
    <x v="3"/>
    <x v="1"/>
    <n v="0.24056124563013526"/>
  </r>
  <r>
    <x v="537"/>
    <d v="2025-11-06T00:00:00"/>
    <x v="326"/>
    <x v="1"/>
    <x v="2"/>
    <x v="15"/>
    <n v="3"/>
    <n v="2561.75"/>
    <n v="0.1"/>
    <n v="6916.73"/>
    <n v="5555"/>
    <n v="1361.73"/>
    <x v="0"/>
    <x v="2"/>
    <x v="1"/>
    <x v="3"/>
    <x v="1"/>
    <n v="0.19687482379679416"/>
  </r>
  <r>
    <x v="538"/>
    <d v="2025-09-07T00:00:00"/>
    <x v="327"/>
    <x v="3"/>
    <x v="3"/>
    <x v="6"/>
    <n v="4"/>
    <n v="2564.77"/>
    <n v="0.1"/>
    <n v="9233.17"/>
    <n v="5724.32"/>
    <n v="3508.85"/>
    <x v="0"/>
    <x v="0"/>
    <x v="0"/>
    <x v="4"/>
    <x v="1"/>
    <n v="0.38002657808748241"/>
  </r>
  <r>
    <x v="539"/>
    <d v="2026-06-09T00:00:00"/>
    <x v="305"/>
    <x v="7"/>
    <x v="1"/>
    <x v="7"/>
    <n v="4"/>
    <n v="2579.7399999999998"/>
    <n v="0"/>
    <n v="10318.959999999999"/>
    <n v="7035.95"/>
    <n v="3283.01"/>
    <x v="1"/>
    <x v="1"/>
    <x v="1"/>
    <x v="10"/>
    <x v="0"/>
    <n v="0.31815318597998254"/>
  </r>
  <r>
    <x v="540"/>
    <d v="2026-03-15T00:00:00"/>
    <x v="328"/>
    <x v="2"/>
    <x v="3"/>
    <x v="8"/>
    <n v="5"/>
    <n v="2580.52"/>
    <n v="0"/>
    <n v="12902.6"/>
    <n v="10896.2"/>
    <n v="2006.4"/>
    <x v="1"/>
    <x v="3"/>
    <x v="0"/>
    <x v="0"/>
    <x v="0"/>
    <n v="0.1555035419217832"/>
  </r>
  <r>
    <x v="541"/>
    <d v="2025-04-02T00:00:00"/>
    <x v="205"/>
    <x v="4"/>
    <x v="2"/>
    <x v="15"/>
    <n v="2"/>
    <n v="2580.6"/>
    <n v="0.15"/>
    <n v="4387.0200000000004"/>
    <n v="3470.06"/>
    <n v="916.96"/>
    <x v="0"/>
    <x v="3"/>
    <x v="1"/>
    <x v="8"/>
    <x v="1"/>
    <n v="0.20901659896695249"/>
  </r>
  <r>
    <x v="542"/>
    <d v="2025-02-22T00:00:00"/>
    <x v="10"/>
    <x v="9"/>
    <x v="2"/>
    <x v="19"/>
    <n v="5"/>
    <n v="2581.0500000000002"/>
    <n v="0"/>
    <n v="12905.25"/>
    <n v="9221.31"/>
    <n v="3683.94"/>
    <x v="1"/>
    <x v="3"/>
    <x v="1"/>
    <x v="1"/>
    <x v="1"/>
    <n v="0.28546056837333644"/>
  </r>
  <r>
    <x v="543"/>
    <d v="2025-06-19T00:00:00"/>
    <x v="275"/>
    <x v="7"/>
    <x v="0"/>
    <x v="9"/>
    <n v="5"/>
    <n v="2592.61"/>
    <n v="0"/>
    <n v="12963.05"/>
    <n v="9805.26"/>
    <n v="3157.79"/>
    <x v="1"/>
    <x v="0"/>
    <x v="0"/>
    <x v="10"/>
    <x v="1"/>
    <n v="0.2435993072617941"/>
  </r>
  <r>
    <x v="544"/>
    <d v="2025-05-28T00:00:00"/>
    <x v="329"/>
    <x v="7"/>
    <x v="1"/>
    <x v="16"/>
    <n v="1"/>
    <n v="2597.3200000000002"/>
    <n v="0"/>
    <n v="2597.3200000000002"/>
    <n v="1856.8"/>
    <n v="740.52"/>
    <x v="1"/>
    <x v="0"/>
    <x v="1"/>
    <x v="5"/>
    <x v="1"/>
    <n v="0.28510926647467388"/>
  </r>
  <r>
    <x v="545"/>
    <d v="2025-04-30T00:00:00"/>
    <x v="330"/>
    <x v="6"/>
    <x v="3"/>
    <x v="6"/>
    <n v="4"/>
    <n v="2599.5700000000002"/>
    <n v="0"/>
    <n v="10398.280000000001"/>
    <n v="8752.23"/>
    <n v="1646.05"/>
    <x v="1"/>
    <x v="3"/>
    <x v="1"/>
    <x v="8"/>
    <x v="1"/>
    <n v="0.1583002188823536"/>
  </r>
  <r>
    <x v="546"/>
    <d v="2026-03-31T00:00:00"/>
    <x v="231"/>
    <x v="6"/>
    <x v="2"/>
    <x v="19"/>
    <n v="1"/>
    <n v="2611.1999999999998"/>
    <n v="0.1"/>
    <n v="2350.08"/>
    <n v="1899.01"/>
    <n v="451.07"/>
    <x v="1"/>
    <x v="0"/>
    <x v="1"/>
    <x v="0"/>
    <x v="0"/>
    <n v="0.19193814678649238"/>
  </r>
  <r>
    <x v="547"/>
    <d v="2026-05-10T00:00:00"/>
    <x v="188"/>
    <x v="6"/>
    <x v="3"/>
    <x v="8"/>
    <n v="2"/>
    <n v="2612.64"/>
    <n v="0.1"/>
    <n v="4702.75"/>
    <n v="3125.16"/>
    <n v="1577.59"/>
    <x v="0"/>
    <x v="1"/>
    <x v="1"/>
    <x v="5"/>
    <x v="0"/>
    <n v="0.33546116633884426"/>
  </r>
  <r>
    <x v="548"/>
    <d v="2026-04-08T00:00:00"/>
    <x v="66"/>
    <x v="1"/>
    <x v="2"/>
    <x v="15"/>
    <n v="6"/>
    <n v="2616.75"/>
    <n v="0"/>
    <n v="15700.5"/>
    <n v="12314.87"/>
    <n v="3385.63"/>
    <x v="0"/>
    <x v="0"/>
    <x v="1"/>
    <x v="8"/>
    <x v="0"/>
    <n v="0.21563835546638643"/>
  </r>
  <r>
    <x v="549"/>
    <d v="2026-06-02T00:00:00"/>
    <x v="182"/>
    <x v="0"/>
    <x v="1"/>
    <x v="18"/>
    <n v="4"/>
    <n v="2620.3000000000002"/>
    <n v="0.05"/>
    <n v="9957.14"/>
    <n v="7937.07"/>
    <n v="2020.07"/>
    <x v="1"/>
    <x v="0"/>
    <x v="1"/>
    <x v="10"/>
    <x v="0"/>
    <n v="0.2028765288024473"/>
  </r>
  <r>
    <x v="550"/>
    <d v="2025-08-24T00:00:00"/>
    <x v="331"/>
    <x v="1"/>
    <x v="0"/>
    <x v="11"/>
    <n v="2"/>
    <n v="2629.74"/>
    <n v="0.2"/>
    <n v="4207.58"/>
    <n v="2873.44"/>
    <n v="1334.14"/>
    <x v="1"/>
    <x v="2"/>
    <x v="0"/>
    <x v="6"/>
    <x v="1"/>
    <n v="0.31708012681874143"/>
  </r>
  <r>
    <x v="551"/>
    <d v="2026-03-23T00:00:00"/>
    <x v="158"/>
    <x v="9"/>
    <x v="0"/>
    <x v="9"/>
    <n v="4"/>
    <n v="2634.83"/>
    <n v="0"/>
    <n v="10539.32"/>
    <n v="7664.42"/>
    <n v="2874.9"/>
    <x v="0"/>
    <x v="3"/>
    <x v="1"/>
    <x v="0"/>
    <x v="0"/>
    <n v="0.27277850942945087"/>
  </r>
  <r>
    <x v="552"/>
    <d v="2026-02-19T00:00:00"/>
    <x v="332"/>
    <x v="1"/>
    <x v="1"/>
    <x v="2"/>
    <n v="3"/>
    <n v="2637.06"/>
    <n v="0.1"/>
    <n v="7120.06"/>
    <n v="4514.79"/>
    <n v="2605.27"/>
    <x v="0"/>
    <x v="0"/>
    <x v="0"/>
    <x v="1"/>
    <x v="0"/>
    <n v="0.36590562439080565"/>
  </r>
  <r>
    <x v="553"/>
    <d v="2025-01-03T00:00:00"/>
    <x v="333"/>
    <x v="3"/>
    <x v="2"/>
    <x v="14"/>
    <n v="4"/>
    <n v="2637.57"/>
    <n v="0.1"/>
    <n v="9495.25"/>
    <n v="7506.27"/>
    <n v="1988.98"/>
    <x v="1"/>
    <x v="3"/>
    <x v="1"/>
    <x v="9"/>
    <x v="1"/>
    <n v="0.20947105131513125"/>
  </r>
  <r>
    <x v="554"/>
    <d v="2025-08-09T00:00:00"/>
    <x v="76"/>
    <x v="3"/>
    <x v="1"/>
    <x v="12"/>
    <n v="3"/>
    <n v="2638.17"/>
    <n v="0.1"/>
    <n v="7123.06"/>
    <n v="5451.18"/>
    <n v="1671.88"/>
    <x v="0"/>
    <x v="3"/>
    <x v="1"/>
    <x v="6"/>
    <x v="1"/>
    <n v="0.23471373258122211"/>
  </r>
  <r>
    <x v="555"/>
    <d v="2025-01-31T00:00:00"/>
    <x v="4"/>
    <x v="1"/>
    <x v="1"/>
    <x v="7"/>
    <n v="1"/>
    <n v="2647.62"/>
    <n v="0.2"/>
    <n v="2118.1"/>
    <n v="1740.14"/>
    <n v="377.96"/>
    <x v="0"/>
    <x v="0"/>
    <x v="1"/>
    <x v="9"/>
    <x v="1"/>
    <n v="0.17844294414805723"/>
  </r>
  <r>
    <x v="556"/>
    <d v="2025-08-22T00:00:00"/>
    <x v="3"/>
    <x v="2"/>
    <x v="0"/>
    <x v="11"/>
    <n v="2"/>
    <n v="2653.48"/>
    <n v="0.2"/>
    <n v="4245.57"/>
    <n v="2779"/>
    <n v="1466.57"/>
    <x v="0"/>
    <x v="2"/>
    <x v="1"/>
    <x v="6"/>
    <x v="1"/>
    <n v="0.34543535968079669"/>
  </r>
  <r>
    <x v="557"/>
    <d v="2025-01-19T00:00:00"/>
    <x v="334"/>
    <x v="5"/>
    <x v="1"/>
    <x v="2"/>
    <n v="1"/>
    <n v="2653.55"/>
    <n v="0.1"/>
    <n v="2388.1999999999998"/>
    <n v="1761.27"/>
    <n v="626.92999999999995"/>
    <x v="1"/>
    <x v="2"/>
    <x v="0"/>
    <x v="9"/>
    <x v="1"/>
    <n v="0.26251151494849678"/>
  </r>
  <r>
    <x v="558"/>
    <d v="2025-06-30T00:00:00"/>
    <x v="335"/>
    <x v="8"/>
    <x v="0"/>
    <x v="17"/>
    <n v="1"/>
    <n v="2661.67"/>
    <n v="0.05"/>
    <n v="2528.59"/>
    <n v="1390.94"/>
    <n v="1137.6500000000001"/>
    <x v="1"/>
    <x v="2"/>
    <x v="1"/>
    <x v="10"/>
    <x v="1"/>
    <n v="0.44991477463724844"/>
  </r>
  <r>
    <x v="559"/>
    <d v="2026-03-14T00:00:00"/>
    <x v="27"/>
    <x v="5"/>
    <x v="1"/>
    <x v="18"/>
    <n v="3"/>
    <n v="2666.52"/>
    <n v="0"/>
    <n v="7999.56"/>
    <n v="4467.38"/>
    <n v="3532.18"/>
    <x v="0"/>
    <x v="2"/>
    <x v="1"/>
    <x v="0"/>
    <x v="0"/>
    <n v="0.44154678507317896"/>
  </r>
  <r>
    <x v="560"/>
    <d v="2025-04-02T00:00:00"/>
    <x v="142"/>
    <x v="3"/>
    <x v="2"/>
    <x v="15"/>
    <n v="2"/>
    <n v="2666.89"/>
    <n v="0.15"/>
    <n v="4533.71"/>
    <n v="3296.17"/>
    <n v="1237.54"/>
    <x v="1"/>
    <x v="1"/>
    <x v="1"/>
    <x v="8"/>
    <x v="1"/>
    <n v="0.27296408460179411"/>
  </r>
  <r>
    <x v="561"/>
    <d v="2025-04-07T00:00:00"/>
    <x v="100"/>
    <x v="6"/>
    <x v="1"/>
    <x v="7"/>
    <n v="5"/>
    <n v="2667.28"/>
    <n v="0.15"/>
    <n v="11335.94"/>
    <n v="7494.29"/>
    <n v="3841.65"/>
    <x v="0"/>
    <x v="1"/>
    <x v="1"/>
    <x v="8"/>
    <x v="1"/>
    <n v="0.33889117267734303"/>
  </r>
  <r>
    <x v="562"/>
    <d v="2025-08-12T00:00:00"/>
    <x v="143"/>
    <x v="9"/>
    <x v="0"/>
    <x v="0"/>
    <n v="2"/>
    <n v="2667.87"/>
    <n v="0.15"/>
    <n v="4535.38"/>
    <n v="3695.38"/>
    <n v="840"/>
    <x v="1"/>
    <x v="0"/>
    <x v="1"/>
    <x v="6"/>
    <x v="1"/>
    <n v="0.18521050055342661"/>
  </r>
  <r>
    <x v="563"/>
    <d v="2026-07-12T00:00:00"/>
    <x v="257"/>
    <x v="7"/>
    <x v="3"/>
    <x v="6"/>
    <n v="3"/>
    <n v="2668.45"/>
    <n v="0.1"/>
    <n v="7204.81"/>
    <n v="4270.09"/>
    <n v="2934.72"/>
    <x v="1"/>
    <x v="2"/>
    <x v="1"/>
    <x v="2"/>
    <x v="0"/>
    <n v="0.40732788234526651"/>
  </r>
  <r>
    <x v="564"/>
    <d v="2026-04-24T00:00:00"/>
    <x v="278"/>
    <x v="7"/>
    <x v="2"/>
    <x v="19"/>
    <n v="6"/>
    <n v="2678.25"/>
    <n v="0.15"/>
    <n v="13659.07"/>
    <n v="10358.42"/>
    <n v="3300.65"/>
    <x v="1"/>
    <x v="0"/>
    <x v="0"/>
    <x v="8"/>
    <x v="0"/>
    <n v="0.24164529503106727"/>
  </r>
  <r>
    <x v="565"/>
    <d v="2026-07-29T00:00:00"/>
    <x v="118"/>
    <x v="1"/>
    <x v="0"/>
    <x v="9"/>
    <n v="1"/>
    <n v="2681.19"/>
    <n v="0.2"/>
    <n v="2144.9499999999998"/>
    <n v="1778.01"/>
    <n v="366.94"/>
    <x v="1"/>
    <x v="2"/>
    <x v="0"/>
    <x v="2"/>
    <x v="0"/>
    <n v="0.17107158675027392"/>
  </r>
  <r>
    <x v="566"/>
    <d v="2025-06-01T00:00:00"/>
    <x v="176"/>
    <x v="7"/>
    <x v="2"/>
    <x v="14"/>
    <n v="6"/>
    <n v="2705.56"/>
    <n v="0"/>
    <n v="16233.36"/>
    <n v="13050.27"/>
    <n v="3183.09"/>
    <x v="1"/>
    <x v="3"/>
    <x v="1"/>
    <x v="10"/>
    <x v="1"/>
    <n v="0.19608325078726771"/>
  </r>
  <r>
    <x v="567"/>
    <d v="2025-11-12T00:00:00"/>
    <x v="336"/>
    <x v="4"/>
    <x v="3"/>
    <x v="5"/>
    <n v="5"/>
    <n v="2709.28"/>
    <n v="0"/>
    <n v="13546.4"/>
    <n v="7882.48"/>
    <n v="5663.92"/>
    <x v="1"/>
    <x v="2"/>
    <x v="1"/>
    <x v="3"/>
    <x v="1"/>
    <n v="0.41811256127089119"/>
  </r>
  <r>
    <x v="568"/>
    <d v="2025-02-28T00:00:00"/>
    <x v="248"/>
    <x v="9"/>
    <x v="1"/>
    <x v="18"/>
    <n v="4"/>
    <n v="2711.42"/>
    <n v="0.1"/>
    <n v="9761.11"/>
    <n v="8293.15"/>
    <n v="1467.96"/>
    <x v="0"/>
    <x v="0"/>
    <x v="1"/>
    <x v="1"/>
    <x v="1"/>
    <n v="0.1503886340795258"/>
  </r>
  <r>
    <x v="569"/>
    <d v="2026-02-15T00:00:00"/>
    <x v="46"/>
    <x v="7"/>
    <x v="1"/>
    <x v="16"/>
    <n v="1"/>
    <n v="2711.67"/>
    <n v="0"/>
    <n v="2711.67"/>
    <n v="1877.21"/>
    <n v="834.46"/>
    <x v="1"/>
    <x v="3"/>
    <x v="0"/>
    <x v="1"/>
    <x v="0"/>
    <n v="0.30772918533597377"/>
  </r>
  <r>
    <x v="570"/>
    <d v="2026-04-05T00:00:00"/>
    <x v="234"/>
    <x v="4"/>
    <x v="3"/>
    <x v="5"/>
    <n v="6"/>
    <n v="2715.37"/>
    <n v="0.05"/>
    <n v="15477.61"/>
    <n v="8998.7900000000009"/>
    <n v="6478.82"/>
    <x v="0"/>
    <x v="0"/>
    <x v="1"/>
    <x v="8"/>
    <x v="0"/>
    <n v="0.41859305151118287"/>
  </r>
  <r>
    <x v="571"/>
    <d v="2025-07-24T00:00:00"/>
    <x v="337"/>
    <x v="5"/>
    <x v="3"/>
    <x v="4"/>
    <n v="2"/>
    <n v="2719.88"/>
    <n v="0.1"/>
    <n v="4895.78"/>
    <n v="3728.71"/>
    <n v="1167.07"/>
    <x v="1"/>
    <x v="1"/>
    <x v="1"/>
    <x v="2"/>
    <x v="1"/>
    <n v="0.23838285217064492"/>
  </r>
  <r>
    <x v="572"/>
    <d v="2026-05-10T00:00:00"/>
    <x v="338"/>
    <x v="3"/>
    <x v="2"/>
    <x v="14"/>
    <n v="3"/>
    <n v="2722.45"/>
    <n v="0.15"/>
    <n v="6942.25"/>
    <n v="5327.36"/>
    <n v="1614.89"/>
    <x v="1"/>
    <x v="3"/>
    <x v="1"/>
    <x v="5"/>
    <x v="0"/>
    <n v="0.23261766718282978"/>
  </r>
  <r>
    <x v="573"/>
    <d v="2025-06-01T00:00:00"/>
    <x v="339"/>
    <x v="3"/>
    <x v="3"/>
    <x v="5"/>
    <n v="2"/>
    <n v="2731.9"/>
    <n v="0.05"/>
    <n v="5190.6099999999997"/>
    <n v="3488.29"/>
    <n v="1702.32"/>
    <x v="1"/>
    <x v="3"/>
    <x v="1"/>
    <x v="10"/>
    <x v="1"/>
    <n v="0.3279614534707867"/>
  </r>
  <r>
    <x v="574"/>
    <d v="2025-03-12T00:00:00"/>
    <x v="212"/>
    <x v="6"/>
    <x v="3"/>
    <x v="6"/>
    <n v="5"/>
    <n v="2735.78"/>
    <n v="0"/>
    <n v="13678.9"/>
    <n v="7708.48"/>
    <n v="5970.42"/>
    <x v="1"/>
    <x v="2"/>
    <x v="1"/>
    <x v="0"/>
    <x v="1"/>
    <n v="0.43646930674250123"/>
  </r>
  <r>
    <x v="575"/>
    <d v="2025-06-14T00:00:00"/>
    <x v="18"/>
    <x v="4"/>
    <x v="1"/>
    <x v="7"/>
    <n v="5"/>
    <n v="2743.28"/>
    <n v="0.15"/>
    <n v="11658.94"/>
    <n v="9362.0400000000009"/>
    <n v="2296.9"/>
    <x v="0"/>
    <x v="1"/>
    <x v="1"/>
    <x v="10"/>
    <x v="1"/>
    <n v="0.19700761818827439"/>
  </r>
  <r>
    <x v="576"/>
    <d v="2026-03-12T00:00:00"/>
    <x v="92"/>
    <x v="7"/>
    <x v="2"/>
    <x v="14"/>
    <n v="1"/>
    <n v="2743.88"/>
    <n v="0.1"/>
    <n v="2469.4899999999998"/>
    <n v="1709.99"/>
    <n v="759.5"/>
    <x v="1"/>
    <x v="3"/>
    <x v="1"/>
    <x v="0"/>
    <x v="0"/>
    <n v="0.3075533814674285"/>
  </r>
  <r>
    <x v="577"/>
    <d v="2025-10-17T00:00:00"/>
    <x v="257"/>
    <x v="9"/>
    <x v="2"/>
    <x v="15"/>
    <n v="4"/>
    <n v="2744.93"/>
    <n v="0"/>
    <n v="10979.72"/>
    <n v="8812.26"/>
    <n v="2167.46"/>
    <x v="1"/>
    <x v="2"/>
    <x v="1"/>
    <x v="11"/>
    <x v="1"/>
    <n v="0.19740576262418352"/>
  </r>
  <r>
    <x v="578"/>
    <d v="2026-02-03T00:00:00"/>
    <x v="130"/>
    <x v="8"/>
    <x v="0"/>
    <x v="0"/>
    <n v="1"/>
    <n v="2768.65"/>
    <n v="0"/>
    <n v="2768.65"/>
    <n v="1957.43"/>
    <n v="811.22"/>
    <x v="1"/>
    <x v="1"/>
    <x v="1"/>
    <x v="1"/>
    <x v="0"/>
    <n v="0.29300200458707309"/>
  </r>
  <r>
    <x v="579"/>
    <d v="2025-09-24T00:00:00"/>
    <x v="340"/>
    <x v="6"/>
    <x v="0"/>
    <x v="11"/>
    <n v="2"/>
    <n v="2769.17"/>
    <n v="0"/>
    <n v="5538.34"/>
    <n v="3250.57"/>
    <n v="2287.77"/>
    <x v="0"/>
    <x v="0"/>
    <x v="1"/>
    <x v="4"/>
    <x v="1"/>
    <n v="0.41307864811477807"/>
  </r>
  <r>
    <x v="580"/>
    <d v="2025-03-21T00:00:00"/>
    <x v="137"/>
    <x v="3"/>
    <x v="0"/>
    <x v="1"/>
    <n v="2"/>
    <n v="2775.07"/>
    <n v="0.15"/>
    <n v="4717.62"/>
    <n v="3681.38"/>
    <n v="1036.24"/>
    <x v="1"/>
    <x v="3"/>
    <x v="1"/>
    <x v="0"/>
    <x v="1"/>
    <n v="0.21965313018004842"/>
  </r>
  <r>
    <x v="581"/>
    <d v="2026-04-23T00:00:00"/>
    <x v="84"/>
    <x v="8"/>
    <x v="3"/>
    <x v="5"/>
    <n v="2"/>
    <n v="2775.19"/>
    <n v="0.1"/>
    <n v="4995.34"/>
    <n v="3567.22"/>
    <n v="1428.12"/>
    <x v="1"/>
    <x v="2"/>
    <x v="0"/>
    <x v="8"/>
    <x v="0"/>
    <n v="0.28589044989930612"/>
  </r>
  <r>
    <x v="582"/>
    <d v="2026-03-31T00:00:00"/>
    <x v="158"/>
    <x v="1"/>
    <x v="0"/>
    <x v="0"/>
    <n v="1"/>
    <n v="2778.76"/>
    <n v="0.1"/>
    <n v="2500.88"/>
    <n v="1797.96"/>
    <n v="702.92"/>
    <x v="0"/>
    <x v="1"/>
    <x v="1"/>
    <x v="0"/>
    <x v="0"/>
    <n v="0.28106906368958123"/>
  </r>
  <r>
    <x v="583"/>
    <d v="2025-03-16T00:00:00"/>
    <x v="341"/>
    <x v="0"/>
    <x v="0"/>
    <x v="9"/>
    <n v="5"/>
    <n v="2784.71"/>
    <n v="0.15"/>
    <n v="11835.02"/>
    <n v="9637.82"/>
    <n v="2197.1999999999998"/>
    <x v="0"/>
    <x v="0"/>
    <x v="1"/>
    <x v="0"/>
    <x v="1"/>
    <n v="0.18565241123377904"/>
  </r>
  <r>
    <x v="584"/>
    <d v="2025-06-18T00:00:00"/>
    <x v="195"/>
    <x v="0"/>
    <x v="0"/>
    <x v="0"/>
    <n v="5"/>
    <n v="2794.78"/>
    <n v="0.05"/>
    <n v="13275.2"/>
    <n v="9914.85"/>
    <n v="3360.35"/>
    <x v="1"/>
    <x v="0"/>
    <x v="0"/>
    <x v="10"/>
    <x v="1"/>
    <n v="0.25312989634807759"/>
  </r>
  <r>
    <x v="585"/>
    <d v="2025-08-03T00:00:00"/>
    <x v="342"/>
    <x v="2"/>
    <x v="1"/>
    <x v="18"/>
    <n v="5"/>
    <n v="2796.04"/>
    <n v="0"/>
    <n v="13980.2"/>
    <n v="8244.56"/>
    <n v="5735.64"/>
    <x v="1"/>
    <x v="3"/>
    <x v="1"/>
    <x v="6"/>
    <x v="1"/>
    <n v="0.41026880874379479"/>
  </r>
  <r>
    <x v="586"/>
    <d v="2026-04-18T00:00:00"/>
    <x v="20"/>
    <x v="0"/>
    <x v="1"/>
    <x v="18"/>
    <n v="6"/>
    <n v="2798.63"/>
    <n v="0.05"/>
    <n v="15952.19"/>
    <n v="12317.96"/>
    <n v="3634.23"/>
    <x v="1"/>
    <x v="2"/>
    <x v="1"/>
    <x v="8"/>
    <x v="0"/>
    <n v="0.22782013002603405"/>
  </r>
  <r>
    <x v="587"/>
    <d v="2025-05-17T00:00:00"/>
    <x v="60"/>
    <x v="8"/>
    <x v="1"/>
    <x v="12"/>
    <n v="3"/>
    <n v="2801.11"/>
    <n v="0"/>
    <n v="8403.33"/>
    <n v="6852.59"/>
    <n v="1550.74"/>
    <x v="0"/>
    <x v="0"/>
    <x v="1"/>
    <x v="5"/>
    <x v="1"/>
    <n v="0.18453874832953127"/>
  </r>
  <r>
    <x v="588"/>
    <d v="2025-08-08T00:00:00"/>
    <x v="343"/>
    <x v="5"/>
    <x v="1"/>
    <x v="18"/>
    <n v="3"/>
    <n v="2808.13"/>
    <n v="0.1"/>
    <n v="7581.95"/>
    <n v="5630.84"/>
    <n v="1951.11"/>
    <x v="1"/>
    <x v="1"/>
    <x v="1"/>
    <x v="6"/>
    <x v="1"/>
    <n v="0.25733617341185316"/>
  </r>
  <r>
    <x v="589"/>
    <d v="2025-01-30T00:00:00"/>
    <x v="94"/>
    <x v="7"/>
    <x v="1"/>
    <x v="2"/>
    <n v="1"/>
    <n v="2809.62"/>
    <n v="0.2"/>
    <n v="2247.6999999999998"/>
    <n v="1845.85"/>
    <n v="401.85"/>
    <x v="1"/>
    <x v="3"/>
    <x v="1"/>
    <x v="9"/>
    <x v="1"/>
    <n v="0.17878275570583266"/>
  </r>
  <r>
    <x v="590"/>
    <d v="2026-07-07T00:00:00"/>
    <x v="50"/>
    <x v="3"/>
    <x v="1"/>
    <x v="16"/>
    <n v="3"/>
    <n v="2811.51"/>
    <n v="0.15"/>
    <n v="7169.35"/>
    <n v="4386.75"/>
    <n v="2782.6"/>
    <x v="1"/>
    <x v="0"/>
    <x v="1"/>
    <x v="2"/>
    <x v="0"/>
    <n v="0.38812444642819777"/>
  </r>
  <r>
    <x v="591"/>
    <d v="2025-08-22T00:00:00"/>
    <x v="59"/>
    <x v="4"/>
    <x v="1"/>
    <x v="16"/>
    <n v="6"/>
    <n v="2811.82"/>
    <n v="0"/>
    <n v="16870.919999999998"/>
    <n v="11838.73"/>
    <n v="5032.1899999999996"/>
    <x v="1"/>
    <x v="2"/>
    <x v="1"/>
    <x v="6"/>
    <x v="1"/>
    <n v="0.29827596835264469"/>
  </r>
  <r>
    <x v="592"/>
    <d v="2026-07-13T00:00:00"/>
    <x v="43"/>
    <x v="1"/>
    <x v="3"/>
    <x v="8"/>
    <n v="2"/>
    <n v="2812.92"/>
    <n v="0.2"/>
    <n v="4500.67"/>
    <n v="2924.06"/>
    <n v="1576.61"/>
    <x v="0"/>
    <x v="2"/>
    <x v="1"/>
    <x v="2"/>
    <x v="0"/>
    <n v="0.35030562116307123"/>
  </r>
  <r>
    <x v="593"/>
    <d v="2026-04-18T00:00:00"/>
    <x v="37"/>
    <x v="5"/>
    <x v="1"/>
    <x v="16"/>
    <n v="3"/>
    <n v="2815.59"/>
    <n v="0.1"/>
    <n v="7602.09"/>
    <n v="6263.6"/>
    <n v="1338.49"/>
    <x v="0"/>
    <x v="2"/>
    <x v="1"/>
    <x v="8"/>
    <x v="0"/>
    <n v="0.17606868637440493"/>
  </r>
  <r>
    <x v="594"/>
    <d v="2025-07-18T00:00:00"/>
    <x v="143"/>
    <x v="7"/>
    <x v="2"/>
    <x v="14"/>
    <n v="5"/>
    <n v="2821.29"/>
    <n v="0"/>
    <n v="14106.45"/>
    <n v="10700.9"/>
    <n v="3405.55"/>
    <x v="1"/>
    <x v="2"/>
    <x v="1"/>
    <x v="2"/>
    <x v="1"/>
    <n v="0.24141793293138955"/>
  </r>
  <r>
    <x v="595"/>
    <d v="2026-02-18T00:00:00"/>
    <x v="344"/>
    <x v="8"/>
    <x v="1"/>
    <x v="12"/>
    <n v="2"/>
    <n v="2823.31"/>
    <n v="0.15"/>
    <n v="4799.63"/>
    <n v="3063.37"/>
    <n v="1736.26"/>
    <x v="1"/>
    <x v="1"/>
    <x v="0"/>
    <x v="1"/>
    <x v="0"/>
    <n v="0.36174871813035586"/>
  </r>
  <r>
    <x v="596"/>
    <d v="2026-06-27T00:00:00"/>
    <x v="345"/>
    <x v="7"/>
    <x v="2"/>
    <x v="13"/>
    <n v="3"/>
    <n v="2828.98"/>
    <n v="0.05"/>
    <n v="8062.59"/>
    <n v="6722.25"/>
    <n v="1340.34"/>
    <x v="0"/>
    <x v="1"/>
    <x v="1"/>
    <x v="10"/>
    <x v="0"/>
    <n v="0.16624186520708606"/>
  </r>
  <r>
    <x v="597"/>
    <d v="2026-01-08T00:00:00"/>
    <x v="346"/>
    <x v="9"/>
    <x v="1"/>
    <x v="2"/>
    <n v="4"/>
    <n v="2834.26"/>
    <n v="0.15"/>
    <n v="9636.48"/>
    <n v="6720.78"/>
    <n v="2915.7"/>
    <x v="1"/>
    <x v="0"/>
    <x v="1"/>
    <x v="9"/>
    <x v="0"/>
    <n v="0.30256898784618447"/>
  </r>
  <r>
    <x v="598"/>
    <d v="2025-08-09T00:00:00"/>
    <x v="311"/>
    <x v="7"/>
    <x v="2"/>
    <x v="3"/>
    <n v="3"/>
    <n v="2841.7"/>
    <n v="0.2"/>
    <n v="6820.08"/>
    <n v="4780.7700000000004"/>
    <n v="2039.31"/>
    <x v="0"/>
    <x v="3"/>
    <x v="1"/>
    <x v="6"/>
    <x v="1"/>
    <n v="0.299015554069747"/>
  </r>
  <r>
    <x v="599"/>
    <d v="2026-04-26T00:00:00"/>
    <x v="347"/>
    <x v="4"/>
    <x v="0"/>
    <x v="0"/>
    <n v="1"/>
    <n v="2842.82"/>
    <n v="0.1"/>
    <n v="2558.54"/>
    <n v="2103.02"/>
    <n v="455.52"/>
    <x v="1"/>
    <x v="0"/>
    <x v="1"/>
    <x v="8"/>
    <x v="0"/>
    <n v="0.17803903788879594"/>
  </r>
  <r>
    <x v="600"/>
    <d v="2025-10-21T00:00:00"/>
    <x v="348"/>
    <x v="6"/>
    <x v="3"/>
    <x v="8"/>
    <n v="4"/>
    <n v="2843.35"/>
    <n v="0.1"/>
    <n v="10236.06"/>
    <n v="6818.92"/>
    <n v="3417.14"/>
    <x v="1"/>
    <x v="1"/>
    <x v="1"/>
    <x v="11"/>
    <x v="1"/>
    <n v="0.33383352579019665"/>
  </r>
  <r>
    <x v="601"/>
    <d v="2025-07-27T00:00:00"/>
    <x v="349"/>
    <x v="4"/>
    <x v="3"/>
    <x v="6"/>
    <n v="1"/>
    <n v="2845.8"/>
    <n v="0.1"/>
    <n v="2561.2199999999998"/>
    <n v="1505.42"/>
    <n v="1055.8"/>
    <x v="0"/>
    <x v="0"/>
    <x v="1"/>
    <x v="2"/>
    <x v="1"/>
    <n v="0.4122254238214601"/>
  </r>
  <r>
    <x v="602"/>
    <d v="2025-07-26T00:00:00"/>
    <x v="334"/>
    <x v="7"/>
    <x v="2"/>
    <x v="3"/>
    <n v="5"/>
    <n v="2847.18"/>
    <n v="0"/>
    <n v="14235.9"/>
    <n v="10717.74"/>
    <n v="3518.16"/>
    <x v="1"/>
    <x v="1"/>
    <x v="1"/>
    <x v="2"/>
    <x v="1"/>
    <n v="0.2471329526057362"/>
  </r>
  <r>
    <x v="603"/>
    <d v="2026-06-27T00:00:00"/>
    <x v="58"/>
    <x v="7"/>
    <x v="2"/>
    <x v="3"/>
    <n v="2"/>
    <n v="2850.17"/>
    <n v="0.2"/>
    <n v="4560.2700000000004"/>
    <n v="3643.54"/>
    <n v="916.73"/>
    <x v="1"/>
    <x v="2"/>
    <x v="1"/>
    <x v="10"/>
    <x v="0"/>
    <n v="0.20102537788332706"/>
  </r>
  <r>
    <x v="604"/>
    <d v="2025-12-31T00:00:00"/>
    <x v="350"/>
    <x v="9"/>
    <x v="2"/>
    <x v="13"/>
    <n v="6"/>
    <n v="2851.97"/>
    <n v="0.05"/>
    <n v="16256.23"/>
    <n v="12647.79"/>
    <n v="3608.44"/>
    <x v="1"/>
    <x v="1"/>
    <x v="0"/>
    <x v="7"/>
    <x v="1"/>
    <n v="0.22197274521829477"/>
  </r>
  <r>
    <x v="605"/>
    <d v="2025-08-19T00:00:00"/>
    <x v="6"/>
    <x v="7"/>
    <x v="1"/>
    <x v="16"/>
    <n v="3"/>
    <n v="2861.44"/>
    <n v="0.1"/>
    <n v="7725.89"/>
    <n v="5773.87"/>
    <n v="1952.02"/>
    <x v="1"/>
    <x v="1"/>
    <x v="1"/>
    <x v="6"/>
    <x v="1"/>
    <n v="0.25265956414083035"/>
  </r>
  <r>
    <x v="606"/>
    <d v="2025-04-08T00:00:00"/>
    <x v="351"/>
    <x v="0"/>
    <x v="2"/>
    <x v="13"/>
    <n v="2"/>
    <n v="2866.5"/>
    <n v="0.05"/>
    <n v="5446.35"/>
    <n v="3636.74"/>
    <n v="1809.61"/>
    <x v="0"/>
    <x v="2"/>
    <x v="0"/>
    <x v="8"/>
    <x v="1"/>
    <n v="0.33226105556932622"/>
  </r>
  <r>
    <x v="607"/>
    <d v="2025-04-01T00:00:00"/>
    <x v="352"/>
    <x v="3"/>
    <x v="0"/>
    <x v="1"/>
    <n v="1"/>
    <n v="2870.89"/>
    <n v="0.05"/>
    <n v="2727.35"/>
    <n v="1510"/>
    <n v="1217.3499999999999"/>
    <x v="1"/>
    <x v="1"/>
    <x v="1"/>
    <x v="8"/>
    <x v="1"/>
    <n v="0.44634902011109684"/>
  </r>
  <r>
    <x v="608"/>
    <d v="2025-02-15T00:00:00"/>
    <x v="42"/>
    <x v="9"/>
    <x v="2"/>
    <x v="14"/>
    <n v="5"/>
    <n v="2882.7"/>
    <n v="0.2"/>
    <n v="11530.8"/>
    <n v="6490.76"/>
    <n v="5040.04"/>
    <x v="1"/>
    <x v="1"/>
    <x v="1"/>
    <x v="1"/>
    <x v="1"/>
    <n v="0.43709369688139593"/>
  </r>
  <r>
    <x v="609"/>
    <d v="2025-02-05T00:00:00"/>
    <x v="325"/>
    <x v="3"/>
    <x v="0"/>
    <x v="17"/>
    <n v="2"/>
    <n v="2885.01"/>
    <n v="0"/>
    <n v="5770.02"/>
    <n v="3444.14"/>
    <n v="2325.88"/>
    <x v="1"/>
    <x v="1"/>
    <x v="0"/>
    <x v="1"/>
    <x v="1"/>
    <n v="0.40309738961043462"/>
  </r>
  <r>
    <x v="610"/>
    <d v="2025-04-15T00:00:00"/>
    <x v="114"/>
    <x v="5"/>
    <x v="1"/>
    <x v="7"/>
    <n v="5"/>
    <n v="2885.07"/>
    <n v="0"/>
    <n v="14425.35"/>
    <n v="11471.18"/>
    <n v="2954.17"/>
    <x v="0"/>
    <x v="3"/>
    <x v="1"/>
    <x v="8"/>
    <x v="1"/>
    <n v="0.2047901784012173"/>
  </r>
  <r>
    <x v="611"/>
    <d v="2025-08-17T00:00:00"/>
    <x v="353"/>
    <x v="0"/>
    <x v="1"/>
    <x v="12"/>
    <n v="4"/>
    <n v="2886.63"/>
    <n v="0.1"/>
    <n v="10391.870000000001"/>
    <n v="6678.99"/>
    <n v="3712.88"/>
    <x v="1"/>
    <x v="0"/>
    <x v="1"/>
    <x v="6"/>
    <x v="1"/>
    <n v="0.35728699454477392"/>
  </r>
  <r>
    <x v="612"/>
    <d v="2026-08-24T00:00:00"/>
    <x v="354"/>
    <x v="1"/>
    <x v="3"/>
    <x v="8"/>
    <n v="6"/>
    <n v="2897.18"/>
    <n v="0"/>
    <n v="17383.080000000002"/>
    <n v="10561.77"/>
    <n v="6821.31"/>
    <x v="1"/>
    <x v="1"/>
    <x v="1"/>
    <x v="6"/>
    <x v="0"/>
    <n v="0.39241089611277169"/>
  </r>
  <r>
    <x v="613"/>
    <d v="2025-03-22T00:00:00"/>
    <x v="6"/>
    <x v="5"/>
    <x v="3"/>
    <x v="6"/>
    <n v="6"/>
    <n v="2903.59"/>
    <n v="0.05"/>
    <n v="16550.46"/>
    <n v="9501.82"/>
    <n v="7048.64"/>
    <x v="1"/>
    <x v="2"/>
    <x v="1"/>
    <x v="0"/>
    <x v="1"/>
    <n v="0.42588786051868049"/>
  </r>
  <r>
    <x v="614"/>
    <d v="2026-05-03T00:00:00"/>
    <x v="317"/>
    <x v="0"/>
    <x v="1"/>
    <x v="16"/>
    <n v="2"/>
    <n v="2903.88"/>
    <n v="0.1"/>
    <n v="5226.9799999999996"/>
    <n v="3435.87"/>
    <n v="1791.11"/>
    <x v="0"/>
    <x v="3"/>
    <x v="1"/>
    <x v="5"/>
    <x v="0"/>
    <n v="0.34266631974868855"/>
  </r>
  <r>
    <x v="615"/>
    <d v="2025-01-19T00:00:00"/>
    <x v="186"/>
    <x v="8"/>
    <x v="3"/>
    <x v="4"/>
    <n v="5"/>
    <n v="2905.27"/>
    <n v="0.2"/>
    <n v="11621.08"/>
    <n v="7472.35"/>
    <n v="4148.7299999999996"/>
    <x v="0"/>
    <x v="3"/>
    <x v="1"/>
    <x v="9"/>
    <x v="1"/>
    <n v="0.35700038206431756"/>
  </r>
  <r>
    <x v="616"/>
    <d v="2025-08-03T00:00:00"/>
    <x v="324"/>
    <x v="0"/>
    <x v="3"/>
    <x v="4"/>
    <n v="2"/>
    <n v="2910.39"/>
    <n v="0.05"/>
    <n v="5529.74"/>
    <n v="4174.0200000000004"/>
    <n v="1355.72"/>
    <x v="0"/>
    <x v="3"/>
    <x v="1"/>
    <x v="6"/>
    <x v="1"/>
    <n v="0.24516885061503799"/>
  </r>
  <r>
    <x v="617"/>
    <d v="2026-06-11T00:00:00"/>
    <x v="355"/>
    <x v="7"/>
    <x v="0"/>
    <x v="0"/>
    <n v="6"/>
    <n v="2912.47"/>
    <n v="0.15"/>
    <n v="14853.6"/>
    <n v="11565.79"/>
    <n v="3287.81"/>
    <x v="1"/>
    <x v="1"/>
    <x v="1"/>
    <x v="10"/>
    <x v="0"/>
    <n v="0.22134768675607258"/>
  </r>
  <r>
    <x v="618"/>
    <d v="2025-10-03T00:00:00"/>
    <x v="130"/>
    <x v="8"/>
    <x v="3"/>
    <x v="6"/>
    <n v="1"/>
    <n v="2913.2"/>
    <n v="0.1"/>
    <n v="2621.88"/>
    <n v="1944.37"/>
    <n v="677.51"/>
    <x v="0"/>
    <x v="0"/>
    <x v="1"/>
    <x v="11"/>
    <x v="1"/>
    <n v="0.25840618182372954"/>
  </r>
  <r>
    <x v="619"/>
    <d v="2025-07-18T00:00:00"/>
    <x v="356"/>
    <x v="9"/>
    <x v="2"/>
    <x v="13"/>
    <n v="1"/>
    <n v="2917.49"/>
    <n v="0"/>
    <n v="2917.49"/>
    <n v="2216.3000000000002"/>
    <n v="701.19"/>
    <x v="1"/>
    <x v="0"/>
    <x v="0"/>
    <x v="2"/>
    <x v="1"/>
    <n v="0.24034015540755926"/>
  </r>
  <r>
    <x v="620"/>
    <d v="2025-06-13T00:00:00"/>
    <x v="160"/>
    <x v="8"/>
    <x v="0"/>
    <x v="0"/>
    <n v="5"/>
    <n v="2921.22"/>
    <n v="0.05"/>
    <n v="13875.79"/>
    <n v="8923.7900000000009"/>
    <n v="4952"/>
    <x v="1"/>
    <x v="2"/>
    <x v="1"/>
    <x v="10"/>
    <x v="1"/>
    <n v="0.35688058121375427"/>
  </r>
  <r>
    <x v="621"/>
    <d v="2026-06-16T00:00:00"/>
    <x v="357"/>
    <x v="9"/>
    <x v="1"/>
    <x v="16"/>
    <n v="1"/>
    <n v="2924.17"/>
    <n v="0.1"/>
    <n v="2631.75"/>
    <n v="2103.08"/>
    <n v="528.66999999999996"/>
    <x v="1"/>
    <x v="1"/>
    <x v="1"/>
    <x v="10"/>
    <x v="0"/>
    <n v="0.2008815426997245"/>
  </r>
  <r>
    <x v="622"/>
    <d v="2026-07-09T00:00:00"/>
    <x v="358"/>
    <x v="4"/>
    <x v="2"/>
    <x v="15"/>
    <n v="3"/>
    <n v="2926.74"/>
    <n v="0"/>
    <n v="8780.2199999999993"/>
    <n v="7021.7"/>
    <n v="1758.52"/>
    <x v="0"/>
    <x v="1"/>
    <x v="1"/>
    <x v="2"/>
    <x v="0"/>
    <n v="0.20028199748981235"/>
  </r>
  <r>
    <x v="623"/>
    <d v="2025-04-04T00:00:00"/>
    <x v="359"/>
    <x v="2"/>
    <x v="3"/>
    <x v="8"/>
    <n v="6"/>
    <n v="2929.72"/>
    <n v="0"/>
    <n v="17578.32"/>
    <n v="11178.14"/>
    <n v="6400.18"/>
    <x v="1"/>
    <x v="3"/>
    <x v="1"/>
    <x v="8"/>
    <x v="1"/>
    <n v="0.36409508986069206"/>
  </r>
  <r>
    <x v="624"/>
    <d v="2026-03-14T00:00:00"/>
    <x v="356"/>
    <x v="9"/>
    <x v="3"/>
    <x v="8"/>
    <n v="4"/>
    <n v="2938.23"/>
    <n v="0.05"/>
    <n v="11165.27"/>
    <n v="7899.23"/>
    <n v="3266.04"/>
    <x v="1"/>
    <x v="2"/>
    <x v="1"/>
    <x v="0"/>
    <x v="0"/>
    <n v="0.29251778058210859"/>
  </r>
  <r>
    <x v="625"/>
    <d v="2025-06-15T00:00:00"/>
    <x v="360"/>
    <x v="0"/>
    <x v="1"/>
    <x v="12"/>
    <n v="5"/>
    <n v="2955.3"/>
    <n v="0.15"/>
    <n v="12560.02"/>
    <n v="8564.4599999999991"/>
    <n v="3995.56"/>
    <x v="0"/>
    <x v="1"/>
    <x v="1"/>
    <x v="10"/>
    <x v="1"/>
    <n v="0.31811732783864993"/>
  </r>
  <r>
    <x v="626"/>
    <d v="2025-03-11T00:00:00"/>
    <x v="253"/>
    <x v="1"/>
    <x v="0"/>
    <x v="1"/>
    <n v="2"/>
    <n v="2956.41"/>
    <n v="0.1"/>
    <n v="5321.54"/>
    <n v="3984.55"/>
    <n v="1336.99"/>
    <x v="1"/>
    <x v="0"/>
    <x v="1"/>
    <x v="0"/>
    <x v="1"/>
    <n v="0.25124118206383866"/>
  </r>
  <r>
    <x v="627"/>
    <d v="2025-11-17T00:00:00"/>
    <x v="318"/>
    <x v="4"/>
    <x v="2"/>
    <x v="13"/>
    <n v="5"/>
    <n v="2970.79"/>
    <n v="0.05"/>
    <n v="14111.25"/>
    <n v="10371.620000000001"/>
    <n v="3739.63"/>
    <x v="0"/>
    <x v="2"/>
    <x v="0"/>
    <x v="3"/>
    <x v="1"/>
    <n v="0.26501054123483037"/>
  </r>
  <r>
    <x v="628"/>
    <d v="2025-09-09T00:00:00"/>
    <x v="361"/>
    <x v="0"/>
    <x v="1"/>
    <x v="2"/>
    <n v="6"/>
    <n v="2972.07"/>
    <n v="0"/>
    <n v="17832.419999999998"/>
    <n v="12699.47"/>
    <n v="5132.95"/>
    <x v="1"/>
    <x v="1"/>
    <x v="1"/>
    <x v="4"/>
    <x v="1"/>
    <n v="0.28784371386497182"/>
  </r>
  <r>
    <x v="629"/>
    <d v="2026-01-07T00:00:00"/>
    <x v="362"/>
    <x v="2"/>
    <x v="0"/>
    <x v="9"/>
    <n v="2"/>
    <n v="2974.85"/>
    <n v="0.05"/>
    <n v="5652.21"/>
    <n v="3132.45"/>
    <n v="2519.7600000000002"/>
    <x v="1"/>
    <x v="2"/>
    <x v="1"/>
    <x v="9"/>
    <x v="0"/>
    <n v="0.44580084604075226"/>
  </r>
  <r>
    <x v="630"/>
    <d v="2026-06-19T00:00:00"/>
    <x v="325"/>
    <x v="4"/>
    <x v="2"/>
    <x v="15"/>
    <n v="4"/>
    <n v="2979.35"/>
    <n v="0"/>
    <n v="11917.4"/>
    <n v="7970.89"/>
    <n v="3946.51"/>
    <x v="0"/>
    <x v="0"/>
    <x v="1"/>
    <x v="10"/>
    <x v="0"/>
    <n v="0.33115528554886137"/>
  </r>
  <r>
    <x v="631"/>
    <d v="2025-04-11T00:00:00"/>
    <x v="134"/>
    <x v="6"/>
    <x v="3"/>
    <x v="8"/>
    <n v="1"/>
    <n v="2980.2"/>
    <n v="0.2"/>
    <n v="2384.16"/>
    <n v="1716.04"/>
    <n v="668.12"/>
    <x v="1"/>
    <x v="3"/>
    <x v="0"/>
    <x v="8"/>
    <x v="1"/>
    <n v="0.28023287027716265"/>
  </r>
  <r>
    <x v="632"/>
    <d v="2026-04-17T00:00:00"/>
    <x v="363"/>
    <x v="4"/>
    <x v="0"/>
    <x v="9"/>
    <n v="6"/>
    <n v="2990.69"/>
    <n v="0.2"/>
    <n v="14355.31"/>
    <n v="8218.82"/>
    <n v="6136.49"/>
    <x v="1"/>
    <x v="3"/>
    <x v="0"/>
    <x v="8"/>
    <x v="0"/>
    <n v="0.42747178570159755"/>
  </r>
  <r>
    <x v="633"/>
    <d v="2025-07-31T00:00:00"/>
    <x v="109"/>
    <x v="4"/>
    <x v="3"/>
    <x v="5"/>
    <n v="6"/>
    <n v="2992.07"/>
    <n v="0"/>
    <n v="17952.419999999998"/>
    <n v="11512.5"/>
    <n v="6439.92"/>
    <x v="1"/>
    <x v="1"/>
    <x v="1"/>
    <x v="2"/>
    <x v="1"/>
    <n v="0.35872155397433886"/>
  </r>
  <r>
    <x v="634"/>
    <d v="2025-08-10T00:00:00"/>
    <x v="127"/>
    <x v="5"/>
    <x v="1"/>
    <x v="16"/>
    <n v="4"/>
    <n v="2995.33"/>
    <n v="0.05"/>
    <n v="11382.25"/>
    <n v="9444.16"/>
    <n v="1938.09"/>
    <x v="0"/>
    <x v="1"/>
    <x v="1"/>
    <x v="6"/>
    <x v="1"/>
    <n v="0.17027301280502535"/>
  </r>
  <r>
    <x v="635"/>
    <d v="2026-05-23T00:00:00"/>
    <x v="364"/>
    <x v="9"/>
    <x v="3"/>
    <x v="8"/>
    <n v="1"/>
    <n v="2996.23"/>
    <n v="0.15"/>
    <n v="2546.8000000000002"/>
    <n v="1683.01"/>
    <n v="863.79"/>
    <x v="1"/>
    <x v="2"/>
    <x v="1"/>
    <x v="5"/>
    <x v="0"/>
    <n v="0.33916679754986645"/>
  </r>
  <r>
    <x v="636"/>
    <d v="2026-08-28T00:00:00"/>
    <x v="226"/>
    <x v="5"/>
    <x v="1"/>
    <x v="12"/>
    <n v="5"/>
    <n v="2998.11"/>
    <n v="0.2"/>
    <n v="11992.44"/>
    <n v="8450.7000000000007"/>
    <n v="3541.74"/>
    <x v="1"/>
    <x v="2"/>
    <x v="1"/>
    <x v="6"/>
    <x v="0"/>
    <n v="0.29533105856689712"/>
  </r>
  <r>
    <x v="637"/>
    <d v="2025-12-15T00:00:00"/>
    <x v="302"/>
    <x v="5"/>
    <x v="3"/>
    <x v="10"/>
    <n v="5"/>
    <n v="3000.17"/>
    <n v="0"/>
    <n v="15000.85"/>
    <n v="8627.18"/>
    <n v="6373.67"/>
    <x v="1"/>
    <x v="0"/>
    <x v="1"/>
    <x v="7"/>
    <x v="1"/>
    <n v="0.42488725638880465"/>
  </r>
  <r>
    <x v="638"/>
    <d v="2026-02-05T00:00:00"/>
    <x v="326"/>
    <x v="5"/>
    <x v="0"/>
    <x v="17"/>
    <n v="1"/>
    <n v="3010.5"/>
    <n v="0.1"/>
    <n v="2709.45"/>
    <n v="1784.68"/>
    <n v="924.77"/>
    <x v="1"/>
    <x v="0"/>
    <x v="1"/>
    <x v="1"/>
    <x v="0"/>
    <n v="0.34131281256343537"/>
  </r>
  <r>
    <x v="639"/>
    <d v="2025-05-15T00:00:00"/>
    <x v="365"/>
    <x v="3"/>
    <x v="3"/>
    <x v="4"/>
    <n v="2"/>
    <n v="3011.78"/>
    <n v="0"/>
    <n v="6023.56"/>
    <n v="4856.4799999999996"/>
    <n v="1167.08"/>
    <x v="1"/>
    <x v="1"/>
    <x v="0"/>
    <x v="5"/>
    <x v="1"/>
    <n v="0.19375253172542481"/>
  </r>
  <r>
    <x v="640"/>
    <d v="2025-03-02T00:00:00"/>
    <x v="112"/>
    <x v="2"/>
    <x v="0"/>
    <x v="9"/>
    <n v="3"/>
    <n v="3014.27"/>
    <n v="0.1"/>
    <n v="8138.53"/>
    <n v="6139.78"/>
    <n v="1998.75"/>
    <x v="1"/>
    <x v="2"/>
    <x v="1"/>
    <x v="0"/>
    <x v="1"/>
    <n v="0.24559103425311452"/>
  </r>
  <r>
    <x v="641"/>
    <d v="2025-05-19T00:00:00"/>
    <x v="164"/>
    <x v="2"/>
    <x v="1"/>
    <x v="2"/>
    <n v="3"/>
    <n v="3016.76"/>
    <n v="0"/>
    <n v="9050.2800000000007"/>
    <n v="5399.34"/>
    <n v="3650.94"/>
    <x v="0"/>
    <x v="2"/>
    <x v="0"/>
    <x v="5"/>
    <x v="1"/>
    <n v="0.4034063034513849"/>
  </r>
  <r>
    <x v="642"/>
    <d v="2026-01-20T00:00:00"/>
    <x v="366"/>
    <x v="9"/>
    <x v="1"/>
    <x v="12"/>
    <n v="3"/>
    <n v="3022.35"/>
    <n v="0"/>
    <n v="9067.0499999999993"/>
    <n v="6393.97"/>
    <n v="2673.08"/>
    <x v="1"/>
    <x v="3"/>
    <x v="1"/>
    <x v="9"/>
    <x v="0"/>
    <n v="0.29481253549941822"/>
  </r>
  <r>
    <x v="643"/>
    <d v="2025-12-11T00:00:00"/>
    <x v="31"/>
    <x v="7"/>
    <x v="2"/>
    <x v="19"/>
    <n v="5"/>
    <n v="3023.35"/>
    <n v="0.1"/>
    <n v="13605.08"/>
    <n v="11445.3"/>
    <n v="2159.7800000000002"/>
    <x v="1"/>
    <x v="3"/>
    <x v="1"/>
    <x v="7"/>
    <x v="1"/>
    <n v="0.15874805587324736"/>
  </r>
  <r>
    <x v="644"/>
    <d v="2025-12-28T00:00:00"/>
    <x v="294"/>
    <x v="2"/>
    <x v="2"/>
    <x v="13"/>
    <n v="1"/>
    <n v="3027.62"/>
    <n v="0"/>
    <n v="3027.62"/>
    <n v="2257.0300000000002"/>
    <n v="770.59"/>
    <x v="1"/>
    <x v="0"/>
    <x v="1"/>
    <x v="7"/>
    <x v="1"/>
    <n v="0.25452005205408873"/>
  </r>
  <r>
    <x v="645"/>
    <d v="2025-05-17T00:00:00"/>
    <x v="330"/>
    <x v="1"/>
    <x v="1"/>
    <x v="12"/>
    <n v="6"/>
    <n v="3030.83"/>
    <n v="0"/>
    <n v="18184.98"/>
    <n v="15173.23"/>
    <n v="3011.75"/>
    <x v="0"/>
    <x v="1"/>
    <x v="0"/>
    <x v="5"/>
    <x v="1"/>
    <n v="0.16561744912559706"/>
  </r>
  <r>
    <x v="646"/>
    <d v="2025-01-25T00:00:00"/>
    <x v="5"/>
    <x v="5"/>
    <x v="1"/>
    <x v="12"/>
    <n v="3"/>
    <n v="3032.19"/>
    <n v="0.2"/>
    <n v="7277.26"/>
    <n v="4780.34"/>
    <n v="2496.92"/>
    <x v="0"/>
    <x v="0"/>
    <x v="1"/>
    <x v="9"/>
    <x v="1"/>
    <n v="0.34311265503774774"/>
  </r>
  <r>
    <x v="647"/>
    <d v="2026-07-05T00:00:00"/>
    <x v="367"/>
    <x v="4"/>
    <x v="0"/>
    <x v="17"/>
    <n v="5"/>
    <n v="3037.65"/>
    <n v="0.2"/>
    <n v="12150.6"/>
    <n v="7063.26"/>
    <n v="5087.34"/>
    <x v="1"/>
    <x v="3"/>
    <x v="1"/>
    <x v="2"/>
    <x v="0"/>
    <n v="0.41869043504024495"/>
  </r>
  <r>
    <x v="648"/>
    <d v="2026-01-28T00:00:00"/>
    <x v="361"/>
    <x v="6"/>
    <x v="3"/>
    <x v="5"/>
    <n v="4"/>
    <n v="3059.16"/>
    <n v="0.05"/>
    <n v="11624.81"/>
    <n v="9291"/>
    <n v="2333.81"/>
    <x v="0"/>
    <x v="3"/>
    <x v="1"/>
    <x v="9"/>
    <x v="0"/>
    <n v="0.20076113071955584"/>
  </r>
  <r>
    <x v="649"/>
    <d v="2026-05-31T00:00:00"/>
    <x v="368"/>
    <x v="3"/>
    <x v="0"/>
    <x v="11"/>
    <n v="1"/>
    <n v="3066.62"/>
    <n v="0.1"/>
    <n v="2759.96"/>
    <n v="1714.51"/>
    <n v="1045.45"/>
    <x v="0"/>
    <x v="0"/>
    <x v="1"/>
    <x v="5"/>
    <x v="0"/>
    <n v="0.37879172161915392"/>
  </r>
  <r>
    <x v="650"/>
    <d v="2025-12-23T00:00:00"/>
    <x v="357"/>
    <x v="5"/>
    <x v="3"/>
    <x v="8"/>
    <n v="5"/>
    <n v="3088.11"/>
    <n v="0.05"/>
    <n v="14668.52"/>
    <n v="8948.7999999999993"/>
    <n v="5719.72"/>
    <x v="1"/>
    <x v="0"/>
    <x v="1"/>
    <x v="7"/>
    <x v="1"/>
    <n v="0.38993163591146213"/>
  </r>
  <r>
    <x v="651"/>
    <d v="2025-04-02T00:00:00"/>
    <x v="369"/>
    <x v="6"/>
    <x v="2"/>
    <x v="15"/>
    <n v="3"/>
    <n v="3091.86"/>
    <n v="0.1"/>
    <n v="8348.02"/>
    <n v="6317.54"/>
    <n v="2030.48"/>
    <x v="0"/>
    <x v="0"/>
    <x v="1"/>
    <x v="8"/>
    <x v="1"/>
    <n v="0.24322893332790288"/>
  </r>
  <r>
    <x v="652"/>
    <d v="2026-03-14T00:00:00"/>
    <x v="101"/>
    <x v="3"/>
    <x v="2"/>
    <x v="15"/>
    <n v="5"/>
    <n v="3093.85"/>
    <n v="0.2"/>
    <n v="12375.4"/>
    <n v="8214.9"/>
    <n v="4160.5"/>
    <x v="1"/>
    <x v="2"/>
    <x v="0"/>
    <x v="0"/>
    <x v="0"/>
    <n v="0.3361911534172633"/>
  </r>
  <r>
    <x v="653"/>
    <d v="2025-06-05T00:00:00"/>
    <x v="210"/>
    <x v="8"/>
    <x v="3"/>
    <x v="4"/>
    <n v="2"/>
    <n v="3094.36"/>
    <n v="0.05"/>
    <n v="5879.28"/>
    <n v="4617.26"/>
    <n v="1262.02"/>
    <x v="1"/>
    <x v="1"/>
    <x v="1"/>
    <x v="10"/>
    <x v="1"/>
    <n v="0.21465553605203358"/>
  </r>
  <r>
    <x v="654"/>
    <d v="2025-09-23T00:00:00"/>
    <x v="324"/>
    <x v="4"/>
    <x v="3"/>
    <x v="4"/>
    <n v="6"/>
    <n v="3094.93"/>
    <n v="0.15"/>
    <n v="15784.14"/>
    <n v="10396.6"/>
    <n v="5387.54"/>
    <x v="0"/>
    <x v="3"/>
    <x v="1"/>
    <x v="4"/>
    <x v="1"/>
    <n v="0.3413261666457596"/>
  </r>
  <r>
    <x v="655"/>
    <d v="2026-08-08T00:00:00"/>
    <x v="294"/>
    <x v="4"/>
    <x v="0"/>
    <x v="11"/>
    <n v="3"/>
    <n v="3108.38"/>
    <n v="0"/>
    <n v="9325.14"/>
    <n v="6012.92"/>
    <n v="3312.22"/>
    <x v="0"/>
    <x v="0"/>
    <x v="1"/>
    <x v="6"/>
    <x v="0"/>
    <n v="0.3551925225787495"/>
  </r>
  <r>
    <x v="656"/>
    <d v="2026-05-17T00:00:00"/>
    <x v="370"/>
    <x v="4"/>
    <x v="0"/>
    <x v="17"/>
    <n v="6"/>
    <n v="3111.13"/>
    <n v="0.2"/>
    <n v="14933.42"/>
    <n v="11256.14"/>
    <n v="3677.28"/>
    <x v="1"/>
    <x v="0"/>
    <x v="1"/>
    <x v="5"/>
    <x v="0"/>
    <n v="0.24624499947098522"/>
  </r>
  <r>
    <x v="657"/>
    <d v="2025-07-05T00:00:00"/>
    <x v="371"/>
    <x v="8"/>
    <x v="1"/>
    <x v="18"/>
    <n v="5"/>
    <n v="3116.39"/>
    <n v="0.1"/>
    <n v="14023.75"/>
    <n v="10164.879999999999"/>
    <n v="3858.87"/>
    <x v="1"/>
    <x v="3"/>
    <x v="1"/>
    <x v="2"/>
    <x v="1"/>
    <n v="0.2751667706569213"/>
  </r>
  <r>
    <x v="658"/>
    <d v="2025-06-06T00:00:00"/>
    <x v="372"/>
    <x v="9"/>
    <x v="0"/>
    <x v="0"/>
    <n v="4"/>
    <n v="3118"/>
    <n v="0.1"/>
    <n v="11224.8"/>
    <n v="7637.22"/>
    <n v="3587.58"/>
    <x v="0"/>
    <x v="3"/>
    <x v="0"/>
    <x v="10"/>
    <x v="1"/>
    <n v="0.31961193072482363"/>
  </r>
  <r>
    <x v="659"/>
    <d v="2026-01-24T00:00:00"/>
    <x v="373"/>
    <x v="9"/>
    <x v="3"/>
    <x v="10"/>
    <n v="6"/>
    <n v="3122.25"/>
    <n v="0"/>
    <n v="18733.5"/>
    <n v="14733.19"/>
    <n v="4000.31"/>
    <x v="0"/>
    <x v="2"/>
    <x v="1"/>
    <x v="9"/>
    <x v="0"/>
    <n v="0.21353777991299008"/>
  </r>
  <r>
    <x v="660"/>
    <d v="2025-02-22T00:00:00"/>
    <x v="374"/>
    <x v="7"/>
    <x v="3"/>
    <x v="4"/>
    <n v="2"/>
    <n v="3129.74"/>
    <n v="0.15"/>
    <n v="5320.56"/>
    <n v="3525.06"/>
    <n v="1795.5"/>
    <x v="0"/>
    <x v="0"/>
    <x v="1"/>
    <x v="1"/>
    <x v="1"/>
    <n v="0.33746447742342911"/>
  </r>
  <r>
    <x v="661"/>
    <d v="2025-04-27T00:00:00"/>
    <x v="92"/>
    <x v="6"/>
    <x v="1"/>
    <x v="7"/>
    <n v="6"/>
    <n v="3146.94"/>
    <n v="0.15"/>
    <n v="16049.39"/>
    <n v="11788.29"/>
    <n v="4261.1000000000004"/>
    <x v="1"/>
    <x v="3"/>
    <x v="1"/>
    <x v="8"/>
    <x v="1"/>
    <n v="0.26549918719652277"/>
  </r>
  <r>
    <x v="662"/>
    <d v="2025-03-10T00:00:00"/>
    <x v="375"/>
    <x v="6"/>
    <x v="0"/>
    <x v="1"/>
    <n v="3"/>
    <n v="3156.9"/>
    <n v="0.15"/>
    <n v="8050.1"/>
    <n v="5803.52"/>
    <n v="2246.58"/>
    <x v="1"/>
    <x v="1"/>
    <x v="1"/>
    <x v="0"/>
    <x v="1"/>
    <n v="0.27907479410193659"/>
  </r>
  <r>
    <x v="663"/>
    <d v="2025-07-30T00:00:00"/>
    <x v="124"/>
    <x v="9"/>
    <x v="0"/>
    <x v="17"/>
    <n v="3"/>
    <n v="3166.78"/>
    <n v="0.2"/>
    <n v="7600.27"/>
    <n v="6398.56"/>
    <n v="1201.71"/>
    <x v="1"/>
    <x v="2"/>
    <x v="1"/>
    <x v="2"/>
    <x v="1"/>
    <n v="0.1581141196299605"/>
  </r>
  <r>
    <x v="664"/>
    <d v="2025-08-28T00:00:00"/>
    <x v="333"/>
    <x v="9"/>
    <x v="2"/>
    <x v="14"/>
    <n v="2"/>
    <n v="3167.59"/>
    <n v="0"/>
    <n v="6335.18"/>
    <n v="4164.97"/>
    <n v="2170.21"/>
    <x v="0"/>
    <x v="2"/>
    <x v="1"/>
    <x v="6"/>
    <x v="1"/>
    <n v="0.34256485214311194"/>
  </r>
  <r>
    <x v="665"/>
    <d v="2025-10-17T00:00:00"/>
    <x v="120"/>
    <x v="2"/>
    <x v="1"/>
    <x v="7"/>
    <n v="5"/>
    <n v="3172.36"/>
    <n v="0.2"/>
    <n v="12689.44"/>
    <n v="10221.91"/>
    <n v="2467.5300000000002"/>
    <x v="0"/>
    <x v="3"/>
    <x v="0"/>
    <x v="11"/>
    <x v="1"/>
    <n v="0.19445538967834672"/>
  </r>
  <r>
    <x v="666"/>
    <d v="2025-11-01T00:00:00"/>
    <x v="326"/>
    <x v="1"/>
    <x v="1"/>
    <x v="18"/>
    <n v="5"/>
    <n v="3173.51"/>
    <n v="0.2"/>
    <n v="12694.04"/>
    <n v="9341.59"/>
    <n v="3352.45"/>
    <x v="1"/>
    <x v="1"/>
    <x v="1"/>
    <x v="3"/>
    <x v="1"/>
    <n v="0.26409637908813899"/>
  </r>
  <r>
    <x v="667"/>
    <d v="2026-03-23T00:00:00"/>
    <x v="376"/>
    <x v="5"/>
    <x v="3"/>
    <x v="6"/>
    <n v="4"/>
    <n v="3175.7"/>
    <n v="0.15"/>
    <n v="10797.38"/>
    <n v="7270.71"/>
    <n v="3526.67"/>
    <x v="0"/>
    <x v="2"/>
    <x v="1"/>
    <x v="0"/>
    <x v="0"/>
    <n v="0.32662275477940023"/>
  </r>
  <r>
    <x v="668"/>
    <d v="2025-04-16T00:00:00"/>
    <x v="37"/>
    <x v="2"/>
    <x v="3"/>
    <x v="5"/>
    <n v="4"/>
    <n v="3178.74"/>
    <n v="0.15"/>
    <n v="10807.72"/>
    <n v="7884.99"/>
    <n v="2922.73"/>
    <x v="0"/>
    <x v="3"/>
    <x v="1"/>
    <x v="8"/>
    <x v="1"/>
    <n v="0.2704298408915109"/>
  </r>
  <r>
    <x v="669"/>
    <d v="2025-04-12T00:00:00"/>
    <x v="351"/>
    <x v="7"/>
    <x v="2"/>
    <x v="13"/>
    <n v="5"/>
    <n v="3180.44"/>
    <n v="0.15"/>
    <n v="13516.87"/>
    <n v="9888.17"/>
    <n v="3628.7"/>
    <x v="0"/>
    <x v="1"/>
    <x v="0"/>
    <x v="8"/>
    <x v="1"/>
    <n v="0.2684571206203803"/>
  </r>
  <r>
    <x v="670"/>
    <d v="2026-01-12T00:00:00"/>
    <x v="377"/>
    <x v="4"/>
    <x v="3"/>
    <x v="5"/>
    <n v="1"/>
    <n v="3181.58"/>
    <n v="0.05"/>
    <n v="3022.5"/>
    <n v="2046.34"/>
    <n v="976.16"/>
    <x v="1"/>
    <x v="2"/>
    <x v="1"/>
    <x v="9"/>
    <x v="0"/>
    <n v="0.3229644334160463"/>
  </r>
  <r>
    <x v="671"/>
    <d v="2025-11-13T00:00:00"/>
    <x v="378"/>
    <x v="8"/>
    <x v="1"/>
    <x v="16"/>
    <n v="5"/>
    <n v="3186.69"/>
    <n v="0.05"/>
    <n v="15136.78"/>
    <n v="9595.89"/>
    <n v="5540.89"/>
    <x v="1"/>
    <x v="3"/>
    <x v="1"/>
    <x v="3"/>
    <x v="1"/>
    <n v="0.36605473555141849"/>
  </r>
  <r>
    <x v="672"/>
    <d v="2025-11-26T00:00:00"/>
    <x v="60"/>
    <x v="1"/>
    <x v="1"/>
    <x v="2"/>
    <n v="5"/>
    <n v="3190.65"/>
    <n v="0.05"/>
    <n v="15155.59"/>
    <n v="12808.38"/>
    <n v="2347.21"/>
    <x v="1"/>
    <x v="0"/>
    <x v="1"/>
    <x v="3"/>
    <x v="1"/>
    <n v="0.1548742081304654"/>
  </r>
  <r>
    <x v="673"/>
    <d v="2026-02-06T00:00:00"/>
    <x v="311"/>
    <x v="3"/>
    <x v="1"/>
    <x v="12"/>
    <n v="1"/>
    <n v="3198.43"/>
    <n v="0"/>
    <n v="3198.43"/>
    <n v="2623.64"/>
    <n v="574.79"/>
    <x v="0"/>
    <x v="0"/>
    <x v="1"/>
    <x v="1"/>
    <x v="0"/>
    <n v="0.17971004524094633"/>
  </r>
  <r>
    <x v="674"/>
    <d v="2025-01-09T00:00:00"/>
    <x v="54"/>
    <x v="7"/>
    <x v="3"/>
    <x v="6"/>
    <n v="3"/>
    <n v="3201.25"/>
    <n v="0.1"/>
    <n v="8643.3799999999992"/>
    <n v="7058.61"/>
    <n v="1584.77"/>
    <x v="1"/>
    <x v="0"/>
    <x v="1"/>
    <x v="9"/>
    <x v="1"/>
    <n v="0.18335072622052948"/>
  </r>
  <r>
    <x v="675"/>
    <d v="2025-11-04T00:00:00"/>
    <x v="25"/>
    <x v="5"/>
    <x v="2"/>
    <x v="19"/>
    <n v="3"/>
    <n v="3212.48"/>
    <n v="0"/>
    <n v="9637.44"/>
    <n v="7225.89"/>
    <n v="2411.5500000000002"/>
    <x v="0"/>
    <x v="1"/>
    <x v="0"/>
    <x v="3"/>
    <x v="1"/>
    <n v="0.25022723876880165"/>
  </r>
  <r>
    <x v="676"/>
    <d v="2025-01-09T00:00:00"/>
    <x v="286"/>
    <x v="7"/>
    <x v="1"/>
    <x v="7"/>
    <n v="1"/>
    <n v="3218.3"/>
    <n v="0"/>
    <n v="3218.3"/>
    <n v="1985.08"/>
    <n v="1233.22"/>
    <x v="0"/>
    <x v="2"/>
    <x v="1"/>
    <x v="9"/>
    <x v="1"/>
    <n v="0.38318988285740918"/>
  </r>
  <r>
    <x v="677"/>
    <d v="2025-04-02T00:00:00"/>
    <x v="379"/>
    <x v="9"/>
    <x v="1"/>
    <x v="18"/>
    <n v="6"/>
    <n v="3219.01"/>
    <n v="0.2"/>
    <n v="15451.25"/>
    <n v="11349.81"/>
    <n v="4101.4399999999996"/>
    <x v="1"/>
    <x v="3"/>
    <x v="1"/>
    <x v="8"/>
    <x v="1"/>
    <n v="0.26544389612490898"/>
  </r>
  <r>
    <x v="678"/>
    <d v="2025-09-19T00:00:00"/>
    <x v="380"/>
    <x v="7"/>
    <x v="3"/>
    <x v="4"/>
    <n v="4"/>
    <n v="3219.06"/>
    <n v="0.05"/>
    <n v="12232.43"/>
    <n v="10364.61"/>
    <n v="1867.82"/>
    <x v="1"/>
    <x v="0"/>
    <x v="0"/>
    <x v="4"/>
    <x v="1"/>
    <n v="0.15269410902003935"/>
  </r>
  <r>
    <x v="679"/>
    <d v="2025-08-06T00:00:00"/>
    <x v="381"/>
    <x v="7"/>
    <x v="2"/>
    <x v="14"/>
    <n v="2"/>
    <n v="3220.68"/>
    <n v="0"/>
    <n v="6441.36"/>
    <n v="5399.44"/>
    <n v="1041.92"/>
    <x v="0"/>
    <x v="1"/>
    <x v="0"/>
    <x v="6"/>
    <x v="1"/>
    <n v="0.16175466050647691"/>
  </r>
  <r>
    <x v="680"/>
    <d v="2025-10-24T00:00:00"/>
    <x v="364"/>
    <x v="7"/>
    <x v="1"/>
    <x v="7"/>
    <n v="6"/>
    <n v="3226.75"/>
    <n v="0"/>
    <n v="19360.5"/>
    <n v="10893.1"/>
    <n v="8467.4"/>
    <x v="1"/>
    <x v="0"/>
    <x v="1"/>
    <x v="11"/>
    <x v="1"/>
    <n v="0.43735440716923629"/>
  </r>
  <r>
    <x v="681"/>
    <d v="2025-06-21T00:00:00"/>
    <x v="288"/>
    <x v="7"/>
    <x v="2"/>
    <x v="15"/>
    <n v="5"/>
    <n v="3232.85"/>
    <n v="0.15"/>
    <n v="13739.61"/>
    <n v="11280.44"/>
    <n v="2459.17"/>
    <x v="0"/>
    <x v="3"/>
    <x v="0"/>
    <x v="10"/>
    <x v="1"/>
    <n v="0.17898397407204425"/>
  </r>
  <r>
    <x v="682"/>
    <d v="2026-04-16T00:00:00"/>
    <x v="19"/>
    <x v="0"/>
    <x v="1"/>
    <x v="18"/>
    <n v="5"/>
    <n v="3235.09"/>
    <n v="0.1"/>
    <n v="14557.91"/>
    <n v="11907.84"/>
    <n v="2650.07"/>
    <x v="0"/>
    <x v="1"/>
    <x v="1"/>
    <x v="8"/>
    <x v="0"/>
    <n v="0.18203643242745698"/>
  </r>
  <r>
    <x v="683"/>
    <d v="2025-07-08T00:00:00"/>
    <x v="171"/>
    <x v="6"/>
    <x v="2"/>
    <x v="3"/>
    <n v="1"/>
    <n v="3239.25"/>
    <n v="0.05"/>
    <n v="3077.29"/>
    <n v="2149.37"/>
    <n v="927.92"/>
    <x v="1"/>
    <x v="1"/>
    <x v="0"/>
    <x v="2"/>
    <x v="1"/>
    <n v="0.30153804158854058"/>
  </r>
  <r>
    <x v="684"/>
    <d v="2025-08-24T00:00:00"/>
    <x v="196"/>
    <x v="4"/>
    <x v="0"/>
    <x v="1"/>
    <n v="2"/>
    <n v="3242.24"/>
    <n v="0"/>
    <n v="6484.48"/>
    <n v="4193.07"/>
    <n v="2291.41"/>
    <x v="1"/>
    <x v="1"/>
    <x v="1"/>
    <x v="6"/>
    <x v="1"/>
    <n v="0.35336835027635216"/>
  </r>
  <r>
    <x v="685"/>
    <d v="2026-02-25T00:00:00"/>
    <x v="155"/>
    <x v="9"/>
    <x v="0"/>
    <x v="11"/>
    <n v="4"/>
    <n v="3250.51"/>
    <n v="0"/>
    <n v="13002.04"/>
    <n v="9958.2900000000009"/>
    <n v="3043.75"/>
    <x v="1"/>
    <x v="2"/>
    <x v="1"/>
    <x v="1"/>
    <x v="0"/>
    <n v="0.23409788002498069"/>
  </r>
  <r>
    <x v="686"/>
    <d v="2026-03-16T00:00:00"/>
    <x v="232"/>
    <x v="4"/>
    <x v="1"/>
    <x v="12"/>
    <n v="4"/>
    <n v="3255.65"/>
    <n v="0.2"/>
    <n v="10418.08"/>
    <n v="6048.12"/>
    <n v="4369.96"/>
    <x v="0"/>
    <x v="0"/>
    <x v="1"/>
    <x v="0"/>
    <x v="0"/>
    <n v="0.41945924776926269"/>
  </r>
  <r>
    <x v="687"/>
    <d v="2026-08-23T00:00:00"/>
    <x v="246"/>
    <x v="8"/>
    <x v="2"/>
    <x v="14"/>
    <n v="3"/>
    <n v="3275.75"/>
    <n v="0.1"/>
    <n v="8844.52"/>
    <n v="6426.85"/>
    <n v="2417.67"/>
    <x v="0"/>
    <x v="2"/>
    <x v="0"/>
    <x v="6"/>
    <x v="0"/>
    <n v="0.27335231307069235"/>
  </r>
  <r>
    <x v="688"/>
    <d v="2025-02-03T00:00:00"/>
    <x v="240"/>
    <x v="6"/>
    <x v="2"/>
    <x v="13"/>
    <n v="6"/>
    <n v="3277.51"/>
    <n v="0.1"/>
    <n v="17698.55"/>
    <n v="10350.26"/>
    <n v="7348.29"/>
    <x v="0"/>
    <x v="2"/>
    <x v="1"/>
    <x v="1"/>
    <x v="1"/>
    <n v="0.41519163999310682"/>
  </r>
  <r>
    <x v="689"/>
    <d v="2025-08-06T00:00:00"/>
    <x v="273"/>
    <x v="2"/>
    <x v="3"/>
    <x v="6"/>
    <n v="5"/>
    <n v="3290.28"/>
    <n v="0"/>
    <n v="16451.400000000001"/>
    <n v="12127.53"/>
    <n v="4323.87"/>
    <x v="1"/>
    <x v="1"/>
    <x v="1"/>
    <x v="6"/>
    <x v="1"/>
    <n v="0.26282687187716541"/>
  </r>
  <r>
    <x v="690"/>
    <d v="2026-07-17T00:00:00"/>
    <x v="197"/>
    <x v="8"/>
    <x v="2"/>
    <x v="3"/>
    <n v="2"/>
    <n v="3299.56"/>
    <n v="0.15"/>
    <n v="5609.25"/>
    <n v="4501.78"/>
    <n v="1107.47"/>
    <x v="1"/>
    <x v="1"/>
    <x v="0"/>
    <x v="2"/>
    <x v="0"/>
    <n v="0.19743637741231002"/>
  </r>
  <r>
    <x v="691"/>
    <d v="2026-03-03T00:00:00"/>
    <x v="364"/>
    <x v="7"/>
    <x v="0"/>
    <x v="9"/>
    <n v="4"/>
    <n v="3302.94"/>
    <n v="0"/>
    <n v="13211.76"/>
    <n v="9886.7999999999993"/>
    <n v="3324.96"/>
    <x v="0"/>
    <x v="3"/>
    <x v="0"/>
    <x v="0"/>
    <x v="0"/>
    <n v="0.25166669694272376"/>
  </r>
  <r>
    <x v="692"/>
    <d v="2025-10-08T00:00:00"/>
    <x v="96"/>
    <x v="6"/>
    <x v="2"/>
    <x v="15"/>
    <n v="5"/>
    <n v="3302.99"/>
    <n v="0.1"/>
    <n v="14863.45"/>
    <n v="9643.08"/>
    <n v="5220.37"/>
    <x v="0"/>
    <x v="1"/>
    <x v="1"/>
    <x v="11"/>
    <x v="1"/>
    <n v="0.35122195721720056"/>
  </r>
  <r>
    <x v="693"/>
    <d v="2026-06-17T00:00:00"/>
    <x v="278"/>
    <x v="3"/>
    <x v="3"/>
    <x v="10"/>
    <n v="5"/>
    <n v="3306.44"/>
    <n v="0"/>
    <n v="16532.2"/>
    <n v="13702.95"/>
    <n v="2829.25"/>
    <x v="0"/>
    <x v="0"/>
    <x v="1"/>
    <x v="10"/>
    <x v="0"/>
    <n v="0.17113572301327107"/>
  </r>
  <r>
    <x v="694"/>
    <d v="2025-11-21T00:00:00"/>
    <x v="308"/>
    <x v="6"/>
    <x v="3"/>
    <x v="4"/>
    <n v="6"/>
    <n v="3311.98"/>
    <n v="0.05"/>
    <n v="18878.29"/>
    <n v="12130.91"/>
    <n v="6747.38"/>
    <x v="1"/>
    <x v="3"/>
    <x v="0"/>
    <x v="3"/>
    <x v="1"/>
    <n v="0.3574147870384447"/>
  </r>
  <r>
    <x v="695"/>
    <d v="2026-02-02T00:00:00"/>
    <x v="226"/>
    <x v="2"/>
    <x v="2"/>
    <x v="14"/>
    <n v="6"/>
    <n v="3315.11"/>
    <n v="0.15"/>
    <n v="16907.060000000001"/>
    <n v="13876.06"/>
    <n v="3031"/>
    <x v="1"/>
    <x v="1"/>
    <x v="1"/>
    <x v="1"/>
    <x v="0"/>
    <n v="0.17927422035528351"/>
  </r>
  <r>
    <x v="696"/>
    <d v="2026-05-29T00:00:00"/>
    <x v="10"/>
    <x v="0"/>
    <x v="3"/>
    <x v="10"/>
    <n v="3"/>
    <n v="3317.98"/>
    <n v="0.1"/>
    <n v="8958.5499999999993"/>
    <n v="6261.22"/>
    <n v="2697.33"/>
    <x v="0"/>
    <x v="3"/>
    <x v="1"/>
    <x v="5"/>
    <x v="0"/>
    <n v="0.3010900201483499"/>
  </r>
  <r>
    <x v="697"/>
    <d v="2025-10-31T00:00:00"/>
    <x v="382"/>
    <x v="7"/>
    <x v="2"/>
    <x v="3"/>
    <n v="4"/>
    <n v="3321.41"/>
    <n v="0"/>
    <n v="13285.64"/>
    <n v="10049.68"/>
    <n v="3235.96"/>
    <x v="1"/>
    <x v="2"/>
    <x v="0"/>
    <x v="11"/>
    <x v="1"/>
    <n v="0.24356824360738363"/>
  </r>
  <r>
    <x v="698"/>
    <d v="2026-02-18T00:00:00"/>
    <x v="383"/>
    <x v="4"/>
    <x v="3"/>
    <x v="10"/>
    <n v="3"/>
    <n v="3322.44"/>
    <n v="0"/>
    <n v="9967.32"/>
    <n v="6851.04"/>
    <n v="3116.28"/>
    <x v="1"/>
    <x v="1"/>
    <x v="1"/>
    <x v="1"/>
    <x v="0"/>
    <n v="0.3126497393481899"/>
  </r>
  <r>
    <x v="699"/>
    <d v="2025-04-26T00:00:00"/>
    <x v="250"/>
    <x v="0"/>
    <x v="0"/>
    <x v="11"/>
    <n v="5"/>
    <n v="3324.59"/>
    <n v="0.1"/>
    <n v="14960.66"/>
    <n v="11387.66"/>
    <n v="3573"/>
    <x v="1"/>
    <x v="2"/>
    <x v="1"/>
    <x v="8"/>
    <x v="1"/>
    <n v="0.23882636193857759"/>
  </r>
  <r>
    <x v="700"/>
    <d v="2026-01-18T00:00:00"/>
    <x v="384"/>
    <x v="9"/>
    <x v="3"/>
    <x v="10"/>
    <n v="1"/>
    <n v="3337.43"/>
    <n v="0"/>
    <n v="3337.43"/>
    <n v="2077.0100000000002"/>
    <n v="1260.42"/>
    <x v="0"/>
    <x v="2"/>
    <x v="1"/>
    <x v="9"/>
    <x v="0"/>
    <n v="0.37766185358194782"/>
  </r>
  <r>
    <x v="701"/>
    <d v="2026-05-05T00:00:00"/>
    <x v="142"/>
    <x v="0"/>
    <x v="0"/>
    <x v="1"/>
    <n v="5"/>
    <n v="3339.74"/>
    <n v="0.15"/>
    <n v="14193.89"/>
    <n v="8673.82"/>
    <n v="5520.07"/>
    <x v="0"/>
    <x v="2"/>
    <x v="0"/>
    <x v="5"/>
    <x v="0"/>
    <n v="0.38890466249914574"/>
  </r>
  <r>
    <x v="702"/>
    <d v="2025-08-06T00:00:00"/>
    <x v="385"/>
    <x v="7"/>
    <x v="2"/>
    <x v="13"/>
    <n v="6"/>
    <n v="3343.67"/>
    <n v="0.15"/>
    <n v="17052.72"/>
    <n v="13625.76"/>
    <n v="3426.96"/>
    <x v="0"/>
    <x v="0"/>
    <x v="0"/>
    <x v="6"/>
    <x v="1"/>
    <n v="0.20096266167508761"/>
  </r>
  <r>
    <x v="703"/>
    <d v="2025-03-28T00:00:00"/>
    <x v="48"/>
    <x v="6"/>
    <x v="2"/>
    <x v="3"/>
    <n v="2"/>
    <n v="3353.48"/>
    <n v="0.1"/>
    <n v="6036.26"/>
    <n v="4822.62"/>
    <n v="1213.6400000000001"/>
    <x v="0"/>
    <x v="3"/>
    <x v="0"/>
    <x v="0"/>
    <x v="1"/>
    <n v="0.20105827118116185"/>
  </r>
  <r>
    <x v="704"/>
    <d v="2025-08-31T00:00:00"/>
    <x v="202"/>
    <x v="6"/>
    <x v="1"/>
    <x v="12"/>
    <n v="2"/>
    <n v="3355.02"/>
    <n v="0.05"/>
    <n v="6374.54"/>
    <n v="4098.3900000000003"/>
    <n v="2276.15"/>
    <x v="1"/>
    <x v="3"/>
    <x v="1"/>
    <x v="6"/>
    <x v="1"/>
    <n v="0.35706890222667048"/>
  </r>
  <r>
    <x v="705"/>
    <d v="2025-03-04T00:00:00"/>
    <x v="162"/>
    <x v="7"/>
    <x v="1"/>
    <x v="2"/>
    <n v="4"/>
    <n v="3355.33"/>
    <n v="0"/>
    <n v="13421.32"/>
    <n v="8626.1"/>
    <n v="4795.22"/>
    <x v="0"/>
    <x v="0"/>
    <x v="1"/>
    <x v="0"/>
    <x v="1"/>
    <n v="0.3572837843073558"/>
  </r>
  <r>
    <x v="706"/>
    <d v="2025-08-27T00:00:00"/>
    <x v="386"/>
    <x v="1"/>
    <x v="2"/>
    <x v="13"/>
    <n v="2"/>
    <n v="3358.68"/>
    <n v="0.15"/>
    <n v="5709.76"/>
    <n v="4743.2299999999996"/>
    <n v="966.53"/>
    <x v="1"/>
    <x v="0"/>
    <x v="1"/>
    <x v="6"/>
    <x v="1"/>
    <n v="0.16927681723925347"/>
  </r>
  <r>
    <x v="707"/>
    <d v="2025-08-26T00:00:00"/>
    <x v="202"/>
    <x v="8"/>
    <x v="2"/>
    <x v="19"/>
    <n v="2"/>
    <n v="3361.07"/>
    <n v="0.1"/>
    <n v="6049.93"/>
    <n v="4896.82"/>
    <n v="1153.1099999999999"/>
    <x v="1"/>
    <x v="1"/>
    <x v="1"/>
    <x v="6"/>
    <x v="1"/>
    <n v="0.19059889949139905"/>
  </r>
  <r>
    <x v="708"/>
    <d v="2025-07-07T00:00:00"/>
    <x v="386"/>
    <x v="2"/>
    <x v="0"/>
    <x v="17"/>
    <n v="2"/>
    <n v="3361.48"/>
    <n v="0.15"/>
    <n v="5714.52"/>
    <n v="3250.65"/>
    <n v="2463.87"/>
    <x v="0"/>
    <x v="3"/>
    <x v="1"/>
    <x v="2"/>
    <x v="1"/>
    <n v="0.43115957245752917"/>
  </r>
  <r>
    <x v="709"/>
    <d v="2025-11-02T00:00:00"/>
    <x v="40"/>
    <x v="0"/>
    <x v="0"/>
    <x v="9"/>
    <n v="2"/>
    <n v="3361.76"/>
    <n v="0"/>
    <n v="6723.52"/>
    <n v="5676.17"/>
    <n v="1047.3499999999999"/>
    <x v="0"/>
    <x v="2"/>
    <x v="1"/>
    <x v="3"/>
    <x v="1"/>
    <n v="0.15577405882632905"/>
  </r>
  <r>
    <x v="710"/>
    <d v="2025-10-17T00:00:00"/>
    <x v="312"/>
    <x v="9"/>
    <x v="1"/>
    <x v="16"/>
    <n v="6"/>
    <n v="3369.69"/>
    <n v="0"/>
    <n v="20218.14"/>
    <n v="12229.23"/>
    <n v="7988.91"/>
    <x v="0"/>
    <x v="2"/>
    <x v="1"/>
    <x v="11"/>
    <x v="1"/>
    <n v="0.39513575432754944"/>
  </r>
  <r>
    <x v="711"/>
    <d v="2025-08-16T00:00:00"/>
    <x v="387"/>
    <x v="7"/>
    <x v="0"/>
    <x v="11"/>
    <n v="1"/>
    <n v="3372.07"/>
    <n v="0"/>
    <n v="3372.07"/>
    <n v="2017.43"/>
    <n v="1354.64"/>
    <x v="0"/>
    <x v="0"/>
    <x v="1"/>
    <x v="6"/>
    <x v="1"/>
    <n v="0.40172357038851508"/>
  </r>
  <r>
    <x v="712"/>
    <d v="2026-08-31T00:00:00"/>
    <x v="388"/>
    <x v="2"/>
    <x v="1"/>
    <x v="7"/>
    <n v="4"/>
    <n v="3373.84"/>
    <n v="0.15"/>
    <n v="11471.06"/>
    <n v="6381.73"/>
    <n v="5089.33"/>
    <x v="1"/>
    <x v="0"/>
    <x v="0"/>
    <x v="6"/>
    <x v="0"/>
    <n v="0.4436669322625808"/>
  </r>
  <r>
    <x v="713"/>
    <d v="2026-06-06T00:00:00"/>
    <x v="230"/>
    <x v="2"/>
    <x v="3"/>
    <x v="10"/>
    <n v="6"/>
    <n v="3375"/>
    <n v="0"/>
    <n v="20250"/>
    <n v="15533.24"/>
    <n v="4716.76"/>
    <x v="1"/>
    <x v="3"/>
    <x v="0"/>
    <x v="10"/>
    <x v="0"/>
    <n v="0.23292641975308642"/>
  </r>
  <r>
    <x v="714"/>
    <d v="2025-02-23T00:00:00"/>
    <x v="389"/>
    <x v="3"/>
    <x v="2"/>
    <x v="3"/>
    <n v="1"/>
    <n v="3375.21"/>
    <n v="0"/>
    <n v="3375.21"/>
    <n v="2762.19"/>
    <n v="613.02"/>
    <x v="0"/>
    <x v="3"/>
    <x v="0"/>
    <x v="1"/>
    <x v="1"/>
    <n v="0.18162425449083167"/>
  </r>
  <r>
    <x v="715"/>
    <d v="2025-02-04T00:00:00"/>
    <x v="73"/>
    <x v="6"/>
    <x v="1"/>
    <x v="7"/>
    <n v="6"/>
    <n v="3380.11"/>
    <n v="0"/>
    <n v="20280.66"/>
    <n v="14209.15"/>
    <n v="6071.51"/>
    <x v="1"/>
    <x v="2"/>
    <x v="0"/>
    <x v="1"/>
    <x v="1"/>
    <n v="0.29937437933479483"/>
  </r>
  <r>
    <x v="716"/>
    <d v="2026-01-28T00:00:00"/>
    <x v="39"/>
    <x v="6"/>
    <x v="3"/>
    <x v="4"/>
    <n v="4"/>
    <n v="3386.48"/>
    <n v="0"/>
    <n v="13545.92"/>
    <n v="10650.81"/>
    <n v="2895.11"/>
    <x v="0"/>
    <x v="2"/>
    <x v="0"/>
    <x v="9"/>
    <x v="0"/>
    <n v="0.21372560889182871"/>
  </r>
  <r>
    <x v="717"/>
    <d v="2025-12-09T00:00:00"/>
    <x v="390"/>
    <x v="3"/>
    <x v="1"/>
    <x v="12"/>
    <n v="1"/>
    <n v="3387.32"/>
    <n v="0"/>
    <n v="3387.32"/>
    <n v="2003.37"/>
    <n v="1383.95"/>
    <x v="1"/>
    <x v="2"/>
    <x v="0"/>
    <x v="7"/>
    <x v="1"/>
    <n v="0.40856783533885194"/>
  </r>
  <r>
    <x v="718"/>
    <d v="2026-05-19T00:00:00"/>
    <x v="294"/>
    <x v="4"/>
    <x v="1"/>
    <x v="12"/>
    <n v="1"/>
    <n v="3395.48"/>
    <n v="0"/>
    <n v="3395.48"/>
    <n v="2311.85"/>
    <n v="1083.6300000000001"/>
    <x v="0"/>
    <x v="0"/>
    <x v="1"/>
    <x v="5"/>
    <x v="0"/>
    <n v="0.31913897298761884"/>
  </r>
  <r>
    <x v="719"/>
    <d v="2025-01-30T00:00:00"/>
    <x v="371"/>
    <x v="4"/>
    <x v="0"/>
    <x v="11"/>
    <n v="5"/>
    <n v="3407.65"/>
    <n v="0.05"/>
    <n v="16186.34"/>
    <n v="9094.39"/>
    <n v="7091.95"/>
    <x v="1"/>
    <x v="3"/>
    <x v="1"/>
    <x v="9"/>
    <x v="1"/>
    <n v="0.43814413882322994"/>
  </r>
  <r>
    <x v="720"/>
    <d v="2025-02-01T00:00:00"/>
    <x v="228"/>
    <x v="9"/>
    <x v="3"/>
    <x v="8"/>
    <n v="2"/>
    <n v="3409.48"/>
    <n v="0.1"/>
    <n v="6137.06"/>
    <n v="4758.6099999999997"/>
    <n v="1378.45"/>
    <x v="1"/>
    <x v="0"/>
    <x v="1"/>
    <x v="1"/>
    <x v="1"/>
    <n v="0.22461080712914652"/>
  </r>
  <r>
    <x v="721"/>
    <d v="2026-06-10T00:00:00"/>
    <x v="224"/>
    <x v="5"/>
    <x v="2"/>
    <x v="13"/>
    <n v="6"/>
    <n v="3417.98"/>
    <n v="0"/>
    <n v="20507.88"/>
    <n v="13752.05"/>
    <n v="6755.83"/>
    <x v="1"/>
    <x v="3"/>
    <x v="1"/>
    <x v="10"/>
    <x v="0"/>
    <n v="0.32942605476529019"/>
  </r>
  <r>
    <x v="722"/>
    <d v="2025-02-07T00:00:00"/>
    <x v="370"/>
    <x v="0"/>
    <x v="3"/>
    <x v="10"/>
    <n v="5"/>
    <n v="3422.88"/>
    <n v="0.1"/>
    <n v="15402.96"/>
    <n v="10940.71"/>
    <n v="4462.25"/>
    <x v="0"/>
    <x v="0"/>
    <x v="1"/>
    <x v="1"/>
    <x v="1"/>
    <n v="0.28970081075325782"/>
  </r>
  <r>
    <x v="723"/>
    <d v="2026-05-22T00:00:00"/>
    <x v="95"/>
    <x v="6"/>
    <x v="1"/>
    <x v="16"/>
    <n v="3"/>
    <n v="3430.52"/>
    <n v="0.1"/>
    <n v="9262.4"/>
    <n v="7706.76"/>
    <n v="1555.64"/>
    <x v="1"/>
    <x v="0"/>
    <x v="1"/>
    <x v="5"/>
    <x v="0"/>
    <n v="0.16795215063050614"/>
  </r>
  <r>
    <x v="724"/>
    <d v="2026-04-05T00:00:00"/>
    <x v="178"/>
    <x v="7"/>
    <x v="2"/>
    <x v="13"/>
    <n v="2"/>
    <n v="3437.34"/>
    <n v="0"/>
    <n v="6874.68"/>
    <n v="5629.12"/>
    <n v="1245.56"/>
    <x v="0"/>
    <x v="2"/>
    <x v="0"/>
    <x v="8"/>
    <x v="0"/>
    <n v="0.18118079677890461"/>
  </r>
  <r>
    <x v="725"/>
    <d v="2025-05-06T00:00:00"/>
    <x v="113"/>
    <x v="2"/>
    <x v="0"/>
    <x v="11"/>
    <n v="3"/>
    <n v="3440.49"/>
    <n v="0"/>
    <n v="10321.469999999999"/>
    <n v="8183.45"/>
    <n v="2138.02"/>
    <x v="0"/>
    <x v="1"/>
    <x v="0"/>
    <x v="5"/>
    <x v="1"/>
    <n v="0.20714297478944377"/>
  </r>
  <r>
    <x v="726"/>
    <d v="2025-12-03T00:00:00"/>
    <x v="320"/>
    <x v="5"/>
    <x v="0"/>
    <x v="9"/>
    <n v="1"/>
    <n v="3472.7"/>
    <n v="0"/>
    <n v="3472.7"/>
    <n v="2281.7199999999998"/>
    <n v="1190.98"/>
    <x v="1"/>
    <x v="2"/>
    <x v="1"/>
    <x v="7"/>
    <x v="1"/>
    <n v="0.3429550493852046"/>
  </r>
  <r>
    <x v="727"/>
    <d v="2026-04-16T00:00:00"/>
    <x v="391"/>
    <x v="9"/>
    <x v="3"/>
    <x v="8"/>
    <n v="6"/>
    <n v="3475.22"/>
    <n v="0.2"/>
    <n v="16681.060000000001"/>
    <n v="13012.89"/>
    <n v="3668.17"/>
    <x v="1"/>
    <x v="0"/>
    <x v="1"/>
    <x v="8"/>
    <x v="0"/>
    <n v="0.21990029410601003"/>
  </r>
  <r>
    <x v="728"/>
    <d v="2026-01-13T00:00:00"/>
    <x v="71"/>
    <x v="3"/>
    <x v="3"/>
    <x v="4"/>
    <n v="6"/>
    <n v="3477.95"/>
    <n v="0.2"/>
    <n v="16694.16"/>
    <n v="13343.13"/>
    <n v="3351.03"/>
    <x v="0"/>
    <x v="3"/>
    <x v="1"/>
    <x v="9"/>
    <x v="0"/>
    <n v="0.20073067467904945"/>
  </r>
  <r>
    <x v="729"/>
    <d v="2026-05-31T00:00:00"/>
    <x v="191"/>
    <x v="0"/>
    <x v="1"/>
    <x v="12"/>
    <n v="2"/>
    <n v="3479.55"/>
    <n v="0.2"/>
    <n v="5567.28"/>
    <n v="4074.95"/>
    <n v="1492.33"/>
    <x v="1"/>
    <x v="0"/>
    <x v="1"/>
    <x v="5"/>
    <x v="0"/>
    <n v="0.26805369947263297"/>
  </r>
  <r>
    <x v="730"/>
    <d v="2026-04-19T00:00:00"/>
    <x v="91"/>
    <x v="3"/>
    <x v="2"/>
    <x v="13"/>
    <n v="6"/>
    <n v="3481.5"/>
    <n v="0.1"/>
    <n v="18800.099999999999"/>
    <n v="14914.48"/>
    <n v="3885.62"/>
    <x v="0"/>
    <x v="3"/>
    <x v="1"/>
    <x v="8"/>
    <x v="0"/>
    <n v="0.206680815527577"/>
  </r>
  <r>
    <x v="731"/>
    <d v="2025-09-29T00:00:00"/>
    <x v="259"/>
    <x v="2"/>
    <x v="0"/>
    <x v="11"/>
    <n v="2"/>
    <n v="3483.35"/>
    <n v="0"/>
    <n v="6966.7"/>
    <n v="5027.79"/>
    <n v="1938.91"/>
    <x v="1"/>
    <x v="2"/>
    <x v="1"/>
    <x v="4"/>
    <x v="1"/>
    <n v="0.2783111085592892"/>
  </r>
  <r>
    <x v="732"/>
    <d v="2026-03-04T00:00:00"/>
    <x v="392"/>
    <x v="5"/>
    <x v="0"/>
    <x v="11"/>
    <n v="1"/>
    <n v="3483.96"/>
    <n v="0.1"/>
    <n v="3135.56"/>
    <n v="1767.53"/>
    <n v="1368.03"/>
    <x v="0"/>
    <x v="3"/>
    <x v="1"/>
    <x v="0"/>
    <x v="0"/>
    <n v="0.43629527102016863"/>
  </r>
  <r>
    <x v="733"/>
    <d v="2026-06-24T00:00:00"/>
    <x v="50"/>
    <x v="1"/>
    <x v="3"/>
    <x v="8"/>
    <n v="2"/>
    <n v="3484.67"/>
    <n v="0.1"/>
    <n v="6272.41"/>
    <n v="5122.28"/>
    <n v="1150.1300000000001"/>
    <x v="0"/>
    <x v="3"/>
    <x v="0"/>
    <x v="10"/>
    <x v="0"/>
    <n v="0.18336333243522029"/>
  </r>
  <r>
    <x v="734"/>
    <d v="2025-03-11T00:00:00"/>
    <x v="68"/>
    <x v="1"/>
    <x v="1"/>
    <x v="16"/>
    <n v="2"/>
    <n v="3485.48"/>
    <n v="0.1"/>
    <n v="6273.86"/>
    <n v="4334.6899999999996"/>
    <n v="1939.17"/>
    <x v="0"/>
    <x v="3"/>
    <x v="1"/>
    <x v="0"/>
    <x v="1"/>
    <n v="0.30908722859611149"/>
  </r>
  <r>
    <x v="735"/>
    <d v="2026-05-28T00:00:00"/>
    <x v="341"/>
    <x v="8"/>
    <x v="1"/>
    <x v="2"/>
    <n v="6"/>
    <n v="3491.88"/>
    <n v="0.2"/>
    <n v="16761.02"/>
    <n v="11002.13"/>
    <n v="5758.89"/>
    <x v="0"/>
    <x v="2"/>
    <x v="1"/>
    <x v="5"/>
    <x v="0"/>
    <n v="0.34358827804035796"/>
  </r>
  <r>
    <x v="736"/>
    <d v="2026-01-17T00:00:00"/>
    <x v="257"/>
    <x v="0"/>
    <x v="2"/>
    <x v="13"/>
    <n v="4"/>
    <n v="3499.2"/>
    <n v="0.2"/>
    <n v="11197.44"/>
    <n v="7408.95"/>
    <n v="3788.49"/>
    <x v="1"/>
    <x v="1"/>
    <x v="1"/>
    <x v="9"/>
    <x v="0"/>
    <n v="0.3383353695130315"/>
  </r>
  <r>
    <x v="737"/>
    <d v="2025-10-07T00:00:00"/>
    <x v="330"/>
    <x v="5"/>
    <x v="0"/>
    <x v="17"/>
    <n v="6"/>
    <n v="3505.62"/>
    <n v="0"/>
    <n v="21033.72"/>
    <n v="13240.96"/>
    <n v="7792.76"/>
    <x v="0"/>
    <x v="0"/>
    <x v="1"/>
    <x v="11"/>
    <x v="1"/>
    <n v="0.37048891018802188"/>
  </r>
  <r>
    <x v="738"/>
    <d v="2025-07-10T00:00:00"/>
    <x v="133"/>
    <x v="2"/>
    <x v="1"/>
    <x v="7"/>
    <n v="1"/>
    <n v="3506.46"/>
    <n v="0.2"/>
    <n v="2805.17"/>
    <n v="1893.04"/>
    <n v="912.13"/>
    <x v="0"/>
    <x v="2"/>
    <x v="1"/>
    <x v="2"/>
    <x v="1"/>
    <n v="0.32516032896401997"/>
  </r>
  <r>
    <x v="739"/>
    <d v="2025-11-27T00:00:00"/>
    <x v="224"/>
    <x v="5"/>
    <x v="1"/>
    <x v="2"/>
    <n v="1"/>
    <n v="3513.78"/>
    <n v="0"/>
    <n v="3513.78"/>
    <n v="2896.76"/>
    <n v="617.02"/>
    <x v="0"/>
    <x v="3"/>
    <x v="0"/>
    <x v="3"/>
    <x v="1"/>
    <n v="0.17560006602576142"/>
  </r>
  <r>
    <x v="740"/>
    <d v="2026-04-26T00:00:00"/>
    <x v="355"/>
    <x v="8"/>
    <x v="1"/>
    <x v="16"/>
    <n v="2"/>
    <n v="3516.07"/>
    <n v="0.1"/>
    <n v="6328.93"/>
    <n v="4577.4799999999996"/>
    <n v="1751.45"/>
    <x v="1"/>
    <x v="1"/>
    <x v="0"/>
    <x v="8"/>
    <x v="0"/>
    <n v="0.27673714198134597"/>
  </r>
  <r>
    <x v="741"/>
    <d v="2025-11-12T00:00:00"/>
    <x v="136"/>
    <x v="8"/>
    <x v="3"/>
    <x v="5"/>
    <n v="4"/>
    <n v="3516.15"/>
    <n v="0.2"/>
    <n v="11251.68"/>
    <n v="9311.66"/>
    <n v="1940.02"/>
    <x v="0"/>
    <x v="0"/>
    <x v="1"/>
    <x v="3"/>
    <x v="1"/>
    <n v="0.17242047409809025"/>
  </r>
  <r>
    <x v="742"/>
    <d v="2025-09-21T00:00:00"/>
    <x v="308"/>
    <x v="2"/>
    <x v="2"/>
    <x v="3"/>
    <n v="6"/>
    <n v="3520.23"/>
    <n v="0.05"/>
    <n v="20065.310000000001"/>
    <n v="16390.34"/>
    <n v="3674.97"/>
    <x v="1"/>
    <x v="1"/>
    <x v="0"/>
    <x v="4"/>
    <x v="1"/>
    <n v="0.1831504222959924"/>
  </r>
  <r>
    <x v="743"/>
    <d v="2026-01-20T00:00:00"/>
    <x v="393"/>
    <x v="9"/>
    <x v="3"/>
    <x v="5"/>
    <n v="5"/>
    <n v="3520.63"/>
    <n v="0.1"/>
    <n v="15842.84"/>
    <n v="11806.6"/>
    <n v="4036.24"/>
    <x v="1"/>
    <x v="3"/>
    <x v="1"/>
    <x v="9"/>
    <x v="0"/>
    <n v="0.25476745331013884"/>
  </r>
  <r>
    <x v="744"/>
    <d v="2025-06-12T00:00:00"/>
    <x v="394"/>
    <x v="8"/>
    <x v="2"/>
    <x v="13"/>
    <n v="2"/>
    <n v="3532.6"/>
    <n v="0.2"/>
    <n v="5652.16"/>
    <n v="3575.98"/>
    <n v="2076.1799999999998"/>
    <x v="1"/>
    <x v="2"/>
    <x v="1"/>
    <x v="10"/>
    <x v="1"/>
    <n v="0.36732505803091203"/>
  </r>
  <r>
    <x v="745"/>
    <d v="2025-03-16T00:00:00"/>
    <x v="395"/>
    <x v="10"/>
    <x v="2"/>
    <x v="13"/>
    <n v="5"/>
    <n v="3538.49"/>
    <n v="0.1"/>
    <n v="15923.2"/>
    <n v="12562.07"/>
    <n v="3361.13"/>
    <x v="1"/>
    <x v="0"/>
    <x v="1"/>
    <x v="0"/>
    <x v="1"/>
    <n v="0.21108382737138262"/>
  </r>
  <r>
    <x v="746"/>
    <d v="2025-06-02T00:00:00"/>
    <x v="251"/>
    <x v="9"/>
    <x v="1"/>
    <x v="16"/>
    <n v="2"/>
    <n v="3542.17"/>
    <n v="0.05"/>
    <n v="6730.12"/>
    <n v="4901.91"/>
    <n v="1828.21"/>
    <x v="1"/>
    <x v="3"/>
    <x v="1"/>
    <x v="10"/>
    <x v="1"/>
    <n v="0.27164597362305576"/>
  </r>
  <r>
    <x v="747"/>
    <d v="2025-02-20T00:00:00"/>
    <x v="225"/>
    <x v="8"/>
    <x v="3"/>
    <x v="10"/>
    <n v="3"/>
    <n v="3547.24"/>
    <n v="0.2"/>
    <n v="8513.3799999999992"/>
    <n v="4957.01"/>
    <n v="3556.37"/>
    <x v="0"/>
    <x v="3"/>
    <x v="0"/>
    <x v="1"/>
    <x v="1"/>
    <n v="0.41773890041323192"/>
  </r>
  <r>
    <x v="748"/>
    <d v="2025-06-17T00:00:00"/>
    <x v="289"/>
    <x v="3"/>
    <x v="2"/>
    <x v="15"/>
    <n v="1"/>
    <n v="3561.82"/>
    <n v="0.2"/>
    <n v="2849.46"/>
    <n v="1928"/>
    <n v="921.46"/>
    <x v="0"/>
    <x v="1"/>
    <x v="1"/>
    <x v="10"/>
    <x v="1"/>
    <n v="0.32338057035368106"/>
  </r>
  <r>
    <x v="749"/>
    <d v="2025-11-23T00:00:00"/>
    <x v="30"/>
    <x v="8"/>
    <x v="0"/>
    <x v="17"/>
    <n v="6"/>
    <n v="3562.24"/>
    <n v="0.05"/>
    <n v="20304.77"/>
    <n v="16031.51"/>
    <n v="4273.26"/>
    <x v="1"/>
    <x v="1"/>
    <x v="1"/>
    <x v="3"/>
    <x v="1"/>
    <n v="0.21045596675066991"/>
  </r>
  <r>
    <x v="750"/>
    <d v="2026-01-24T00:00:00"/>
    <x v="249"/>
    <x v="1"/>
    <x v="0"/>
    <x v="0"/>
    <n v="1"/>
    <n v="3562.55"/>
    <n v="0"/>
    <n v="3562.55"/>
    <n v="2338.25"/>
    <n v="1224.3"/>
    <x v="0"/>
    <x v="2"/>
    <x v="0"/>
    <x v="9"/>
    <x v="0"/>
    <n v="0.34365833461986495"/>
  </r>
  <r>
    <x v="751"/>
    <d v="2025-09-11T00:00:00"/>
    <x v="345"/>
    <x v="2"/>
    <x v="0"/>
    <x v="1"/>
    <n v="1"/>
    <n v="3565.27"/>
    <n v="0.1"/>
    <n v="3208.74"/>
    <n v="1956.66"/>
    <n v="1252.08"/>
    <x v="1"/>
    <x v="1"/>
    <x v="1"/>
    <x v="4"/>
    <x v="1"/>
    <n v="0.39020924101049009"/>
  </r>
  <r>
    <x v="752"/>
    <d v="2026-04-10T00:00:00"/>
    <x v="396"/>
    <x v="3"/>
    <x v="1"/>
    <x v="2"/>
    <n v="4"/>
    <n v="3568.71"/>
    <n v="0.05"/>
    <n v="13561.1"/>
    <n v="8356.41"/>
    <n v="5204.6899999999996"/>
    <x v="1"/>
    <x v="2"/>
    <x v="1"/>
    <x v="8"/>
    <x v="0"/>
    <n v="0.38379556230689249"/>
  </r>
  <r>
    <x v="753"/>
    <d v="2025-10-11T00:00:00"/>
    <x v="110"/>
    <x v="7"/>
    <x v="1"/>
    <x v="18"/>
    <n v="2"/>
    <n v="3576.69"/>
    <n v="0.15"/>
    <n v="6080.37"/>
    <n v="4755.9399999999996"/>
    <n v="1324.43"/>
    <x v="0"/>
    <x v="3"/>
    <x v="0"/>
    <x v="11"/>
    <x v="1"/>
    <n v="0.21782062604742805"/>
  </r>
  <r>
    <x v="754"/>
    <d v="2025-04-25T00:00:00"/>
    <x v="220"/>
    <x v="2"/>
    <x v="3"/>
    <x v="8"/>
    <n v="6"/>
    <n v="3577.95"/>
    <n v="0.2"/>
    <n v="17174.16"/>
    <n v="11282.8"/>
    <n v="5891.36"/>
    <x v="1"/>
    <x v="3"/>
    <x v="0"/>
    <x v="8"/>
    <x v="1"/>
    <n v="0.34303628241497691"/>
  </r>
  <r>
    <x v="755"/>
    <d v="2025-03-06T00:00:00"/>
    <x v="397"/>
    <x v="6"/>
    <x v="0"/>
    <x v="11"/>
    <n v="3"/>
    <n v="3579.13"/>
    <n v="0"/>
    <n v="10737.39"/>
    <n v="8584.99"/>
    <n v="2152.4"/>
    <x v="0"/>
    <x v="0"/>
    <x v="1"/>
    <x v="0"/>
    <x v="1"/>
    <n v="0.20045839817683817"/>
  </r>
  <r>
    <x v="756"/>
    <d v="2025-04-13T00:00:00"/>
    <x v="394"/>
    <x v="3"/>
    <x v="3"/>
    <x v="5"/>
    <n v="6"/>
    <n v="3579.33"/>
    <n v="0"/>
    <n v="21475.98"/>
    <n v="15043.22"/>
    <n v="6432.76"/>
    <x v="1"/>
    <x v="2"/>
    <x v="1"/>
    <x v="8"/>
    <x v="1"/>
    <n v="0.29953278034343489"/>
  </r>
  <r>
    <x v="757"/>
    <d v="2025-03-24T00:00:00"/>
    <x v="106"/>
    <x v="6"/>
    <x v="3"/>
    <x v="5"/>
    <n v="5"/>
    <n v="3579.41"/>
    <n v="0.2"/>
    <n v="14317.64"/>
    <n v="9652.68"/>
    <n v="4664.96"/>
    <x v="1"/>
    <x v="1"/>
    <x v="1"/>
    <x v="0"/>
    <x v="1"/>
    <n v="0.32581905956568263"/>
  </r>
  <r>
    <x v="758"/>
    <d v="2025-12-09T00:00:00"/>
    <x v="258"/>
    <x v="1"/>
    <x v="3"/>
    <x v="4"/>
    <n v="5"/>
    <n v="3580.34"/>
    <n v="0.05"/>
    <n v="17006.62"/>
    <n v="9408.42"/>
    <n v="7598.2"/>
    <x v="1"/>
    <x v="0"/>
    <x v="1"/>
    <x v="7"/>
    <x v="1"/>
    <n v="0.44677896019314833"/>
  </r>
  <r>
    <x v="759"/>
    <d v="2025-06-01T00:00:00"/>
    <x v="160"/>
    <x v="6"/>
    <x v="2"/>
    <x v="13"/>
    <n v="4"/>
    <n v="3582.64"/>
    <n v="0.1"/>
    <n v="12897.5"/>
    <n v="8570.02"/>
    <n v="4327.4799999999996"/>
    <x v="0"/>
    <x v="1"/>
    <x v="0"/>
    <x v="10"/>
    <x v="1"/>
    <n v="0.33552859081217284"/>
  </r>
  <r>
    <x v="760"/>
    <d v="2025-05-05T00:00:00"/>
    <x v="134"/>
    <x v="9"/>
    <x v="0"/>
    <x v="11"/>
    <n v="1"/>
    <n v="3583.67"/>
    <n v="0"/>
    <n v="3583.67"/>
    <n v="2338.2800000000002"/>
    <n v="1245.3900000000001"/>
    <x v="1"/>
    <x v="2"/>
    <x v="1"/>
    <x v="5"/>
    <x v="1"/>
    <n v="0.34751804714161744"/>
  </r>
  <r>
    <x v="761"/>
    <d v="2026-07-06T00:00:00"/>
    <x v="140"/>
    <x v="6"/>
    <x v="2"/>
    <x v="3"/>
    <n v="3"/>
    <n v="3583.91"/>
    <n v="0.15"/>
    <n v="9138.9699999999993"/>
    <n v="6095.94"/>
    <n v="3043.03"/>
    <x v="1"/>
    <x v="1"/>
    <x v="1"/>
    <x v="2"/>
    <x v="0"/>
    <n v="0.33297297179003765"/>
  </r>
  <r>
    <x v="762"/>
    <d v="2026-05-05T00:00:00"/>
    <x v="398"/>
    <x v="7"/>
    <x v="1"/>
    <x v="7"/>
    <n v="4"/>
    <n v="3585.56"/>
    <n v="0"/>
    <n v="14342.24"/>
    <n v="8676.68"/>
    <n v="5665.56"/>
    <x v="1"/>
    <x v="1"/>
    <x v="0"/>
    <x v="5"/>
    <x v="0"/>
    <n v="0.3950261604881804"/>
  </r>
  <r>
    <x v="763"/>
    <d v="2025-03-23T00:00:00"/>
    <x v="399"/>
    <x v="1"/>
    <x v="2"/>
    <x v="13"/>
    <n v="2"/>
    <n v="3586.51"/>
    <n v="0.1"/>
    <n v="6455.72"/>
    <n v="5230.53"/>
    <n v="1225.19"/>
    <x v="0"/>
    <x v="1"/>
    <x v="1"/>
    <x v="0"/>
    <x v="1"/>
    <n v="0.18978363373876189"/>
  </r>
  <r>
    <x v="764"/>
    <d v="2025-04-28T00:00:00"/>
    <x v="189"/>
    <x v="2"/>
    <x v="2"/>
    <x v="13"/>
    <n v="4"/>
    <n v="3588.66"/>
    <n v="0.1"/>
    <n v="12919.18"/>
    <n v="9073.73"/>
    <n v="3845.45"/>
    <x v="1"/>
    <x v="3"/>
    <x v="0"/>
    <x v="8"/>
    <x v="1"/>
    <n v="0.29765434029094723"/>
  </r>
  <r>
    <x v="765"/>
    <d v="2025-01-23T00:00:00"/>
    <x v="400"/>
    <x v="0"/>
    <x v="2"/>
    <x v="3"/>
    <n v="4"/>
    <n v="3589.77"/>
    <n v="0.15"/>
    <n v="12205.22"/>
    <n v="6937.97"/>
    <n v="5267.25"/>
    <x v="1"/>
    <x v="3"/>
    <x v="0"/>
    <x v="9"/>
    <x v="1"/>
    <n v="0.43155715341468653"/>
  </r>
  <r>
    <x v="766"/>
    <d v="2025-12-01T00:00:00"/>
    <x v="401"/>
    <x v="4"/>
    <x v="2"/>
    <x v="14"/>
    <n v="1"/>
    <n v="3593.37"/>
    <n v="0.2"/>
    <n v="2874.7"/>
    <n v="1587.5"/>
    <n v="1287.2"/>
    <x v="1"/>
    <x v="2"/>
    <x v="1"/>
    <x v="7"/>
    <x v="1"/>
    <n v="0.44776846279611793"/>
  </r>
  <r>
    <x v="767"/>
    <d v="2026-06-14T00:00:00"/>
    <x v="351"/>
    <x v="6"/>
    <x v="3"/>
    <x v="6"/>
    <n v="3"/>
    <n v="3598.81"/>
    <n v="0.15"/>
    <n v="9176.9699999999993"/>
    <n v="6699.37"/>
    <n v="2477.6"/>
    <x v="1"/>
    <x v="1"/>
    <x v="1"/>
    <x v="10"/>
    <x v="0"/>
    <n v="0.26998017864284179"/>
  </r>
  <r>
    <x v="768"/>
    <d v="2025-09-13T00:00:00"/>
    <x v="176"/>
    <x v="6"/>
    <x v="1"/>
    <x v="7"/>
    <n v="6"/>
    <n v="3601.51"/>
    <n v="0.15"/>
    <n v="18367.7"/>
    <n v="12010.74"/>
    <n v="6356.96"/>
    <x v="1"/>
    <x v="0"/>
    <x v="1"/>
    <x v="4"/>
    <x v="1"/>
    <n v="0.3460945028501119"/>
  </r>
  <r>
    <x v="769"/>
    <d v="2025-05-13T00:00:00"/>
    <x v="51"/>
    <x v="6"/>
    <x v="2"/>
    <x v="19"/>
    <n v="2"/>
    <n v="3608.35"/>
    <n v="0.1"/>
    <n v="6495.03"/>
    <n v="3616.81"/>
    <n v="2878.22"/>
    <x v="0"/>
    <x v="0"/>
    <x v="1"/>
    <x v="5"/>
    <x v="1"/>
    <n v="0.4431419100450652"/>
  </r>
  <r>
    <x v="770"/>
    <d v="2025-05-08T00:00:00"/>
    <x v="402"/>
    <x v="5"/>
    <x v="1"/>
    <x v="2"/>
    <n v="3"/>
    <n v="3612.32"/>
    <n v="0"/>
    <n v="10836.96"/>
    <n v="8145.27"/>
    <n v="2691.69"/>
    <x v="0"/>
    <x v="1"/>
    <x v="0"/>
    <x v="5"/>
    <x v="1"/>
    <n v="0.24838054214466052"/>
  </r>
  <r>
    <x v="771"/>
    <d v="2025-05-20T00:00:00"/>
    <x v="90"/>
    <x v="8"/>
    <x v="0"/>
    <x v="0"/>
    <n v="5"/>
    <n v="3613.23"/>
    <n v="0"/>
    <n v="18066.150000000001"/>
    <n v="11075.6"/>
    <n v="6990.55"/>
    <x v="1"/>
    <x v="0"/>
    <x v="1"/>
    <x v="5"/>
    <x v="1"/>
    <n v="0.38694187748911635"/>
  </r>
  <r>
    <x v="772"/>
    <d v="2025-03-21T00:00:00"/>
    <x v="403"/>
    <x v="7"/>
    <x v="2"/>
    <x v="13"/>
    <n v="3"/>
    <n v="3613.99"/>
    <n v="0.1"/>
    <n v="9757.77"/>
    <n v="7472.28"/>
    <n v="2285.4899999999998"/>
    <x v="0"/>
    <x v="3"/>
    <x v="1"/>
    <x v="0"/>
    <x v="1"/>
    <n v="0.23422257339535568"/>
  </r>
  <r>
    <x v="773"/>
    <d v="2025-03-27T00:00:00"/>
    <x v="82"/>
    <x v="4"/>
    <x v="1"/>
    <x v="7"/>
    <n v="4"/>
    <n v="3620.75"/>
    <n v="0.1"/>
    <n v="13034.7"/>
    <n v="10029.379999999999"/>
    <n v="3005.32"/>
    <x v="1"/>
    <x v="2"/>
    <x v="1"/>
    <x v="0"/>
    <x v="1"/>
    <n v="0.23056303558961849"/>
  </r>
  <r>
    <x v="774"/>
    <d v="2025-10-28T00:00:00"/>
    <x v="133"/>
    <x v="3"/>
    <x v="0"/>
    <x v="1"/>
    <n v="2"/>
    <n v="3629.94"/>
    <n v="0.05"/>
    <n v="6896.89"/>
    <n v="4869.6400000000003"/>
    <n v="2027.25"/>
    <x v="0"/>
    <x v="0"/>
    <x v="1"/>
    <x v="11"/>
    <x v="1"/>
    <n v="0.29393683239837087"/>
  </r>
  <r>
    <x v="775"/>
    <d v="2025-04-27T00:00:00"/>
    <x v="356"/>
    <x v="1"/>
    <x v="0"/>
    <x v="17"/>
    <n v="5"/>
    <n v="3632.24"/>
    <n v="0"/>
    <n v="18161.2"/>
    <n v="12645.08"/>
    <n v="5516.12"/>
    <x v="1"/>
    <x v="0"/>
    <x v="1"/>
    <x v="8"/>
    <x v="1"/>
    <n v="0.30373103098914167"/>
  </r>
  <r>
    <x v="776"/>
    <d v="2025-04-05T00:00:00"/>
    <x v="181"/>
    <x v="7"/>
    <x v="0"/>
    <x v="9"/>
    <n v="1"/>
    <n v="3632.94"/>
    <n v="0"/>
    <n v="3632.94"/>
    <n v="2974.55"/>
    <n v="658.39"/>
    <x v="1"/>
    <x v="2"/>
    <x v="1"/>
    <x v="8"/>
    <x v="1"/>
    <n v="0.18122787604529664"/>
  </r>
  <r>
    <x v="777"/>
    <d v="2025-09-30T00:00:00"/>
    <x v="262"/>
    <x v="5"/>
    <x v="3"/>
    <x v="5"/>
    <n v="4"/>
    <n v="3635.96"/>
    <n v="0.2"/>
    <n v="11635.07"/>
    <n v="7246.23"/>
    <n v="4388.84"/>
    <x v="1"/>
    <x v="2"/>
    <x v="1"/>
    <x v="4"/>
    <x v="1"/>
    <n v="0.37720787240644021"/>
  </r>
  <r>
    <x v="778"/>
    <d v="2025-12-17T00:00:00"/>
    <x v="224"/>
    <x v="9"/>
    <x v="2"/>
    <x v="15"/>
    <n v="4"/>
    <n v="3640.66"/>
    <n v="0.2"/>
    <n v="11650.11"/>
    <n v="8839.99"/>
    <n v="2810.12"/>
    <x v="1"/>
    <x v="3"/>
    <x v="0"/>
    <x v="7"/>
    <x v="1"/>
    <n v="0.24120973965052689"/>
  </r>
  <r>
    <x v="779"/>
    <d v="2026-07-20T00:00:00"/>
    <x v="404"/>
    <x v="8"/>
    <x v="3"/>
    <x v="8"/>
    <n v="4"/>
    <n v="3643.06"/>
    <n v="0.2"/>
    <n v="11657.79"/>
    <n v="8196.5499999999993"/>
    <n v="3461.24"/>
    <x v="0"/>
    <x v="3"/>
    <x v="0"/>
    <x v="2"/>
    <x v="0"/>
    <n v="0.29690361552232453"/>
  </r>
  <r>
    <x v="780"/>
    <d v="2025-03-31T00:00:00"/>
    <x v="253"/>
    <x v="9"/>
    <x v="1"/>
    <x v="7"/>
    <n v="6"/>
    <n v="3643.34"/>
    <n v="0.2"/>
    <n v="17488.03"/>
    <n v="10881.61"/>
    <n v="6606.42"/>
    <x v="0"/>
    <x v="2"/>
    <x v="0"/>
    <x v="0"/>
    <x v="1"/>
    <n v="0.37776810767136154"/>
  </r>
  <r>
    <x v="781"/>
    <d v="2025-07-05T00:00:00"/>
    <x v="321"/>
    <x v="7"/>
    <x v="1"/>
    <x v="16"/>
    <n v="4"/>
    <n v="3650.21"/>
    <n v="0.15"/>
    <n v="12410.71"/>
    <n v="9814.17"/>
    <n v="2596.54"/>
    <x v="1"/>
    <x v="1"/>
    <x v="1"/>
    <x v="2"/>
    <x v="1"/>
    <n v="0.20921768375862462"/>
  </r>
  <r>
    <x v="782"/>
    <d v="2025-02-21T00:00:00"/>
    <x v="405"/>
    <x v="4"/>
    <x v="3"/>
    <x v="6"/>
    <n v="2"/>
    <n v="3663.54"/>
    <n v="0"/>
    <n v="7327.08"/>
    <n v="5688.12"/>
    <n v="1638.96"/>
    <x v="1"/>
    <x v="0"/>
    <x v="0"/>
    <x v="1"/>
    <x v="1"/>
    <n v="0.22368528800013102"/>
  </r>
  <r>
    <x v="783"/>
    <d v="2026-01-07T00:00:00"/>
    <x v="98"/>
    <x v="0"/>
    <x v="1"/>
    <x v="16"/>
    <n v="3"/>
    <n v="3665.4"/>
    <n v="0.05"/>
    <n v="10446.39"/>
    <n v="8725.8799999999992"/>
    <n v="1720.51"/>
    <x v="0"/>
    <x v="3"/>
    <x v="0"/>
    <x v="9"/>
    <x v="0"/>
    <n v="0.16469900128178253"/>
  </r>
  <r>
    <x v="784"/>
    <d v="2026-07-02T00:00:00"/>
    <x v="313"/>
    <x v="3"/>
    <x v="1"/>
    <x v="16"/>
    <n v="4"/>
    <n v="3668.91"/>
    <n v="0.1"/>
    <n v="13208.08"/>
    <n v="10240.14"/>
    <n v="2967.94"/>
    <x v="1"/>
    <x v="1"/>
    <x v="1"/>
    <x v="2"/>
    <x v="0"/>
    <n v="0.22470639184499186"/>
  </r>
  <r>
    <x v="785"/>
    <d v="2025-07-27T00:00:00"/>
    <x v="140"/>
    <x v="5"/>
    <x v="2"/>
    <x v="13"/>
    <n v="3"/>
    <n v="3676.94"/>
    <n v="0.1"/>
    <n v="9927.74"/>
    <n v="8326.7000000000007"/>
    <n v="1601.04"/>
    <x v="0"/>
    <x v="1"/>
    <x v="1"/>
    <x v="2"/>
    <x v="1"/>
    <n v="0.16126933219443701"/>
  </r>
  <r>
    <x v="786"/>
    <d v="2025-10-15T00:00:00"/>
    <x v="120"/>
    <x v="4"/>
    <x v="3"/>
    <x v="6"/>
    <n v="4"/>
    <n v="3683.49"/>
    <n v="0.2"/>
    <n v="11787.17"/>
    <n v="8781.1"/>
    <n v="3006.07"/>
    <x v="1"/>
    <x v="0"/>
    <x v="1"/>
    <x v="11"/>
    <x v="1"/>
    <n v="0.2550289849047736"/>
  </r>
  <r>
    <x v="787"/>
    <d v="2025-04-17T00:00:00"/>
    <x v="48"/>
    <x v="8"/>
    <x v="0"/>
    <x v="1"/>
    <n v="2"/>
    <n v="3690.98"/>
    <n v="0.15"/>
    <n v="6274.67"/>
    <n v="4463.54"/>
    <n v="1811.13"/>
    <x v="1"/>
    <x v="3"/>
    <x v="1"/>
    <x v="8"/>
    <x v="1"/>
    <n v="0.28864147437235743"/>
  </r>
  <r>
    <x v="788"/>
    <d v="2025-02-15T00:00:00"/>
    <x v="0"/>
    <x v="4"/>
    <x v="2"/>
    <x v="19"/>
    <n v="6"/>
    <n v="3696.09"/>
    <n v="0.1"/>
    <n v="19958.89"/>
    <n v="12469.87"/>
    <n v="7489.02"/>
    <x v="0"/>
    <x v="0"/>
    <x v="1"/>
    <x v="1"/>
    <x v="1"/>
    <n v="0.37522226937469971"/>
  </r>
  <r>
    <x v="789"/>
    <d v="2025-08-30T00:00:00"/>
    <x v="170"/>
    <x v="6"/>
    <x v="0"/>
    <x v="0"/>
    <n v="5"/>
    <n v="3706.34"/>
    <n v="0.05"/>
    <n v="17605.12"/>
    <n v="11080.47"/>
    <n v="6524.65"/>
    <x v="1"/>
    <x v="1"/>
    <x v="1"/>
    <x v="6"/>
    <x v="1"/>
    <n v="0.37061093590955357"/>
  </r>
  <r>
    <x v="790"/>
    <d v="2025-09-16T00:00:00"/>
    <x v="259"/>
    <x v="2"/>
    <x v="0"/>
    <x v="0"/>
    <n v="6"/>
    <n v="3712.54"/>
    <n v="0.1"/>
    <n v="20047.72"/>
    <n v="14383.24"/>
    <n v="5664.48"/>
    <x v="0"/>
    <x v="0"/>
    <x v="0"/>
    <x v="4"/>
    <x v="1"/>
    <n v="0.28254983609108664"/>
  </r>
  <r>
    <x v="791"/>
    <d v="2026-05-30T00:00:00"/>
    <x v="387"/>
    <x v="4"/>
    <x v="1"/>
    <x v="12"/>
    <n v="5"/>
    <n v="3723.63"/>
    <n v="0"/>
    <n v="18618.150000000001"/>
    <n v="13351.54"/>
    <n v="5266.61"/>
    <x v="0"/>
    <x v="3"/>
    <x v="0"/>
    <x v="5"/>
    <x v="0"/>
    <n v="0.28287504397590518"/>
  </r>
  <r>
    <x v="792"/>
    <d v="2025-12-31T00:00:00"/>
    <x v="272"/>
    <x v="3"/>
    <x v="3"/>
    <x v="4"/>
    <n v="4"/>
    <n v="3724.5"/>
    <n v="0.2"/>
    <n v="11918.4"/>
    <n v="7493.1"/>
    <n v="4425.3"/>
    <x v="0"/>
    <x v="2"/>
    <x v="1"/>
    <x v="7"/>
    <x v="1"/>
    <n v="0.37129983890455098"/>
  </r>
  <r>
    <x v="793"/>
    <d v="2025-01-19T00:00:00"/>
    <x v="389"/>
    <x v="5"/>
    <x v="3"/>
    <x v="6"/>
    <n v="3"/>
    <n v="3726.87"/>
    <n v="0.15"/>
    <n v="9503.52"/>
    <n v="6028.16"/>
    <n v="3475.36"/>
    <x v="0"/>
    <x v="2"/>
    <x v="1"/>
    <x v="9"/>
    <x v="1"/>
    <n v="0.36569186995976227"/>
  </r>
  <r>
    <x v="794"/>
    <d v="2025-09-18T00:00:00"/>
    <x v="74"/>
    <x v="2"/>
    <x v="1"/>
    <x v="2"/>
    <n v="6"/>
    <n v="3742.78"/>
    <n v="0.2"/>
    <n v="17965.34"/>
    <n v="14752.33"/>
    <n v="3213.01"/>
    <x v="0"/>
    <x v="3"/>
    <x v="1"/>
    <x v="4"/>
    <x v="1"/>
    <n v="0.1788449314068089"/>
  </r>
  <r>
    <x v="795"/>
    <d v="2025-04-24T00:00:00"/>
    <x v="290"/>
    <x v="7"/>
    <x v="2"/>
    <x v="19"/>
    <n v="1"/>
    <n v="3768.81"/>
    <n v="0.05"/>
    <n v="3580.37"/>
    <n v="3037.62"/>
    <n v="542.75"/>
    <x v="0"/>
    <x v="2"/>
    <x v="1"/>
    <x v="8"/>
    <x v="1"/>
    <n v="0.15159047807908121"/>
  </r>
  <r>
    <x v="796"/>
    <d v="2025-08-20T00:00:00"/>
    <x v="348"/>
    <x v="8"/>
    <x v="0"/>
    <x v="9"/>
    <n v="5"/>
    <n v="3768.82"/>
    <n v="0.2"/>
    <n v="15075.28"/>
    <n v="9751.81"/>
    <n v="5323.47"/>
    <x v="1"/>
    <x v="3"/>
    <x v="1"/>
    <x v="6"/>
    <x v="1"/>
    <n v="0.35312577942167578"/>
  </r>
  <r>
    <x v="797"/>
    <d v="2025-04-27T00:00:00"/>
    <x v="406"/>
    <x v="4"/>
    <x v="2"/>
    <x v="15"/>
    <n v="3"/>
    <n v="3770.24"/>
    <n v="0.1"/>
    <n v="10179.65"/>
    <n v="6359.58"/>
    <n v="3820.07"/>
    <x v="0"/>
    <x v="1"/>
    <x v="1"/>
    <x v="8"/>
    <x v="1"/>
    <n v="0.37526535784629139"/>
  </r>
  <r>
    <x v="798"/>
    <d v="2026-05-12T00:00:00"/>
    <x v="407"/>
    <x v="6"/>
    <x v="0"/>
    <x v="17"/>
    <n v="1"/>
    <n v="3772.89"/>
    <n v="0.1"/>
    <n v="3395.6"/>
    <n v="2457.4899999999998"/>
    <n v="938.11"/>
    <x v="0"/>
    <x v="1"/>
    <x v="1"/>
    <x v="5"/>
    <x v="0"/>
    <n v="0.27627223465661443"/>
  </r>
  <r>
    <x v="799"/>
    <d v="2025-03-29T00:00:00"/>
    <x v="408"/>
    <x v="0"/>
    <x v="0"/>
    <x v="9"/>
    <n v="5"/>
    <n v="3776.61"/>
    <n v="0"/>
    <n v="18883.05"/>
    <n v="13549.22"/>
    <n v="5333.83"/>
    <x v="0"/>
    <x v="3"/>
    <x v="1"/>
    <x v="0"/>
    <x v="1"/>
    <n v="0.28246655068963966"/>
  </r>
  <r>
    <x v="800"/>
    <d v="2025-04-06T00:00:00"/>
    <x v="235"/>
    <x v="0"/>
    <x v="2"/>
    <x v="3"/>
    <n v="3"/>
    <n v="3780.71"/>
    <n v="0"/>
    <n v="11342.13"/>
    <n v="8455.4"/>
    <n v="2886.73"/>
    <x v="0"/>
    <x v="2"/>
    <x v="1"/>
    <x v="8"/>
    <x v="1"/>
    <n v="0.25451392286986663"/>
  </r>
  <r>
    <x v="801"/>
    <d v="2025-09-04T00:00:00"/>
    <x v="182"/>
    <x v="5"/>
    <x v="2"/>
    <x v="19"/>
    <n v="4"/>
    <n v="3787.49"/>
    <n v="0"/>
    <n v="15149.96"/>
    <n v="9798.2900000000009"/>
    <n v="5351.67"/>
    <x v="1"/>
    <x v="0"/>
    <x v="1"/>
    <x v="4"/>
    <x v="1"/>
    <n v="0.35324647721842173"/>
  </r>
  <r>
    <x v="802"/>
    <d v="2026-07-08T00:00:00"/>
    <x v="92"/>
    <x v="5"/>
    <x v="0"/>
    <x v="17"/>
    <n v="2"/>
    <n v="3791.36"/>
    <n v="0.1"/>
    <n v="6824.45"/>
    <n v="5536.9"/>
    <n v="1287.55"/>
    <x v="0"/>
    <x v="1"/>
    <x v="1"/>
    <x v="2"/>
    <x v="0"/>
    <n v="0.18866721860369701"/>
  </r>
  <r>
    <x v="803"/>
    <d v="2025-10-24T00:00:00"/>
    <x v="402"/>
    <x v="9"/>
    <x v="0"/>
    <x v="0"/>
    <n v="6"/>
    <n v="3791.57"/>
    <n v="0.1"/>
    <n v="20474.48"/>
    <n v="13905.2"/>
    <n v="6569.28"/>
    <x v="1"/>
    <x v="2"/>
    <x v="1"/>
    <x v="11"/>
    <x v="1"/>
    <n v="0.32085210466883651"/>
  </r>
  <r>
    <x v="804"/>
    <d v="2026-03-22T00:00:00"/>
    <x v="376"/>
    <x v="4"/>
    <x v="0"/>
    <x v="1"/>
    <n v="3"/>
    <n v="3797.05"/>
    <n v="0.15"/>
    <n v="9682.48"/>
    <n v="7388.58"/>
    <n v="2293.9"/>
    <x v="0"/>
    <x v="1"/>
    <x v="1"/>
    <x v="0"/>
    <x v="0"/>
    <n v="0.23691244391932648"/>
  </r>
  <r>
    <x v="805"/>
    <d v="2026-04-06T00:00:00"/>
    <x v="409"/>
    <x v="6"/>
    <x v="2"/>
    <x v="3"/>
    <n v="4"/>
    <n v="3797.82"/>
    <n v="0.1"/>
    <n v="13672.15"/>
    <n v="8434.6"/>
    <n v="5237.55"/>
    <x v="1"/>
    <x v="2"/>
    <x v="0"/>
    <x v="8"/>
    <x v="0"/>
    <n v="0.38308166601448934"/>
  </r>
  <r>
    <x v="806"/>
    <d v="2026-04-22T00:00:00"/>
    <x v="192"/>
    <x v="3"/>
    <x v="1"/>
    <x v="18"/>
    <n v="2"/>
    <n v="3803.2"/>
    <n v="0.15"/>
    <n v="6465.44"/>
    <n v="4202.1499999999996"/>
    <n v="2263.29"/>
    <x v="0"/>
    <x v="1"/>
    <x v="0"/>
    <x v="8"/>
    <x v="0"/>
    <n v="0.35005970204657377"/>
  </r>
  <r>
    <x v="807"/>
    <d v="2025-12-22T00:00:00"/>
    <x v="148"/>
    <x v="6"/>
    <x v="3"/>
    <x v="5"/>
    <n v="3"/>
    <n v="3807.48"/>
    <n v="0.15"/>
    <n v="9709.07"/>
    <n v="6092.17"/>
    <n v="3616.9"/>
    <x v="0"/>
    <x v="1"/>
    <x v="1"/>
    <x v="7"/>
    <x v="1"/>
    <n v="0.37252795581863146"/>
  </r>
  <r>
    <x v="808"/>
    <d v="2025-12-19T00:00:00"/>
    <x v="18"/>
    <x v="3"/>
    <x v="1"/>
    <x v="2"/>
    <n v="3"/>
    <n v="3809.06"/>
    <n v="0.1"/>
    <n v="10284.459999999999"/>
    <n v="6009.63"/>
    <n v="4274.83"/>
    <x v="1"/>
    <x v="1"/>
    <x v="0"/>
    <x v="7"/>
    <x v="1"/>
    <n v="0.41565915954751154"/>
  </r>
  <r>
    <x v="809"/>
    <d v="2025-01-21T00:00:00"/>
    <x v="139"/>
    <x v="9"/>
    <x v="1"/>
    <x v="7"/>
    <n v="3"/>
    <n v="3812.54"/>
    <n v="0"/>
    <n v="11437.62"/>
    <n v="9022.33"/>
    <n v="2415.29"/>
    <x v="1"/>
    <x v="2"/>
    <x v="1"/>
    <x v="9"/>
    <x v="1"/>
    <n v="0.21117068061362415"/>
  </r>
  <r>
    <x v="810"/>
    <d v="2025-07-24T00:00:00"/>
    <x v="205"/>
    <x v="9"/>
    <x v="2"/>
    <x v="19"/>
    <n v="1"/>
    <n v="3819.17"/>
    <n v="0.05"/>
    <n v="3628.21"/>
    <n v="2643.28"/>
    <n v="984.93"/>
    <x v="1"/>
    <x v="1"/>
    <x v="1"/>
    <x v="2"/>
    <x v="1"/>
    <n v="0.27146444114315321"/>
  </r>
  <r>
    <x v="811"/>
    <d v="2025-01-11T00:00:00"/>
    <x v="329"/>
    <x v="0"/>
    <x v="0"/>
    <x v="1"/>
    <n v="3"/>
    <n v="3841.22"/>
    <n v="0"/>
    <n v="11523.66"/>
    <n v="7727.12"/>
    <n v="3796.54"/>
    <x v="0"/>
    <x v="3"/>
    <x v="0"/>
    <x v="9"/>
    <x v="1"/>
    <n v="0.32945609294269357"/>
  </r>
  <r>
    <x v="812"/>
    <d v="2025-09-25T00:00:00"/>
    <x v="346"/>
    <x v="3"/>
    <x v="0"/>
    <x v="0"/>
    <n v="4"/>
    <n v="3845.26"/>
    <n v="0"/>
    <n v="15381.04"/>
    <n v="12464.76"/>
    <n v="2916.28"/>
    <x v="0"/>
    <x v="3"/>
    <x v="1"/>
    <x v="4"/>
    <x v="1"/>
    <n v="0.18960226356605275"/>
  </r>
  <r>
    <x v="813"/>
    <d v="2025-06-13T00:00:00"/>
    <x v="274"/>
    <x v="7"/>
    <x v="3"/>
    <x v="8"/>
    <n v="4"/>
    <n v="3845.53"/>
    <n v="0.15"/>
    <n v="13074.8"/>
    <n v="7912.94"/>
    <n v="5161.8599999999997"/>
    <x v="0"/>
    <x v="0"/>
    <x v="1"/>
    <x v="10"/>
    <x v="1"/>
    <n v="0.39479456664729096"/>
  </r>
  <r>
    <x v="814"/>
    <d v="2025-03-15T00:00:00"/>
    <x v="74"/>
    <x v="5"/>
    <x v="0"/>
    <x v="11"/>
    <n v="6"/>
    <n v="3849.89"/>
    <n v="0"/>
    <n v="23099.34"/>
    <n v="15568.58"/>
    <n v="7530.76"/>
    <x v="1"/>
    <x v="2"/>
    <x v="1"/>
    <x v="0"/>
    <x v="1"/>
    <n v="0.32601624115667377"/>
  </r>
  <r>
    <x v="815"/>
    <d v="2025-09-07T00:00:00"/>
    <x v="410"/>
    <x v="7"/>
    <x v="0"/>
    <x v="0"/>
    <n v="1"/>
    <n v="3850.47"/>
    <n v="0.2"/>
    <n v="3080.38"/>
    <n v="2247.6799999999998"/>
    <n v="832.7"/>
    <x v="0"/>
    <x v="1"/>
    <x v="1"/>
    <x v="4"/>
    <x v="1"/>
    <n v="0.27032379122056371"/>
  </r>
  <r>
    <x v="816"/>
    <d v="2025-05-24T00:00:00"/>
    <x v="214"/>
    <x v="0"/>
    <x v="0"/>
    <x v="1"/>
    <n v="2"/>
    <n v="3856.71"/>
    <n v="0.2"/>
    <n v="6170.74"/>
    <n v="5217"/>
    <n v="953.74"/>
    <x v="1"/>
    <x v="0"/>
    <x v="1"/>
    <x v="5"/>
    <x v="1"/>
    <n v="0.15455844841947644"/>
  </r>
  <r>
    <x v="817"/>
    <d v="2026-02-04T00:00:00"/>
    <x v="243"/>
    <x v="7"/>
    <x v="0"/>
    <x v="9"/>
    <n v="2"/>
    <n v="3862.72"/>
    <n v="0"/>
    <n v="7725.44"/>
    <n v="6144.29"/>
    <n v="1581.15"/>
    <x v="0"/>
    <x v="0"/>
    <x v="0"/>
    <x v="1"/>
    <x v="0"/>
    <n v="0.20466795418772266"/>
  </r>
  <r>
    <x v="818"/>
    <d v="2026-06-30T00:00:00"/>
    <x v="125"/>
    <x v="4"/>
    <x v="0"/>
    <x v="11"/>
    <n v="1"/>
    <n v="3863.95"/>
    <n v="0.1"/>
    <n v="3477.55"/>
    <n v="2700.87"/>
    <n v="776.68"/>
    <x v="1"/>
    <x v="1"/>
    <x v="1"/>
    <x v="10"/>
    <x v="0"/>
    <n v="0.22334114534658017"/>
  </r>
  <r>
    <x v="819"/>
    <d v="2026-03-02T00:00:00"/>
    <x v="203"/>
    <x v="6"/>
    <x v="3"/>
    <x v="4"/>
    <n v="3"/>
    <n v="3865.73"/>
    <n v="0.05"/>
    <n v="11017.33"/>
    <n v="6728.2"/>
    <n v="4289.13"/>
    <x v="0"/>
    <x v="3"/>
    <x v="1"/>
    <x v="0"/>
    <x v="0"/>
    <n v="0.38930757270590971"/>
  </r>
  <r>
    <x v="820"/>
    <d v="2026-01-15T00:00:00"/>
    <x v="313"/>
    <x v="4"/>
    <x v="1"/>
    <x v="7"/>
    <n v="6"/>
    <n v="3869.95"/>
    <n v="0"/>
    <n v="23219.7"/>
    <n v="16157.78"/>
    <n v="7061.92"/>
    <x v="1"/>
    <x v="3"/>
    <x v="0"/>
    <x v="9"/>
    <x v="0"/>
    <n v="0.30413485101013366"/>
  </r>
  <r>
    <x v="821"/>
    <d v="2025-01-04T00:00:00"/>
    <x v="90"/>
    <x v="2"/>
    <x v="0"/>
    <x v="0"/>
    <n v="4"/>
    <n v="3873.18"/>
    <n v="0.2"/>
    <n v="12394.18"/>
    <n v="10444.83"/>
    <n v="1949.35"/>
    <x v="0"/>
    <x v="2"/>
    <x v="1"/>
    <x v="9"/>
    <x v="1"/>
    <n v="0.15727946503923615"/>
  </r>
  <r>
    <x v="822"/>
    <d v="2026-07-09T00:00:00"/>
    <x v="411"/>
    <x v="6"/>
    <x v="2"/>
    <x v="15"/>
    <n v="1"/>
    <n v="3873.39"/>
    <n v="0.2"/>
    <n v="3098.71"/>
    <n v="2532.5700000000002"/>
    <n v="566.14"/>
    <x v="0"/>
    <x v="2"/>
    <x v="1"/>
    <x v="2"/>
    <x v="0"/>
    <n v="0.18270183398898251"/>
  </r>
  <r>
    <x v="823"/>
    <d v="2026-02-19T00:00:00"/>
    <x v="412"/>
    <x v="7"/>
    <x v="2"/>
    <x v="13"/>
    <n v="5"/>
    <n v="3877.89"/>
    <n v="0.2"/>
    <n v="15511.56"/>
    <n v="10749.89"/>
    <n v="4761.67"/>
    <x v="0"/>
    <x v="2"/>
    <x v="0"/>
    <x v="1"/>
    <x v="0"/>
    <n v="0.30697557176712081"/>
  </r>
  <r>
    <x v="824"/>
    <d v="2026-06-29T00:00:00"/>
    <x v="413"/>
    <x v="9"/>
    <x v="0"/>
    <x v="17"/>
    <n v="4"/>
    <n v="3890.88"/>
    <n v="0.05"/>
    <n v="14785.34"/>
    <n v="9278.01"/>
    <n v="5507.33"/>
    <x v="1"/>
    <x v="0"/>
    <x v="1"/>
    <x v="10"/>
    <x v="0"/>
    <n v="0.37248585423128583"/>
  </r>
  <r>
    <x v="825"/>
    <d v="2025-01-22T00:00:00"/>
    <x v="267"/>
    <x v="0"/>
    <x v="1"/>
    <x v="12"/>
    <n v="5"/>
    <n v="3891.32"/>
    <n v="0"/>
    <n v="19456.599999999999"/>
    <n v="12579.58"/>
    <n v="6877.02"/>
    <x v="1"/>
    <x v="2"/>
    <x v="1"/>
    <x v="9"/>
    <x v="1"/>
    <n v="0.35345435482047227"/>
  </r>
  <r>
    <x v="826"/>
    <d v="2026-01-23T00:00:00"/>
    <x v="337"/>
    <x v="6"/>
    <x v="1"/>
    <x v="7"/>
    <n v="5"/>
    <n v="3900.66"/>
    <n v="0.2"/>
    <n v="15602.64"/>
    <n v="12039.75"/>
    <n v="3562.89"/>
    <x v="0"/>
    <x v="1"/>
    <x v="0"/>
    <x v="9"/>
    <x v="0"/>
    <n v="0.2283517404746889"/>
  </r>
  <r>
    <x v="827"/>
    <d v="2025-12-26T00:00:00"/>
    <x v="323"/>
    <x v="7"/>
    <x v="1"/>
    <x v="12"/>
    <n v="6"/>
    <n v="3907.02"/>
    <n v="0.15"/>
    <n v="19925.8"/>
    <n v="13914.09"/>
    <n v="6011.71"/>
    <x v="0"/>
    <x v="1"/>
    <x v="1"/>
    <x v="7"/>
    <x v="1"/>
    <n v="0.30170482490038042"/>
  </r>
  <r>
    <x v="828"/>
    <d v="2025-11-06T00:00:00"/>
    <x v="298"/>
    <x v="5"/>
    <x v="3"/>
    <x v="4"/>
    <n v="1"/>
    <n v="3911.5"/>
    <n v="0"/>
    <n v="3911.5"/>
    <n v="2365.31"/>
    <n v="1546.19"/>
    <x v="1"/>
    <x v="1"/>
    <x v="0"/>
    <x v="3"/>
    <x v="1"/>
    <n v="0.39529336571647705"/>
  </r>
  <r>
    <x v="829"/>
    <d v="2025-04-03T00:00:00"/>
    <x v="54"/>
    <x v="8"/>
    <x v="2"/>
    <x v="13"/>
    <n v="3"/>
    <n v="3919.2"/>
    <n v="0.2"/>
    <n v="9406.08"/>
    <n v="7719.49"/>
    <n v="1686.59"/>
    <x v="1"/>
    <x v="3"/>
    <x v="1"/>
    <x v="8"/>
    <x v="1"/>
    <n v="0.17930848982785602"/>
  </r>
  <r>
    <x v="830"/>
    <d v="2026-03-11T00:00:00"/>
    <x v="275"/>
    <x v="2"/>
    <x v="1"/>
    <x v="12"/>
    <n v="1"/>
    <n v="3919.24"/>
    <n v="0.15"/>
    <n v="3331.35"/>
    <n v="2752.56"/>
    <n v="578.79"/>
    <x v="0"/>
    <x v="1"/>
    <x v="1"/>
    <x v="0"/>
    <x v="0"/>
    <n v="0.17374037552343644"/>
  </r>
  <r>
    <x v="831"/>
    <d v="2026-03-27T00:00:00"/>
    <x v="412"/>
    <x v="5"/>
    <x v="1"/>
    <x v="7"/>
    <n v="6"/>
    <n v="3920.82"/>
    <n v="0.2"/>
    <n v="18819.939999999999"/>
    <n v="12954.57"/>
    <n v="5865.37"/>
    <x v="1"/>
    <x v="1"/>
    <x v="1"/>
    <x v="0"/>
    <x v="0"/>
    <n v="0.31165721038430516"/>
  </r>
  <r>
    <x v="832"/>
    <d v="2025-03-03T00:00:00"/>
    <x v="414"/>
    <x v="4"/>
    <x v="2"/>
    <x v="15"/>
    <n v="6"/>
    <n v="3925.03"/>
    <n v="0.2"/>
    <n v="18840.14"/>
    <n v="13479.11"/>
    <n v="5361.03"/>
    <x v="0"/>
    <x v="3"/>
    <x v="1"/>
    <x v="0"/>
    <x v="1"/>
    <n v="0.28455361796674544"/>
  </r>
  <r>
    <x v="833"/>
    <d v="2025-09-10T00:00:00"/>
    <x v="341"/>
    <x v="0"/>
    <x v="1"/>
    <x v="18"/>
    <n v="2"/>
    <n v="3928.05"/>
    <n v="0"/>
    <n v="7856.1"/>
    <n v="6377.36"/>
    <n v="1478.74"/>
    <x v="0"/>
    <x v="0"/>
    <x v="1"/>
    <x v="4"/>
    <x v="1"/>
    <n v="0.18822825575030866"/>
  </r>
  <r>
    <x v="834"/>
    <d v="2026-07-06T00:00:00"/>
    <x v="415"/>
    <x v="5"/>
    <x v="2"/>
    <x v="15"/>
    <n v="2"/>
    <n v="3930.81"/>
    <n v="0.15"/>
    <n v="6682.38"/>
    <n v="5066.75"/>
    <n v="1615.63"/>
    <x v="1"/>
    <x v="1"/>
    <x v="1"/>
    <x v="2"/>
    <x v="0"/>
    <n v="0.24177463718016637"/>
  </r>
  <r>
    <x v="835"/>
    <d v="2025-02-22T00:00:00"/>
    <x v="399"/>
    <x v="1"/>
    <x v="0"/>
    <x v="17"/>
    <n v="6"/>
    <n v="3932.3"/>
    <n v="0"/>
    <n v="23593.8"/>
    <n v="13624.32"/>
    <n v="9969.48"/>
    <x v="0"/>
    <x v="1"/>
    <x v="1"/>
    <x v="1"/>
    <x v="1"/>
    <n v="0.42254660122574572"/>
  </r>
  <r>
    <x v="836"/>
    <d v="2025-07-10T00:00:00"/>
    <x v="360"/>
    <x v="9"/>
    <x v="2"/>
    <x v="14"/>
    <n v="1"/>
    <n v="3940.44"/>
    <n v="0"/>
    <n v="3940.44"/>
    <n v="3262.64"/>
    <n v="677.8"/>
    <x v="0"/>
    <x v="1"/>
    <x v="1"/>
    <x v="2"/>
    <x v="1"/>
    <n v="0.17201124747490126"/>
  </r>
  <r>
    <x v="837"/>
    <d v="2025-11-23T00:00:00"/>
    <x v="203"/>
    <x v="7"/>
    <x v="1"/>
    <x v="18"/>
    <n v="2"/>
    <n v="3942.32"/>
    <n v="0"/>
    <n v="7884.64"/>
    <n v="5052.37"/>
    <n v="2832.27"/>
    <x v="0"/>
    <x v="0"/>
    <x v="1"/>
    <x v="3"/>
    <x v="1"/>
    <n v="0.35921361025994841"/>
  </r>
  <r>
    <x v="838"/>
    <d v="2026-01-05T00:00:00"/>
    <x v="258"/>
    <x v="6"/>
    <x v="2"/>
    <x v="14"/>
    <n v="5"/>
    <n v="3945.38"/>
    <n v="0"/>
    <n v="19726.900000000001"/>
    <n v="15936.41"/>
    <n v="3790.49"/>
    <x v="0"/>
    <x v="3"/>
    <x v="1"/>
    <x v="9"/>
    <x v="0"/>
    <n v="0.19214828482934468"/>
  </r>
  <r>
    <x v="839"/>
    <d v="2026-05-01T00:00:00"/>
    <x v="325"/>
    <x v="2"/>
    <x v="1"/>
    <x v="7"/>
    <n v="3"/>
    <n v="3955.02"/>
    <n v="0.15"/>
    <n v="10085.299999999999"/>
    <n v="7254.03"/>
    <n v="2831.27"/>
    <x v="0"/>
    <x v="3"/>
    <x v="1"/>
    <x v="5"/>
    <x v="0"/>
    <n v="0.2807323530286655"/>
  </r>
  <r>
    <x v="840"/>
    <d v="2026-06-18T00:00:00"/>
    <x v="15"/>
    <x v="1"/>
    <x v="3"/>
    <x v="5"/>
    <n v="3"/>
    <n v="3956.03"/>
    <n v="0.05"/>
    <n v="11274.69"/>
    <n v="6242.9"/>
    <n v="5031.79"/>
    <x v="1"/>
    <x v="1"/>
    <x v="1"/>
    <x v="10"/>
    <x v="0"/>
    <n v="0.44629076276154817"/>
  </r>
  <r>
    <x v="841"/>
    <d v="2025-08-16T00:00:00"/>
    <x v="36"/>
    <x v="5"/>
    <x v="0"/>
    <x v="17"/>
    <n v="2"/>
    <n v="3956.61"/>
    <n v="0.15"/>
    <n v="6726.24"/>
    <n v="3756.94"/>
    <n v="2969.3"/>
    <x v="0"/>
    <x v="0"/>
    <x v="1"/>
    <x v="6"/>
    <x v="1"/>
    <n v="0.44145020100382981"/>
  </r>
  <r>
    <x v="842"/>
    <d v="2026-08-27T00:00:00"/>
    <x v="158"/>
    <x v="6"/>
    <x v="1"/>
    <x v="18"/>
    <n v="1"/>
    <n v="3961.83"/>
    <n v="0"/>
    <n v="3961.83"/>
    <n v="2985.52"/>
    <n v="976.31"/>
    <x v="1"/>
    <x v="0"/>
    <x v="1"/>
    <x v="6"/>
    <x v="0"/>
    <n v="0.24642904920201017"/>
  </r>
  <r>
    <x v="843"/>
    <d v="2026-04-10T00:00:00"/>
    <x v="416"/>
    <x v="8"/>
    <x v="3"/>
    <x v="4"/>
    <n v="6"/>
    <n v="3962.61"/>
    <n v="0.15"/>
    <n v="20209.310000000001"/>
    <n v="13905.35"/>
    <n v="6303.96"/>
    <x v="0"/>
    <x v="3"/>
    <x v="1"/>
    <x v="8"/>
    <x v="0"/>
    <n v="0.31193346037049258"/>
  </r>
  <r>
    <x v="844"/>
    <d v="2025-08-16T00:00:00"/>
    <x v="107"/>
    <x v="5"/>
    <x v="2"/>
    <x v="13"/>
    <n v="5"/>
    <n v="3974.4"/>
    <n v="0.05"/>
    <n v="18878.400000000001"/>
    <n v="11810.07"/>
    <n v="7068.33"/>
    <x v="0"/>
    <x v="3"/>
    <x v="1"/>
    <x v="6"/>
    <x v="1"/>
    <n v="0.37441361556064068"/>
  </r>
  <r>
    <x v="845"/>
    <d v="2026-02-03T00:00:00"/>
    <x v="417"/>
    <x v="7"/>
    <x v="0"/>
    <x v="0"/>
    <n v="5"/>
    <n v="3980.22"/>
    <n v="0.15"/>
    <n v="16915.93"/>
    <n v="11475.52"/>
    <n v="5440.41"/>
    <x v="0"/>
    <x v="3"/>
    <x v="1"/>
    <x v="1"/>
    <x v="0"/>
    <n v="0.32161459641887852"/>
  </r>
  <r>
    <x v="846"/>
    <d v="2025-05-13T00:00:00"/>
    <x v="418"/>
    <x v="7"/>
    <x v="1"/>
    <x v="7"/>
    <n v="3"/>
    <n v="3981.95"/>
    <n v="0.1"/>
    <n v="10751.26"/>
    <n v="6331.75"/>
    <n v="4419.51"/>
    <x v="0"/>
    <x v="2"/>
    <x v="1"/>
    <x v="5"/>
    <x v="1"/>
    <n v="0.41106902818832397"/>
  </r>
  <r>
    <x v="847"/>
    <d v="2025-06-09T00:00:00"/>
    <x v="150"/>
    <x v="2"/>
    <x v="0"/>
    <x v="0"/>
    <n v="6"/>
    <n v="3983.69"/>
    <n v="0.1"/>
    <n v="21511.93"/>
    <n v="12700"/>
    <n v="8811.93"/>
    <x v="0"/>
    <x v="1"/>
    <x v="1"/>
    <x v="10"/>
    <x v="1"/>
    <n v="0.40962991233236629"/>
  </r>
  <r>
    <x v="848"/>
    <d v="2026-04-01T00:00:00"/>
    <x v="32"/>
    <x v="5"/>
    <x v="2"/>
    <x v="13"/>
    <n v="6"/>
    <n v="3987.95"/>
    <n v="0"/>
    <n v="23927.7"/>
    <n v="15740.47"/>
    <n v="8187.23"/>
    <x v="0"/>
    <x v="3"/>
    <x v="1"/>
    <x v="8"/>
    <x v="0"/>
    <n v="0.34216535646969826"/>
  </r>
  <r>
    <x v="849"/>
    <d v="2025-04-11T00:00:00"/>
    <x v="348"/>
    <x v="7"/>
    <x v="0"/>
    <x v="1"/>
    <n v="3"/>
    <n v="3991.91"/>
    <n v="0.2"/>
    <n v="9580.58"/>
    <n v="6095.36"/>
    <n v="3485.22"/>
    <x v="1"/>
    <x v="3"/>
    <x v="0"/>
    <x v="8"/>
    <x v="1"/>
    <n v="0.36377964590870282"/>
  </r>
  <r>
    <x v="850"/>
    <d v="2026-07-26T00:00:00"/>
    <x v="118"/>
    <x v="2"/>
    <x v="1"/>
    <x v="12"/>
    <n v="2"/>
    <n v="3998.33"/>
    <n v="0.15"/>
    <n v="6797.16"/>
    <n v="4085.01"/>
    <n v="2712.15"/>
    <x v="0"/>
    <x v="0"/>
    <x v="1"/>
    <x v="2"/>
    <x v="0"/>
    <n v="0.39901223452147666"/>
  </r>
  <r>
    <x v="851"/>
    <d v="2026-04-25T00:00:00"/>
    <x v="165"/>
    <x v="5"/>
    <x v="0"/>
    <x v="9"/>
    <n v="4"/>
    <n v="3999.67"/>
    <n v="0.2"/>
    <n v="12798.94"/>
    <n v="10116.629999999999"/>
    <n v="2682.31"/>
    <x v="0"/>
    <x v="0"/>
    <x v="1"/>
    <x v="8"/>
    <x v="0"/>
    <n v="0.20957282399948746"/>
  </r>
  <r>
    <x v="852"/>
    <d v="2025-06-19T00:00:00"/>
    <x v="244"/>
    <x v="0"/>
    <x v="0"/>
    <x v="1"/>
    <n v="6"/>
    <n v="3999.67"/>
    <n v="0.1"/>
    <n v="21598.22"/>
    <n v="14161.02"/>
    <n v="7437.2"/>
    <x v="0"/>
    <x v="0"/>
    <x v="1"/>
    <x v="10"/>
    <x v="1"/>
    <n v="0.34434319124446366"/>
  </r>
  <r>
    <x v="853"/>
    <d v="2026-08-18T00:00:00"/>
    <x v="273"/>
    <x v="4"/>
    <x v="2"/>
    <x v="13"/>
    <n v="4"/>
    <n v="4001.38"/>
    <n v="0.15"/>
    <n v="13604.69"/>
    <n v="9187.19"/>
    <n v="4417.5"/>
    <x v="0"/>
    <x v="1"/>
    <x v="1"/>
    <x v="6"/>
    <x v="0"/>
    <n v="0.3247042012717673"/>
  </r>
  <r>
    <x v="854"/>
    <d v="2026-08-16T00:00:00"/>
    <x v="360"/>
    <x v="9"/>
    <x v="1"/>
    <x v="16"/>
    <n v="2"/>
    <n v="4003.23"/>
    <n v="0"/>
    <n v="8006.46"/>
    <n v="5932.91"/>
    <n v="2073.5500000000002"/>
    <x v="0"/>
    <x v="3"/>
    <x v="1"/>
    <x v="6"/>
    <x v="0"/>
    <n v="0.25898461991941507"/>
  </r>
  <r>
    <x v="855"/>
    <d v="2025-12-11T00:00:00"/>
    <x v="64"/>
    <x v="2"/>
    <x v="2"/>
    <x v="15"/>
    <n v="1"/>
    <n v="4005.4"/>
    <n v="0.2"/>
    <n v="3204.32"/>
    <n v="1905.07"/>
    <n v="1299.25"/>
    <x v="0"/>
    <x v="3"/>
    <x v="1"/>
    <x v="7"/>
    <x v="1"/>
    <n v="0.40546824287212263"/>
  </r>
  <r>
    <x v="856"/>
    <d v="2025-03-07T00:00:00"/>
    <x v="402"/>
    <x v="8"/>
    <x v="1"/>
    <x v="12"/>
    <n v="3"/>
    <n v="4011.42"/>
    <n v="0.2"/>
    <n v="9627.41"/>
    <n v="6907.92"/>
    <n v="2719.49"/>
    <x v="1"/>
    <x v="0"/>
    <x v="1"/>
    <x v="0"/>
    <x v="1"/>
    <n v="0.28247368710795528"/>
  </r>
  <r>
    <x v="857"/>
    <d v="2025-04-01T00:00:00"/>
    <x v="159"/>
    <x v="5"/>
    <x v="2"/>
    <x v="13"/>
    <n v="3"/>
    <n v="4012.59"/>
    <n v="0.05"/>
    <n v="11435.88"/>
    <n v="6934.33"/>
    <n v="4501.55"/>
    <x v="1"/>
    <x v="0"/>
    <x v="0"/>
    <x v="8"/>
    <x v="1"/>
    <n v="0.39363389612342908"/>
  </r>
  <r>
    <x v="858"/>
    <d v="2026-02-14T00:00:00"/>
    <x v="113"/>
    <x v="0"/>
    <x v="2"/>
    <x v="19"/>
    <n v="4"/>
    <n v="4021.22"/>
    <n v="0.1"/>
    <n v="14476.39"/>
    <n v="8572.4"/>
    <n v="5903.99"/>
    <x v="1"/>
    <x v="1"/>
    <x v="0"/>
    <x v="1"/>
    <x v="0"/>
    <n v="0.40783579331587505"/>
  </r>
  <r>
    <x v="859"/>
    <d v="2026-01-30T00:00:00"/>
    <x v="419"/>
    <x v="7"/>
    <x v="0"/>
    <x v="11"/>
    <n v="6"/>
    <n v="4021.76"/>
    <n v="0.05"/>
    <n v="22924.03"/>
    <n v="16562.04"/>
    <n v="6361.99"/>
    <x v="1"/>
    <x v="1"/>
    <x v="1"/>
    <x v="9"/>
    <x v="0"/>
    <n v="0.27752493780543824"/>
  </r>
  <r>
    <x v="860"/>
    <d v="2025-11-06T00:00:00"/>
    <x v="334"/>
    <x v="6"/>
    <x v="1"/>
    <x v="2"/>
    <n v="1"/>
    <n v="4026.99"/>
    <n v="0.2"/>
    <n v="3221.59"/>
    <n v="1880.6"/>
    <n v="1340.99"/>
    <x v="1"/>
    <x v="0"/>
    <x v="1"/>
    <x v="3"/>
    <x v="1"/>
    <n v="0.4162509816581253"/>
  </r>
  <r>
    <x v="861"/>
    <d v="2025-10-28T00:00:00"/>
    <x v="69"/>
    <x v="0"/>
    <x v="1"/>
    <x v="2"/>
    <n v="3"/>
    <n v="4029.9"/>
    <n v="0.1"/>
    <n v="10880.73"/>
    <n v="7833.91"/>
    <n v="3046.82"/>
    <x v="1"/>
    <x v="1"/>
    <x v="0"/>
    <x v="11"/>
    <x v="1"/>
    <n v="0.2800198148469818"/>
  </r>
  <r>
    <x v="862"/>
    <d v="2026-05-26T00:00:00"/>
    <x v="233"/>
    <x v="2"/>
    <x v="2"/>
    <x v="13"/>
    <n v="2"/>
    <n v="4030.57"/>
    <n v="0.1"/>
    <n v="7255.03"/>
    <n v="5574.34"/>
    <n v="1680.69"/>
    <x v="0"/>
    <x v="2"/>
    <x v="1"/>
    <x v="5"/>
    <x v="0"/>
    <n v="0.23165858721466351"/>
  </r>
  <r>
    <x v="863"/>
    <d v="2025-11-12T00:00:00"/>
    <x v="45"/>
    <x v="2"/>
    <x v="3"/>
    <x v="5"/>
    <n v="1"/>
    <n v="4031.06"/>
    <n v="0.2"/>
    <n v="3224.85"/>
    <n v="2692.61"/>
    <n v="532.24"/>
    <x v="1"/>
    <x v="1"/>
    <x v="1"/>
    <x v="3"/>
    <x v="1"/>
    <n v="0.16504333534893095"/>
  </r>
  <r>
    <x v="864"/>
    <d v="2025-07-04T00:00:00"/>
    <x v="63"/>
    <x v="6"/>
    <x v="3"/>
    <x v="8"/>
    <n v="6"/>
    <n v="4031.42"/>
    <n v="0.15"/>
    <n v="20560.240000000002"/>
    <n v="13574.77"/>
    <n v="6985.47"/>
    <x v="0"/>
    <x v="1"/>
    <x v="1"/>
    <x v="2"/>
    <x v="1"/>
    <n v="0.33975624798154108"/>
  </r>
  <r>
    <x v="865"/>
    <d v="2026-08-15T00:00:00"/>
    <x v="17"/>
    <x v="0"/>
    <x v="3"/>
    <x v="10"/>
    <n v="2"/>
    <n v="4047.83"/>
    <n v="0.15"/>
    <n v="6881.31"/>
    <n v="4293.8599999999997"/>
    <n v="2587.4499999999998"/>
    <x v="1"/>
    <x v="3"/>
    <x v="1"/>
    <x v="6"/>
    <x v="0"/>
    <n v="0.37601125367117594"/>
  </r>
  <r>
    <x v="866"/>
    <d v="2025-04-20T00:00:00"/>
    <x v="362"/>
    <x v="2"/>
    <x v="1"/>
    <x v="2"/>
    <n v="1"/>
    <n v="4049.26"/>
    <n v="0.2"/>
    <n v="3239.41"/>
    <n v="2100.5500000000002"/>
    <n v="1138.8599999999999"/>
    <x v="0"/>
    <x v="0"/>
    <x v="1"/>
    <x v="8"/>
    <x v="1"/>
    <n v="0.35156401937389831"/>
  </r>
  <r>
    <x v="867"/>
    <d v="2025-09-27T00:00:00"/>
    <x v="139"/>
    <x v="4"/>
    <x v="3"/>
    <x v="10"/>
    <n v="1"/>
    <n v="4054.56"/>
    <n v="0.05"/>
    <n v="3851.83"/>
    <n v="2849.06"/>
    <n v="1002.77"/>
    <x v="0"/>
    <x v="3"/>
    <x v="1"/>
    <x v="4"/>
    <x v="1"/>
    <n v="0.26033599613690117"/>
  </r>
  <r>
    <x v="868"/>
    <d v="2026-06-02T00:00:00"/>
    <x v="272"/>
    <x v="8"/>
    <x v="0"/>
    <x v="1"/>
    <n v="1"/>
    <n v="4059.47"/>
    <n v="0"/>
    <n v="4059.47"/>
    <n v="2977.32"/>
    <n v="1082.1500000000001"/>
    <x v="0"/>
    <x v="1"/>
    <x v="1"/>
    <x v="10"/>
    <x v="0"/>
    <n v="0.26657420796310854"/>
  </r>
  <r>
    <x v="869"/>
    <d v="2025-04-05T00:00:00"/>
    <x v="155"/>
    <x v="3"/>
    <x v="0"/>
    <x v="17"/>
    <n v="1"/>
    <n v="4064.76"/>
    <n v="0.15"/>
    <n v="3455.05"/>
    <n v="2101.85"/>
    <n v="1353.2"/>
    <x v="1"/>
    <x v="1"/>
    <x v="1"/>
    <x v="8"/>
    <x v="1"/>
    <n v="0.39165858670641523"/>
  </r>
  <r>
    <x v="870"/>
    <d v="2025-06-18T00:00:00"/>
    <x v="25"/>
    <x v="9"/>
    <x v="1"/>
    <x v="18"/>
    <n v="5"/>
    <n v="4071.82"/>
    <n v="0.1"/>
    <n v="18323.189999999999"/>
    <n v="13022.54"/>
    <n v="5300.65"/>
    <x v="0"/>
    <x v="1"/>
    <x v="1"/>
    <x v="10"/>
    <x v="1"/>
    <n v="0.28928641792177018"/>
  </r>
  <r>
    <x v="871"/>
    <d v="2025-11-19T00:00:00"/>
    <x v="118"/>
    <x v="8"/>
    <x v="3"/>
    <x v="5"/>
    <n v="6"/>
    <n v="4072.29"/>
    <n v="0"/>
    <n v="24433.74"/>
    <n v="19747.189999999999"/>
    <n v="4686.55"/>
    <x v="0"/>
    <x v="0"/>
    <x v="1"/>
    <x v="3"/>
    <x v="1"/>
    <n v="0.19180649380733361"/>
  </r>
  <r>
    <x v="872"/>
    <d v="2026-07-10T00:00:00"/>
    <x v="180"/>
    <x v="5"/>
    <x v="2"/>
    <x v="13"/>
    <n v="3"/>
    <n v="4084.56"/>
    <n v="0.1"/>
    <n v="11028.31"/>
    <n v="8133.67"/>
    <n v="2894.64"/>
    <x v="0"/>
    <x v="3"/>
    <x v="1"/>
    <x v="2"/>
    <x v="0"/>
    <n v="0.26247357936075427"/>
  </r>
  <r>
    <x v="873"/>
    <d v="2025-07-08T00:00:00"/>
    <x v="399"/>
    <x v="4"/>
    <x v="1"/>
    <x v="16"/>
    <n v="3"/>
    <n v="4087.33"/>
    <n v="0.2"/>
    <n v="9809.59"/>
    <n v="6865.69"/>
    <n v="2943.9"/>
    <x v="1"/>
    <x v="0"/>
    <x v="1"/>
    <x v="2"/>
    <x v="1"/>
    <n v="0.30010428570409159"/>
  </r>
  <r>
    <x v="874"/>
    <d v="2026-01-24T00:00:00"/>
    <x v="420"/>
    <x v="7"/>
    <x v="2"/>
    <x v="3"/>
    <n v="6"/>
    <n v="4087.56"/>
    <n v="0.1"/>
    <n v="22072.82"/>
    <n v="18301.07"/>
    <n v="3771.75"/>
    <x v="0"/>
    <x v="3"/>
    <x v="0"/>
    <x v="9"/>
    <x v="0"/>
    <n v="0.17087757703818543"/>
  </r>
  <r>
    <x v="875"/>
    <d v="2025-11-19T00:00:00"/>
    <x v="281"/>
    <x v="6"/>
    <x v="1"/>
    <x v="2"/>
    <n v="5"/>
    <n v="4087.71"/>
    <n v="0.2"/>
    <n v="16350.84"/>
    <n v="10716.4"/>
    <n v="5634.44"/>
    <x v="1"/>
    <x v="2"/>
    <x v="1"/>
    <x v="3"/>
    <x v="1"/>
    <n v="0.34459636324494641"/>
  </r>
  <r>
    <x v="876"/>
    <d v="2025-10-13T00:00:00"/>
    <x v="381"/>
    <x v="8"/>
    <x v="3"/>
    <x v="6"/>
    <n v="5"/>
    <n v="4088.02"/>
    <n v="0.15"/>
    <n v="17374.080000000002"/>
    <n v="12991.69"/>
    <n v="4382.3900000000003"/>
    <x v="0"/>
    <x v="2"/>
    <x v="1"/>
    <x v="11"/>
    <x v="1"/>
    <n v="0.25223724076325194"/>
  </r>
  <r>
    <x v="877"/>
    <d v="2026-07-14T00:00:00"/>
    <x v="88"/>
    <x v="0"/>
    <x v="2"/>
    <x v="19"/>
    <n v="5"/>
    <n v="4089.26"/>
    <n v="0"/>
    <n v="20446.3"/>
    <n v="15177.42"/>
    <n v="5268.88"/>
    <x v="0"/>
    <x v="0"/>
    <x v="1"/>
    <x v="2"/>
    <x v="0"/>
    <n v="0.25769356802942345"/>
  </r>
  <r>
    <x v="878"/>
    <d v="2025-09-14T00:00:00"/>
    <x v="162"/>
    <x v="5"/>
    <x v="1"/>
    <x v="12"/>
    <n v="6"/>
    <n v="4093.7"/>
    <n v="0.05"/>
    <n v="23334.09"/>
    <n v="16340.31"/>
    <n v="6993.78"/>
    <x v="1"/>
    <x v="0"/>
    <x v="0"/>
    <x v="4"/>
    <x v="1"/>
    <n v="0.29972370895972372"/>
  </r>
  <r>
    <x v="879"/>
    <d v="2025-09-30T00:00:00"/>
    <x v="421"/>
    <x v="1"/>
    <x v="0"/>
    <x v="11"/>
    <n v="4"/>
    <n v="4102.8"/>
    <n v="0.2"/>
    <n v="13128.96"/>
    <n v="8710.52"/>
    <n v="4418.4399999999996"/>
    <x v="0"/>
    <x v="3"/>
    <x v="1"/>
    <x v="4"/>
    <x v="1"/>
    <n v="0.33654150823827628"/>
  </r>
  <r>
    <x v="880"/>
    <d v="2026-06-28T00:00:00"/>
    <x v="411"/>
    <x v="6"/>
    <x v="1"/>
    <x v="12"/>
    <n v="4"/>
    <n v="4103.21"/>
    <n v="0.05"/>
    <n v="15592.2"/>
    <n v="8980.2099999999991"/>
    <n v="6611.99"/>
    <x v="0"/>
    <x v="0"/>
    <x v="1"/>
    <x v="10"/>
    <x v="0"/>
    <n v="0.42405754159130843"/>
  </r>
  <r>
    <x v="881"/>
    <d v="2026-05-12T00:00:00"/>
    <x v="352"/>
    <x v="9"/>
    <x v="3"/>
    <x v="8"/>
    <n v="4"/>
    <n v="4112.3"/>
    <n v="0"/>
    <n v="16449.2"/>
    <n v="9245.69"/>
    <n v="7203.51"/>
    <x v="0"/>
    <x v="3"/>
    <x v="1"/>
    <x v="5"/>
    <x v="0"/>
    <n v="0.43792464071201032"/>
  </r>
  <r>
    <x v="882"/>
    <d v="2026-02-23T00:00:00"/>
    <x v="27"/>
    <x v="8"/>
    <x v="0"/>
    <x v="17"/>
    <n v="5"/>
    <n v="4121.91"/>
    <n v="0.2"/>
    <n v="16487.64"/>
    <n v="12069.37"/>
    <n v="4418.2700000000004"/>
    <x v="1"/>
    <x v="0"/>
    <x v="0"/>
    <x v="1"/>
    <x v="0"/>
    <n v="0.26797467678818804"/>
  </r>
  <r>
    <x v="883"/>
    <d v="2025-09-29T00:00:00"/>
    <x v="221"/>
    <x v="4"/>
    <x v="2"/>
    <x v="13"/>
    <n v="1"/>
    <n v="4123.9399999999996"/>
    <n v="0"/>
    <n v="4123.9399999999996"/>
    <n v="3207.3"/>
    <n v="916.64"/>
    <x v="1"/>
    <x v="2"/>
    <x v="1"/>
    <x v="4"/>
    <x v="1"/>
    <n v="0.22227287496908299"/>
  </r>
  <r>
    <x v="884"/>
    <d v="2026-01-24T00:00:00"/>
    <x v="378"/>
    <x v="7"/>
    <x v="1"/>
    <x v="12"/>
    <n v="4"/>
    <n v="4125.57"/>
    <n v="0.05"/>
    <n v="15677.17"/>
    <n v="8891.4699999999993"/>
    <n v="6785.7"/>
    <x v="0"/>
    <x v="0"/>
    <x v="1"/>
    <x v="9"/>
    <x v="0"/>
    <n v="0.43283960051463366"/>
  </r>
  <r>
    <x v="885"/>
    <d v="2026-05-15T00:00:00"/>
    <x v="163"/>
    <x v="6"/>
    <x v="0"/>
    <x v="9"/>
    <n v="2"/>
    <n v="4129.57"/>
    <n v="0"/>
    <n v="8259.14"/>
    <n v="5657.06"/>
    <n v="2602.08"/>
    <x v="1"/>
    <x v="2"/>
    <x v="1"/>
    <x v="5"/>
    <x v="0"/>
    <n v="0.31505459406185149"/>
  </r>
  <r>
    <x v="886"/>
    <d v="2025-10-14T00:00:00"/>
    <x v="233"/>
    <x v="9"/>
    <x v="2"/>
    <x v="15"/>
    <n v="6"/>
    <n v="4135.3"/>
    <n v="0.2"/>
    <n v="19849.439999999999"/>
    <n v="13237.44"/>
    <n v="6612"/>
    <x v="1"/>
    <x v="3"/>
    <x v="0"/>
    <x v="11"/>
    <x v="1"/>
    <n v="0.33310763427079054"/>
  </r>
  <r>
    <x v="887"/>
    <d v="2026-01-17T00:00:00"/>
    <x v="422"/>
    <x v="9"/>
    <x v="0"/>
    <x v="11"/>
    <n v="5"/>
    <n v="4141.04"/>
    <n v="0"/>
    <n v="20705.2"/>
    <n v="13034.35"/>
    <n v="7670.85"/>
    <x v="1"/>
    <x v="0"/>
    <x v="1"/>
    <x v="9"/>
    <x v="0"/>
    <n v="0.3704793964801113"/>
  </r>
  <r>
    <x v="888"/>
    <d v="2026-01-25T00:00:00"/>
    <x v="423"/>
    <x v="2"/>
    <x v="2"/>
    <x v="13"/>
    <n v="3"/>
    <n v="4142.82"/>
    <n v="0.15"/>
    <n v="10564.19"/>
    <n v="6449.68"/>
    <n v="4114.51"/>
    <x v="1"/>
    <x v="2"/>
    <x v="0"/>
    <x v="9"/>
    <x v="0"/>
    <n v="0.38947709194931179"/>
  </r>
  <r>
    <x v="889"/>
    <d v="2025-02-14T00:00:00"/>
    <x v="366"/>
    <x v="4"/>
    <x v="3"/>
    <x v="10"/>
    <n v="2"/>
    <n v="4144.51"/>
    <n v="0.1"/>
    <n v="7460.12"/>
    <n v="4276.16"/>
    <n v="3183.96"/>
    <x v="1"/>
    <x v="1"/>
    <x v="1"/>
    <x v="1"/>
    <x v="1"/>
    <n v="0.42679742417012062"/>
  </r>
  <r>
    <x v="890"/>
    <d v="2025-06-02T00:00:00"/>
    <x v="274"/>
    <x v="0"/>
    <x v="0"/>
    <x v="11"/>
    <n v="3"/>
    <n v="4164.28"/>
    <n v="0"/>
    <n v="12492.84"/>
    <n v="10464.94"/>
    <n v="2027.9"/>
    <x v="0"/>
    <x v="2"/>
    <x v="1"/>
    <x v="10"/>
    <x v="1"/>
    <n v="0.16232497974839988"/>
  </r>
  <r>
    <x v="891"/>
    <d v="2025-05-19T00:00:00"/>
    <x v="424"/>
    <x v="6"/>
    <x v="0"/>
    <x v="0"/>
    <n v="3"/>
    <n v="4177.28"/>
    <n v="0"/>
    <n v="12531.84"/>
    <n v="9421.06"/>
    <n v="3110.78"/>
    <x v="1"/>
    <x v="1"/>
    <x v="0"/>
    <x v="5"/>
    <x v="1"/>
    <n v="0.2482301082682192"/>
  </r>
  <r>
    <x v="892"/>
    <d v="2026-08-07T00:00:00"/>
    <x v="38"/>
    <x v="5"/>
    <x v="3"/>
    <x v="5"/>
    <n v="4"/>
    <n v="4179.8999999999996"/>
    <n v="0.05"/>
    <n v="15883.62"/>
    <n v="11241.91"/>
    <n v="4641.71"/>
    <x v="0"/>
    <x v="0"/>
    <x v="1"/>
    <x v="6"/>
    <x v="0"/>
    <n v="0.29223250115527821"/>
  </r>
  <r>
    <x v="893"/>
    <d v="2025-11-29T00:00:00"/>
    <x v="425"/>
    <x v="2"/>
    <x v="1"/>
    <x v="12"/>
    <n v="5"/>
    <n v="4180.6499999999996"/>
    <n v="0"/>
    <n v="20903.25"/>
    <n v="16496.259999999998"/>
    <n v="4406.99"/>
    <x v="1"/>
    <x v="2"/>
    <x v="1"/>
    <x v="3"/>
    <x v="1"/>
    <n v="0.21082798129477473"/>
  </r>
  <r>
    <x v="894"/>
    <d v="2025-06-07T00:00:00"/>
    <x v="301"/>
    <x v="0"/>
    <x v="2"/>
    <x v="19"/>
    <n v="6"/>
    <n v="4187.53"/>
    <n v="0.05"/>
    <n v="23868.92"/>
    <n v="20074.740000000002"/>
    <n v="3794.18"/>
    <x v="1"/>
    <x v="2"/>
    <x v="1"/>
    <x v="10"/>
    <x v="1"/>
    <n v="0.15895901448410737"/>
  </r>
  <r>
    <x v="895"/>
    <d v="2025-02-07T00:00:00"/>
    <x v="297"/>
    <x v="6"/>
    <x v="2"/>
    <x v="3"/>
    <n v="3"/>
    <n v="4191.43"/>
    <n v="0.2"/>
    <n v="10059.43"/>
    <n v="6539.95"/>
    <n v="3519.48"/>
    <x v="0"/>
    <x v="0"/>
    <x v="1"/>
    <x v="1"/>
    <x v="1"/>
    <n v="0.34986873013679698"/>
  </r>
  <r>
    <x v="896"/>
    <d v="2025-06-01T00:00:00"/>
    <x v="363"/>
    <x v="3"/>
    <x v="2"/>
    <x v="15"/>
    <n v="1"/>
    <n v="4192.8999999999996"/>
    <n v="0.1"/>
    <n v="3773.61"/>
    <n v="2922.51"/>
    <n v="851.1"/>
    <x v="1"/>
    <x v="0"/>
    <x v="1"/>
    <x v="10"/>
    <x v="1"/>
    <n v="0.22554000015899894"/>
  </r>
  <r>
    <x v="897"/>
    <d v="2025-11-27T00:00:00"/>
    <x v="258"/>
    <x v="7"/>
    <x v="2"/>
    <x v="3"/>
    <n v="2"/>
    <n v="4195.8900000000003"/>
    <n v="0"/>
    <n v="8391.7800000000007"/>
    <n v="5584.72"/>
    <n v="2807.06"/>
    <x v="0"/>
    <x v="0"/>
    <x v="0"/>
    <x v="3"/>
    <x v="1"/>
    <n v="0.33450114278496335"/>
  </r>
  <r>
    <x v="898"/>
    <d v="2026-01-31T00:00:00"/>
    <x v="71"/>
    <x v="9"/>
    <x v="0"/>
    <x v="9"/>
    <n v="1"/>
    <n v="4197.3500000000004"/>
    <n v="0"/>
    <n v="4197.3500000000004"/>
    <n v="2398.23"/>
    <n v="1799.12"/>
    <x v="0"/>
    <x v="3"/>
    <x v="0"/>
    <x v="9"/>
    <x v="0"/>
    <n v="0.42863235136455136"/>
  </r>
  <r>
    <x v="899"/>
    <d v="2026-01-24T00:00:00"/>
    <x v="279"/>
    <x v="7"/>
    <x v="1"/>
    <x v="16"/>
    <n v="6"/>
    <n v="4199.59"/>
    <n v="0"/>
    <n v="25197.54"/>
    <n v="14993.58"/>
    <n v="10203.959999999999"/>
    <x v="0"/>
    <x v="2"/>
    <x v="1"/>
    <x v="9"/>
    <x v="0"/>
    <n v="0.40495857928988299"/>
  </r>
  <r>
    <x v="900"/>
    <d v="2025-07-22T00:00:00"/>
    <x v="291"/>
    <x v="9"/>
    <x v="0"/>
    <x v="9"/>
    <n v="4"/>
    <n v="4203.66"/>
    <n v="0.2"/>
    <n v="13451.71"/>
    <n v="8828.34"/>
    <n v="4623.37"/>
    <x v="1"/>
    <x v="2"/>
    <x v="1"/>
    <x v="2"/>
    <x v="1"/>
    <n v="0.3437012840746641"/>
  </r>
  <r>
    <x v="901"/>
    <d v="2025-04-10T00:00:00"/>
    <x v="30"/>
    <x v="5"/>
    <x v="0"/>
    <x v="1"/>
    <n v="5"/>
    <n v="4206.5600000000004"/>
    <n v="0"/>
    <n v="21032.799999999999"/>
    <n v="16501.650000000001"/>
    <n v="4531.1499999999996"/>
    <x v="0"/>
    <x v="3"/>
    <x v="1"/>
    <x v="8"/>
    <x v="1"/>
    <n v="0.21543256247385037"/>
  </r>
  <r>
    <x v="902"/>
    <d v="2026-01-08T00:00:00"/>
    <x v="222"/>
    <x v="9"/>
    <x v="2"/>
    <x v="13"/>
    <n v="5"/>
    <n v="4215.03"/>
    <n v="0.2"/>
    <n v="16860.12"/>
    <n v="9452.6299999999992"/>
    <n v="7407.49"/>
    <x v="0"/>
    <x v="0"/>
    <x v="1"/>
    <x v="9"/>
    <x v="0"/>
    <n v="0.43934977924237789"/>
  </r>
  <r>
    <x v="903"/>
    <d v="2025-04-17T00:00:00"/>
    <x v="337"/>
    <x v="5"/>
    <x v="1"/>
    <x v="12"/>
    <n v="2"/>
    <n v="4224.55"/>
    <n v="0"/>
    <n v="8449.1"/>
    <n v="5211.57"/>
    <n v="3237.53"/>
    <x v="0"/>
    <x v="2"/>
    <x v="1"/>
    <x v="8"/>
    <x v="1"/>
    <n v="0.38318045709010429"/>
  </r>
  <r>
    <x v="904"/>
    <d v="2025-05-26T00:00:00"/>
    <x v="426"/>
    <x v="2"/>
    <x v="3"/>
    <x v="10"/>
    <n v="5"/>
    <n v="4227.0200000000004"/>
    <n v="0"/>
    <n v="21135.1"/>
    <n v="16445.759999999998"/>
    <n v="4689.34"/>
    <x v="0"/>
    <x v="2"/>
    <x v="1"/>
    <x v="5"/>
    <x v="1"/>
    <n v="0.2218745120676032"/>
  </r>
  <r>
    <x v="905"/>
    <d v="2026-05-07T00:00:00"/>
    <x v="352"/>
    <x v="4"/>
    <x v="1"/>
    <x v="12"/>
    <n v="2"/>
    <n v="4233.1400000000003"/>
    <n v="0.05"/>
    <n v="8042.97"/>
    <n v="6646.35"/>
    <n v="1396.62"/>
    <x v="0"/>
    <x v="0"/>
    <x v="0"/>
    <x v="5"/>
    <x v="0"/>
    <n v="0.17364481031260839"/>
  </r>
  <r>
    <x v="906"/>
    <d v="2025-04-01T00:00:00"/>
    <x v="47"/>
    <x v="4"/>
    <x v="2"/>
    <x v="14"/>
    <n v="2"/>
    <n v="4235.1400000000003"/>
    <n v="0.1"/>
    <n v="7623.25"/>
    <n v="5186.29"/>
    <n v="2436.96"/>
    <x v="0"/>
    <x v="3"/>
    <x v="1"/>
    <x v="8"/>
    <x v="1"/>
    <n v="0.31967467943462435"/>
  </r>
  <r>
    <x v="907"/>
    <d v="2026-03-01T00:00:00"/>
    <x v="317"/>
    <x v="5"/>
    <x v="3"/>
    <x v="5"/>
    <n v="1"/>
    <n v="4235.4399999999996"/>
    <n v="0.1"/>
    <n v="3811.9"/>
    <n v="2292.06"/>
    <n v="1519.84"/>
    <x v="0"/>
    <x v="1"/>
    <x v="1"/>
    <x v="0"/>
    <x v="0"/>
    <n v="0.39870930507096197"/>
  </r>
  <r>
    <x v="908"/>
    <d v="2026-06-14T00:00:00"/>
    <x v="296"/>
    <x v="8"/>
    <x v="1"/>
    <x v="18"/>
    <n v="1"/>
    <n v="4244.79"/>
    <n v="0"/>
    <n v="4244.79"/>
    <n v="2788.3"/>
    <n v="1456.49"/>
    <x v="1"/>
    <x v="3"/>
    <x v="1"/>
    <x v="10"/>
    <x v="0"/>
    <n v="0.34312415926347356"/>
  </r>
  <r>
    <x v="909"/>
    <d v="2025-08-15T00:00:00"/>
    <x v="427"/>
    <x v="7"/>
    <x v="2"/>
    <x v="15"/>
    <n v="6"/>
    <n v="4247.49"/>
    <n v="0.05"/>
    <n v="24210.69"/>
    <n v="18234.330000000002"/>
    <n v="5976.36"/>
    <x v="1"/>
    <x v="2"/>
    <x v="1"/>
    <x v="6"/>
    <x v="1"/>
    <n v="0.24684798326689575"/>
  </r>
  <r>
    <x v="910"/>
    <d v="2026-05-11T00:00:00"/>
    <x v="41"/>
    <x v="4"/>
    <x v="2"/>
    <x v="3"/>
    <n v="1"/>
    <n v="4247.67"/>
    <n v="0.1"/>
    <n v="3822.9"/>
    <n v="3123.93"/>
    <n v="698.97"/>
    <x v="1"/>
    <x v="2"/>
    <x v="0"/>
    <x v="5"/>
    <x v="0"/>
    <n v="0.18283763634936828"/>
  </r>
  <r>
    <x v="911"/>
    <d v="2025-06-11T00:00:00"/>
    <x v="428"/>
    <x v="2"/>
    <x v="2"/>
    <x v="14"/>
    <n v="6"/>
    <n v="4252.3999999999996"/>
    <n v="0"/>
    <n v="25514.400000000001"/>
    <n v="20787.61"/>
    <n v="4726.79"/>
    <x v="0"/>
    <x v="1"/>
    <x v="1"/>
    <x v="10"/>
    <x v="1"/>
    <n v="0.18525969648512211"/>
  </r>
  <r>
    <x v="912"/>
    <d v="2026-05-15T00:00:00"/>
    <x v="195"/>
    <x v="7"/>
    <x v="1"/>
    <x v="18"/>
    <n v="2"/>
    <n v="4259.41"/>
    <n v="0.05"/>
    <n v="8092.88"/>
    <n v="6683.47"/>
    <n v="1409.41"/>
    <x v="0"/>
    <x v="0"/>
    <x v="1"/>
    <x v="5"/>
    <x v="0"/>
    <n v="0.17415431836379633"/>
  </r>
  <r>
    <x v="913"/>
    <d v="2026-07-27T00:00:00"/>
    <x v="41"/>
    <x v="4"/>
    <x v="1"/>
    <x v="2"/>
    <n v="6"/>
    <n v="4259.66"/>
    <n v="0.1"/>
    <n v="23002.16"/>
    <n v="17048.25"/>
    <n v="5953.91"/>
    <x v="1"/>
    <x v="0"/>
    <x v="1"/>
    <x v="2"/>
    <x v="0"/>
    <n v="0.25884134359555799"/>
  </r>
  <r>
    <x v="914"/>
    <d v="2025-07-30T00:00:00"/>
    <x v="429"/>
    <x v="1"/>
    <x v="0"/>
    <x v="17"/>
    <n v="5"/>
    <n v="4261.38"/>
    <n v="0"/>
    <n v="21306.9"/>
    <n v="17874.349999999999"/>
    <n v="3432.55"/>
    <x v="0"/>
    <x v="0"/>
    <x v="0"/>
    <x v="2"/>
    <x v="1"/>
    <n v="0.16110039470781765"/>
  </r>
  <r>
    <x v="915"/>
    <d v="2025-07-16T00:00:00"/>
    <x v="17"/>
    <x v="2"/>
    <x v="3"/>
    <x v="10"/>
    <n v="1"/>
    <n v="4262.46"/>
    <n v="0"/>
    <n v="4262.46"/>
    <n v="3237.99"/>
    <n v="1024.47"/>
    <x v="0"/>
    <x v="1"/>
    <x v="1"/>
    <x v="2"/>
    <x v="1"/>
    <n v="0.24034712349206797"/>
  </r>
  <r>
    <x v="916"/>
    <d v="2026-02-24T00:00:00"/>
    <x v="399"/>
    <x v="8"/>
    <x v="1"/>
    <x v="2"/>
    <n v="4"/>
    <n v="4263.03"/>
    <n v="0"/>
    <n v="17052.12"/>
    <n v="9441.09"/>
    <n v="7611.03"/>
    <x v="0"/>
    <x v="3"/>
    <x v="1"/>
    <x v="1"/>
    <x v="0"/>
    <n v="0.44633922351003863"/>
  </r>
  <r>
    <x v="917"/>
    <d v="2026-05-23T00:00:00"/>
    <x v="430"/>
    <x v="9"/>
    <x v="0"/>
    <x v="11"/>
    <n v="6"/>
    <n v="4265.17"/>
    <n v="0"/>
    <n v="25591.02"/>
    <n v="18065.63"/>
    <n v="7525.39"/>
    <x v="0"/>
    <x v="1"/>
    <x v="1"/>
    <x v="5"/>
    <x v="0"/>
    <n v="0.29406369890688216"/>
  </r>
  <r>
    <x v="918"/>
    <d v="2025-10-09T00:00:00"/>
    <x v="249"/>
    <x v="6"/>
    <x v="0"/>
    <x v="1"/>
    <n v="1"/>
    <n v="4266.8599999999997"/>
    <n v="0.1"/>
    <n v="3840.17"/>
    <n v="2696.97"/>
    <n v="1143.2"/>
    <x v="0"/>
    <x v="1"/>
    <x v="1"/>
    <x v="11"/>
    <x v="1"/>
    <n v="0.29769515412078112"/>
  </r>
  <r>
    <x v="919"/>
    <d v="2026-05-11T00:00:00"/>
    <x v="246"/>
    <x v="3"/>
    <x v="0"/>
    <x v="1"/>
    <n v="1"/>
    <n v="4267.5200000000004"/>
    <n v="0"/>
    <n v="4267.5200000000004"/>
    <n v="2939.3"/>
    <n v="1328.22"/>
    <x v="0"/>
    <x v="0"/>
    <x v="1"/>
    <x v="5"/>
    <x v="0"/>
    <n v="0.31123931463707255"/>
  </r>
  <r>
    <x v="920"/>
    <d v="2025-11-30T00:00:00"/>
    <x v="227"/>
    <x v="5"/>
    <x v="1"/>
    <x v="7"/>
    <n v="2"/>
    <n v="4282.63"/>
    <n v="0.2"/>
    <n v="6852.21"/>
    <n v="5703.55"/>
    <n v="1148.6600000000001"/>
    <x v="1"/>
    <x v="1"/>
    <x v="1"/>
    <x v="3"/>
    <x v="1"/>
    <n v="0.16763350802149965"/>
  </r>
  <r>
    <x v="921"/>
    <d v="2025-09-05T00:00:00"/>
    <x v="12"/>
    <x v="6"/>
    <x v="2"/>
    <x v="19"/>
    <n v="3"/>
    <n v="4283.04"/>
    <n v="0.1"/>
    <n v="11564.21"/>
    <n v="8069.71"/>
    <n v="3494.5"/>
    <x v="1"/>
    <x v="1"/>
    <x v="1"/>
    <x v="4"/>
    <x v="1"/>
    <n v="0.30218233670955474"/>
  </r>
  <r>
    <x v="922"/>
    <d v="2026-07-30T00:00:00"/>
    <x v="167"/>
    <x v="5"/>
    <x v="1"/>
    <x v="16"/>
    <n v="1"/>
    <n v="4283.9399999999996"/>
    <n v="0.15"/>
    <n v="3641.35"/>
    <n v="2340.5"/>
    <n v="1300.8499999999999"/>
    <x v="1"/>
    <x v="3"/>
    <x v="0"/>
    <x v="2"/>
    <x v="0"/>
    <n v="0.35724387933046808"/>
  </r>
  <r>
    <x v="923"/>
    <d v="2026-02-10T00:00:00"/>
    <x v="367"/>
    <x v="6"/>
    <x v="0"/>
    <x v="9"/>
    <n v="2"/>
    <n v="4304.55"/>
    <n v="0.1"/>
    <n v="7748.19"/>
    <n v="5301.71"/>
    <n v="2446.48"/>
    <x v="0"/>
    <x v="3"/>
    <x v="1"/>
    <x v="1"/>
    <x v="0"/>
    <n v="0.31574858128156386"/>
  </r>
  <r>
    <x v="924"/>
    <d v="2026-01-13T00:00:00"/>
    <x v="431"/>
    <x v="9"/>
    <x v="3"/>
    <x v="8"/>
    <n v="4"/>
    <n v="4305.28"/>
    <n v="0.15"/>
    <n v="14637.95"/>
    <n v="9801.25"/>
    <n v="4836.7"/>
    <x v="1"/>
    <x v="1"/>
    <x v="0"/>
    <x v="9"/>
    <x v="0"/>
    <n v="0.33042195116119399"/>
  </r>
  <r>
    <x v="925"/>
    <d v="2025-10-04T00:00:00"/>
    <x v="99"/>
    <x v="3"/>
    <x v="3"/>
    <x v="4"/>
    <n v="4"/>
    <n v="4306.05"/>
    <n v="0.2"/>
    <n v="13779.36"/>
    <n v="7595.94"/>
    <n v="6183.42"/>
    <x v="0"/>
    <x v="0"/>
    <x v="1"/>
    <x v="11"/>
    <x v="1"/>
    <n v="0.44874507959731075"/>
  </r>
  <r>
    <x v="926"/>
    <d v="2026-03-17T00:00:00"/>
    <x v="248"/>
    <x v="9"/>
    <x v="1"/>
    <x v="18"/>
    <n v="4"/>
    <n v="4306.96"/>
    <n v="0.15"/>
    <n v="14643.66"/>
    <n v="10983.26"/>
    <n v="3660.4"/>
    <x v="0"/>
    <x v="2"/>
    <x v="0"/>
    <x v="0"/>
    <x v="0"/>
    <n v="0.24996483119657245"/>
  </r>
  <r>
    <x v="927"/>
    <d v="2025-10-08T00:00:00"/>
    <x v="95"/>
    <x v="0"/>
    <x v="1"/>
    <x v="12"/>
    <n v="1"/>
    <n v="4310.47"/>
    <n v="0.2"/>
    <n v="3448.38"/>
    <n v="2043.47"/>
    <n v="1404.91"/>
    <x v="0"/>
    <x v="2"/>
    <x v="1"/>
    <x v="11"/>
    <x v="1"/>
    <n v="0.40741159616979566"/>
  </r>
  <r>
    <x v="928"/>
    <d v="2026-08-11T00:00:00"/>
    <x v="432"/>
    <x v="2"/>
    <x v="2"/>
    <x v="14"/>
    <n v="6"/>
    <n v="4323.59"/>
    <n v="0.1"/>
    <n v="23347.39"/>
    <n v="19017.59"/>
    <n v="4329.8"/>
    <x v="1"/>
    <x v="1"/>
    <x v="1"/>
    <x v="6"/>
    <x v="0"/>
    <n v="0.18545113607987876"/>
  </r>
  <r>
    <x v="929"/>
    <d v="2026-01-26T00:00:00"/>
    <x v="32"/>
    <x v="1"/>
    <x v="0"/>
    <x v="9"/>
    <n v="3"/>
    <n v="4325.7"/>
    <n v="0.15"/>
    <n v="11030.53"/>
    <n v="8543.8799999999992"/>
    <n v="2486.65"/>
    <x v="1"/>
    <x v="1"/>
    <x v="1"/>
    <x v="9"/>
    <x v="0"/>
    <n v="0.22543341072459799"/>
  </r>
  <r>
    <x v="930"/>
    <d v="2026-05-08T00:00:00"/>
    <x v="68"/>
    <x v="2"/>
    <x v="3"/>
    <x v="8"/>
    <n v="4"/>
    <n v="4334.09"/>
    <n v="0.15"/>
    <n v="14735.91"/>
    <n v="8338.9"/>
    <n v="6397.01"/>
    <x v="0"/>
    <x v="1"/>
    <x v="1"/>
    <x v="5"/>
    <x v="0"/>
    <n v="0.43411027890371212"/>
  </r>
  <r>
    <x v="931"/>
    <d v="2026-08-18T00:00:00"/>
    <x v="229"/>
    <x v="4"/>
    <x v="0"/>
    <x v="0"/>
    <n v="1"/>
    <n v="4337.92"/>
    <n v="0.1"/>
    <n v="3904.13"/>
    <n v="2370.14"/>
    <n v="1533.99"/>
    <x v="0"/>
    <x v="0"/>
    <x v="0"/>
    <x v="6"/>
    <x v="0"/>
    <n v="0.39291468265657137"/>
  </r>
  <r>
    <x v="932"/>
    <d v="2026-01-21T00:00:00"/>
    <x v="249"/>
    <x v="2"/>
    <x v="0"/>
    <x v="1"/>
    <n v="3"/>
    <n v="4339.75"/>
    <n v="0.05"/>
    <n v="12368.29"/>
    <n v="8678.2099999999991"/>
    <n v="3690.08"/>
    <x v="0"/>
    <x v="0"/>
    <x v="1"/>
    <x v="9"/>
    <x v="0"/>
    <n v="0.29835005485802807"/>
  </r>
  <r>
    <x v="933"/>
    <d v="2025-09-01T00:00:00"/>
    <x v="95"/>
    <x v="7"/>
    <x v="1"/>
    <x v="7"/>
    <n v="2"/>
    <n v="4340.07"/>
    <n v="0"/>
    <n v="8680.14"/>
    <n v="7377.85"/>
    <n v="1302.29"/>
    <x v="0"/>
    <x v="2"/>
    <x v="1"/>
    <x v="4"/>
    <x v="1"/>
    <n v="0.15003099028356687"/>
  </r>
  <r>
    <x v="934"/>
    <d v="2026-02-03T00:00:00"/>
    <x v="114"/>
    <x v="7"/>
    <x v="1"/>
    <x v="7"/>
    <n v="5"/>
    <n v="4340.9399999999996"/>
    <n v="0.15"/>
    <n v="18448.990000000002"/>
    <n v="10890.19"/>
    <n v="7558.8"/>
    <x v="0"/>
    <x v="3"/>
    <x v="1"/>
    <x v="1"/>
    <x v="0"/>
    <n v="0.40971348567048926"/>
  </r>
  <r>
    <x v="935"/>
    <d v="2026-07-14T00:00:00"/>
    <x v="193"/>
    <x v="0"/>
    <x v="0"/>
    <x v="0"/>
    <n v="5"/>
    <n v="4351.67"/>
    <n v="0"/>
    <n v="21758.35"/>
    <n v="16760.04"/>
    <n v="4998.3100000000004"/>
    <x v="0"/>
    <x v="1"/>
    <x v="1"/>
    <x v="2"/>
    <x v="0"/>
    <n v="0.22971916528597069"/>
  </r>
  <r>
    <x v="936"/>
    <d v="2025-01-13T00:00:00"/>
    <x v="11"/>
    <x v="0"/>
    <x v="2"/>
    <x v="13"/>
    <n v="1"/>
    <n v="4357.2299999999996"/>
    <n v="0"/>
    <n v="4357.2299999999996"/>
    <n v="3654.09"/>
    <n v="703.14"/>
    <x v="0"/>
    <x v="0"/>
    <x v="1"/>
    <x v="9"/>
    <x v="1"/>
    <n v="0.16137316597930337"/>
  </r>
  <r>
    <x v="937"/>
    <d v="2025-03-21T00:00:00"/>
    <x v="166"/>
    <x v="0"/>
    <x v="2"/>
    <x v="19"/>
    <n v="4"/>
    <n v="4362.01"/>
    <n v="0.15"/>
    <n v="14830.83"/>
    <n v="10753.2"/>
    <n v="4077.63"/>
    <x v="0"/>
    <x v="2"/>
    <x v="1"/>
    <x v="0"/>
    <x v="1"/>
    <n v="0.27494280495427431"/>
  </r>
  <r>
    <x v="938"/>
    <d v="2025-04-02T00:00:00"/>
    <x v="433"/>
    <x v="5"/>
    <x v="3"/>
    <x v="8"/>
    <n v="6"/>
    <n v="4364.38"/>
    <n v="0"/>
    <n v="26186.28"/>
    <n v="15649.26"/>
    <n v="10537.02"/>
    <x v="1"/>
    <x v="0"/>
    <x v="1"/>
    <x v="8"/>
    <x v="1"/>
    <n v="0.40238705153996679"/>
  </r>
  <r>
    <x v="939"/>
    <d v="2025-06-18T00:00:00"/>
    <x v="323"/>
    <x v="3"/>
    <x v="0"/>
    <x v="0"/>
    <n v="2"/>
    <n v="4374.79"/>
    <n v="0"/>
    <n v="8749.58"/>
    <n v="5903.83"/>
    <n v="2845.75"/>
    <x v="1"/>
    <x v="1"/>
    <x v="1"/>
    <x v="10"/>
    <x v="1"/>
    <n v="0.3252441831493626"/>
  </r>
  <r>
    <x v="940"/>
    <d v="2025-10-24T00:00:00"/>
    <x v="311"/>
    <x v="5"/>
    <x v="2"/>
    <x v="3"/>
    <n v="2"/>
    <n v="4381.57"/>
    <n v="0.05"/>
    <n v="8324.98"/>
    <n v="5435.36"/>
    <n v="2889.62"/>
    <x v="1"/>
    <x v="0"/>
    <x v="1"/>
    <x v="11"/>
    <x v="1"/>
    <n v="0.34710233538098589"/>
  </r>
  <r>
    <x v="941"/>
    <d v="2026-04-23T00:00:00"/>
    <x v="161"/>
    <x v="2"/>
    <x v="3"/>
    <x v="5"/>
    <n v="3"/>
    <n v="4382.97"/>
    <n v="0"/>
    <n v="13148.91"/>
    <n v="7866.77"/>
    <n v="5282.14"/>
    <x v="0"/>
    <x v="0"/>
    <x v="1"/>
    <x v="8"/>
    <x v="0"/>
    <n v="0.40171694840104621"/>
  </r>
  <r>
    <x v="942"/>
    <d v="2025-06-29T00:00:00"/>
    <x v="434"/>
    <x v="6"/>
    <x v="2"/>
    <x v="15"/>
    <n v="3"/>
    <n v="4386.79"/>
    <n v="0.05"/>
    <n v="12502.35"/>
    <n v="9913.8700000000008"/>
    <n v="2588.48"/>
    <x v="0"/>
    <x v="3"/>
    <x v="0"/>
    <x v="10"/>
    <x v="1"/>
    <n v="0.20703947657840324"/>
  </r>
  <r>
    <x v="943"/>
    <d v="2025-07-02T00:00:00"/>
    <x v="126"/>
    <x v="8"/>
    <x v="2"/>
    <x v="15"/>
    <n v="1"/>
    <n v="4399.71"/>
    <n v="0.2"/>
    <n v="3519.77"/>
    <n v="2788.48"/>
    <n v="731.29"/>
    <x v="0"/>
    <x v="0"/>
    <x v="1"/>
    <x v="2"/>
    <x v="1"/>
    <n v="0.20776641655562719"/>
  </r>
  <r>
    <x v="944"/>
    <d v="2026-05-25T00:00:00"/>
    <x v="1"/>
    <x v="2"/>
    <x v="1"/>
    <x v="12"/>
    <n v="3"/>
    <n v="4401.7299999999996"/>
    <n v="0.2"/>
    <n v="10564.15"/>
    <n v="8027.54"/>
    <n v="2536.61"/>
    <x v="0"/>
    <x v="3"/>
    <x v="1"/>
    <x v="5"/>
    <x v="0"/>
    <n v="0.24011491695971757"/>
  </r>
  <r>
    <x v="945"/>
    <d v="2026-08-03T00:00:00"/>
    <x v="435"/>
    <x v="0"/>
    <x v="2"/>
    <x v="15"/>
    <n v="2"/>
    <n v="4405.7299999999996"/>
    <n v="0.05"/>
    <n v="8370.89"/>
    <n v="5509.85"/>
    <n v="2861.04"/>
    <x v="1"/>
    <x v="3"/>
    <x v="0"/>
    <x v="6"/>
    <x v="0"/>
    <n v="0.34178444585940088"/>
  </r>
  <r>
    <x v="946"/>
    <d v="2026-08-21T00:00:00"/>
    <x v="358"/>
    <x v="3"/>
    <x v="3"/>
    <x v="4"/>
    <n v="1"/>
    <n v="4406.42"/>
    <n v="0.1"/>
    <n v="3965.78"/>
    <n v="2286.77"/>
    <n v="1679.01"/>
    <x v="1"/>
    <x v="3"/>
    <x v="1"/>
    <x v="6"/>
    <x v="0"/>
    <n v="0.42337446857869065"/>
  </r>
  <r>
    <x v="947"/>
    <d v="2025-11-04T00:00:00"/>
    <x v="21"/>
    <x v="6"/>
    <x v="2"/>
    <x v="13"/>
    <n v="6"/>
    <n v="4409.8"/>
    <n v="0.05"/>
    <n v="25135.86"/>
    <n v="17334.150000000001"/>
    <n v="7801.71"/>
    <x v="0"/>
    <x v="3"/>
    <x v="1"/>
    <x v="3"/>
    <x v="1"/>
    <n v="0.31038166189658917"/>
  </r>
  <r>
    <x v="948"/>
    <d v="2025-12-12T00:00:00"/>
    <x v="243"/>
    <x v="3"/>
    <x v="3"/>
    <x v="5"/>
    <n v="4"/>
    <n v="4420.97"/>
    <n v="0.1"/>
    <n v="15915.49"/>
    <n v="12229.34"/>
    <n v="3686.15"/>
    <x v="1"/>
    <x v="2"/>
    <x v="0"/>
    <x v="7"/>
    <x v="1"/>
    <n v="0.2316076979093952"/>
  </r>
  <r>
    <x v="949"/>
    <d v="2026-07-22T00:00:00"/>
    <x v="293"/>
    <x v="9"/>
    <x v="0"/>
    <x v="17"/>
    <n v="4"/>
    <n v="4423"/>
    <n v="0"/>
    <n v="17692"/>
    <n v="12522.01"/>
    <n v="5169.99"/>
    <x v="1"/>
    <x v="2"/>
    <x v="0"/>
    <x v="2"/>
    <x v="0"/>
    <n v="0.29222190820709926"/>
  </r>
  <r>
    <x v="950"/>
    <d v="2026-06-14T00:00:00"/>
    <x v="436"/>
    <x v="6"/>
    <x v="0"/>
    <x v="17"/>
    <n v="2"/>
    <n v="4424.87"/>
    <n v="0.15"/>
    <n v="7522.28"/>
    <n v="4536.16"/>
    <n v="2986.12"/>
    <x v="1"/>
    <x v="2"/>
    <x v="0"/>
    <x v="10"/>
    <x v="0"/>
    <n v="0.39697006758589148"/>
  </r>
  <r>
    <x v="951"/>
    <d v="2025-03-06T00:00:00"/>
    <x v="145"/>
    <x v="9"/>
    <x v="1"/>
    <x v="7"/>
    <n v="5"/>
    <n v="4427.9399999999996"/>
    <n v="0"/>
    <n v="22139.7"/>
    <n v="13764.45"/>
    <n v="8375.25"/>
    <x v="0"/>
    <x v="0"/>
    <x v="1"/>
    <x v="0"/>
    <x v="1"/>
    <n v="0.37829103375384487"/>
  </r>
  <r>
    <x v="952"/>
    <d v="2026-02-06T00:00:00"/>
    <x v="324"/>
    <x v="4"/>
    <x v="2"/>
    <x v="19"/>
    <n v="3"/>
    <n v="4428.32"/>
    <n v="0"/>
    <n v="13284.96"/>
    <n v="11120.55"/>
    <n v="2164.41"/>
    <x v="0"/>
    <x v="2"/>
    <x v="1"/>
    <x v="1"/>
    <x v="0"/>
    <n v="0.16292183040069372"/>
  </r>
  <r>
    <x v="953"/>
    <d v="2025-02-26T00:00:00"/>
    <x v="266"/>
    <x v="6"/>
    <x v="2"/>
    <x v="13"/>
    <n v="3"/>
    <n v="4444.45"/>
    <n v="0.2"/>
    <n v="10666.68"/>
    <n v="8491.14"/>
    <n v="2175.54"/>
    <x v="0"/>
    <x v="3"/>
    <x v="1"/>
    <x v="1"/>
    <x v="1"/>
    <n v="0.20395662005422494"/>
  </r>
  <r>
    <x v="954"/>
    <d v="2025-08-09T00:00:00"/>
    <x v="392"/>
    <x v="9"/>
    <x v="2"/>
    <x v="15"/>
    <n v="5"/>
    <n v="4448.4799999999996"/>
    <n v="0.2"/>
    <n v="17793.919999999998"/>
    <n v="14452.32"/>
    <n v="3341.6"/>
    <x v="0"/>
    <x v="3"/>
    <x v="1"/>
    <x v="6"/>
    <x v="1"/>
    <n v="0.18779448260979031"/>
  </r>
  <r>
    <x v="955"/>
    <d v="2026-05-26T00:00:00"/>
    <x v="171"/>
    <x v="6"/>
    <x v="1"/>
    <x v="12"/>
    <n v="3"/>
    <n v="4449.3100000000004"/>
    <n v="0.15"/>
    <n v="11345.74"/>
    <n v="8582.7900000000009"/>
    <n v="2762.95"/>
    <x v="0"/>
    <x v="0"/>
    <x v="0"/>
    <x v="5"/>
    <x v="0"/>
    <n v="0.24352311969073853"/>
  </r>
  <r>
    <x v="956"/>
    <d v="2026-03-16T00:00:00"/>
    <x v="121"/>
    <x v="0"/>
    <x v="1"/>
    <x v="7"/>
    <n v="6"/>
    <n v="4461.6899999999996"/>
    <n v="0"/>
    <n v="26770.14"/>
    <n v="21012.9"/>
    <n v="5757.24"/>
    <x v="1"/>
    <x v="0"/>
    <x v="0"/>
    <x v="0"/>
    <x v="0"/>
    <n v="0.21506200565256661"/>
  </r>
  <r>
    <x v="957"/>
    <d v="2026-02-18T00:00:00"/>
    <x v="437"/>
    <x v="8"/>
    <x v="0"/>
    <x v="0"/>
    <n v="2"/>
    <n v="4462.6499999999996"/>
    <n v="0"/>
    <n v="8925.2999999999993"/>
    <n v="5757.22"/>
    <n v="3168.08"/>
    <x v="0"/>
    <x v="3"/>
    <x v="1"/>
    <x v="1"/>
    <x v="0"/>
    <n v="0.35495501551768571"/>
  </r>
  <r>
    <x v="958"/>
    <d v="2026-01-19T00:00:00"/>
    <x v="61"/>
    <x v="7"/>
    <x v="2"/>
    <x v="14"/>
    <n v="3"/>
    <n v="4466.71"/>
    <n v="0.2"/>
    <n v="10720.1"/>
    <n v="6539.35"/>
    <n v="4180.75"/>
    <x v="1"/>
    <x v="1"/>
    <x v="0"/>
    <x v="9"/>
    <x v="0"/>
    <n v="0.38999169783863957"/>
  </r>
  <r>
    <x v="959"/>
    <d v="2025-06-13T00:00:00"/>
    <x v="438"/>
    <x v="5"/>
    <x v="1"/>
    <x v="7"/>
    <n v="1"/>
    <n v="4467.75"/>
    <n v="0.2"/>
    <n v="3574.2"/>
    <n v="2517.8000000000002"/>
    <n v="1056.4000000000001"/>
    <x v="1"/>
    <x v="3"/>
    <x v="1"/>
    <x v="10"/>
    <x v="1"/>
    <n v="0.29556264338873039"/>
  </r>
  <r>
    <x v="960"/>
    <d v="2025-07-15T00:00:00"/>
    <x v="374"/>
    <x v="2"/>
    <x v="3"/>
    <x v="6"/>
    <n v="6"/>
    <n v="4482.5200000000004"/>
    <n v="0.15"/>
    <n v="22860.85"/>
    <n v="17298.02"/>
    <n v="5562.83"/>
    <x v="1"/>
    <x v="0"/>
    <x v="1"/>
    <x v="2"/>
    <x v="1"/>
    <n v="0.24333434671064288"/>
  </r>
  <r>
    <x v="961"/>
    <d v="2026-02-02T00:00:00"/>
    <x v="439"/>
    <x v="3"/>
    <x v="1"/>
    <x v="18"/>
    <n v="4"/>
    <n v="4483.1899999999996"/>
    <n v="0.1"/>
    <n v="16139.48"/>
    <n v="9717.09"/>
    <n v="6422.39"/>
    <x v="0"/>
    <x v="0"/>
    <x v="0"/>
    <x v="1"/>
    <x v="0"/>
    <n v="0.39793041659334755"/>
  </r>
  <r>
    <x v="962"/>
    <d v="2026-05-01T00:00:00"/>
    <x v="226"/>
    <x v="5"/>
    <x v="1"/>
    <x v="16"/>
    <n v="3"/>
    <n v="4483.3599999999997"/>
    <n v="0.1"/>
    <n v="12105.07"/>
    <n v="6706.04"/>
    <n v="5399.03"/>
    <x v="0"/>
    <x v="2"/>
    <x v="0"/>
    <x v="5"/>
    <x v="0"/>
    <n v="0.44601394291813262"/>
  </r>
  <r>
    <x v="963"/>
    <d v="2025-10-25T00:00:00"/>
    <x v="440"/>
    <x v="8"/>
    <x v="2"/>
    <x v="14"/>
    <n v="3"/>
    <n v="4487.09"/>
    <n v="0"/>
    <n v="13461.27"/>
    <n v="10222.370000000001"/>
    <n v="3238.9"/>
    <x v="1"/>
    <x v="3"/>
    <x v="0"/>
    <x v="11"/>
    <x v="1"/>
    <n v="0.24060879842689434"/>
  </r>
  <r>
    <x v="964"/>
    <d v="2025-11-09T00:00:00"/>
    <x v="208"/>
    <x v="8"/>
    <x v="2"/>
    <x v="13"/>
    <n v="5"/>
    <n v="4506.37"/>
    <n v="0.05"/>
    <n v="21405.26"/>
    <n v="16951.72"/>
    <n v="4453.54"/>
    <x v="1"/>
    <x v="0"/>
    <x v="1"/>
    <x v="3"/>
    <x v="1"/>
    <n v="0.20805820625397684"/>
  </r>
  <r>
    <x v="965"/>
    <d v="2026-01-21T00:00:00"/>
    <x v="355"/>
    <x v="6"/>
    <x v="3"/>
    <x v="10"/>
    <n v="1"/>
    <n v="4506.46"/>
    <n v="0"/>
    <n v="4506.46"/>
    <n v="3538.3"/>
    <n v="968.16"/>
    <x v="1"/>
    <x v="3"/>
    <x v="1"/>
    <x v="9"/>
    <x v="0"/>
    <n v="0.21483825441699247"/>
  </r>
  <r>
    <x v="966"/>
    <d v="2025-07-14T00:00:00"/>
    <x v="441"/>
    <x v="5"/>
    <x v="1"/>
    <x v="12"/>
    <n v="6"/>
    <n v="4506.84"/>
    <n v="0.1"/>
    <n v="24336.94"/>
    <n v="13669.05"/>
    <n v="10667.89"/>
    <x v="1"/>
    <x v="0"/>
    <x v="0"/>
    <x v="2"/>
    <x v="1"/>
    <n v="0.43834146774409599"/>
  </r>
  <r>
    <x v="967"/>
    <d v="2026-02-11T00:00:00"/>
    <x v="242"/>
    <x v="1"/>
    <x v="2"/>
    <x v="13"/>
    <n v="3"/>
    <n v="4510.3900000000003"/>
    <n v="0"/>
    <n v="13531.17"/>
    <n v="10436.299999999999"/>
    <n v="3094.87"/>
    <x v="1"/>
    <x v="2"/>
    <x v="0"/>
    <x v="1"/>
    <x v="0"/>
    <n v="0.22872153701416803"/>
  </r>
  <r>
    <x v="968"/>
    <d v="2026-06-10T00:00:00"/>
    <x v="243"/>
    <x v="0"/>
    <x v="0"/>
    <x v="9"/>
    <n v="2"/>
    <n v="4510.42"/>
    <n v="0"/>
    <n v="9020.84"/>
    <n v="5988.01"/>
    <n v="3032.83"/>
    <x v="1"/>
    <x v="1"/>
    <x v="1"/>
    <x v="10"/>
    <x v="0"/>
    <n v="0.33620261527751294"/>
  </r>
  <r>
    <x v="969"/>
    <d v="2025-04-20T00:00:00"/>
    <x v="440"/>
    <x v="4"/>
    <x v="3"/>
    <x v="5"/>
    <n v="2"/>
    <n v="4512.28"/>
    <n v="0.05"/>
    <n v="8573.33"/>
    <n v="6908.58"/>
    <n v="1664.75"/>
    <x v="1"/>
    <x v="0"/>
    <x v="0"/>
    <x v="8"/>
    <x v="1"/>
    <n v="0.1941777582339651"/>
  </r>
  <r>
    <x v="970"/>
    <d v="2025-04-26T00:00:00"/>
    <x v="360"/>
    <x v="1"/>
    <x v="3"/>
    <x v="10"/>
    <n v="2"/>
    <n v="4524.07"/>
    <n v="0"/>
    <n v="9048.14"/>
    <n v="6277.05"/>
    <n v="2771.09"/>
    <x v="0"/>
    <x v="1"/>
    <x v="0"/>
    <x v="8"/>
    <x v="1"/>
    <n v="0.30626073425035427"/>
  </r>
  <r>
    <x v="971"/>
    <d v="2025-02-13T00:00:00"/>
    <x v="346"/>
    <x v="3"/>
    <x v="2"/>
    <x v="3"/>
    <n v="2"/>
    <n v="4524.13"/>
    <n v="0"/>
    <n v="9048.26"/>
    <n v="7428.94"/>
    <n v="1619.32"/>
    <x v="0"/>
    <x v="2"/>
    <x v="0"/>
    <x v="1"/>
    <x v="1"/>
    <n v="0.17896479544133345"/>
  </r>
  <r>
    <x v="972"/>
    <d v="2025-09-30T00:00:00"/>
    <x v="442"/>
    <x v="8"/>
    <x v="2"/>
    <x v="14"/>
    <n v="5"/>
    <n v="4526.3900000000003"/>
    <n v="0"/>
    <n v="22631.95"/>
    <n v="19185.47"/>
    <n v="3446.48"/>
    <x v="1"/>
    <x v="1"/>
    <x v="1"/>
    <x v="4"/>
    <x v="1"/>
    <n v="0.15228382883489933"/>
  </r>
  <r>
    <x v="973"/>
    <d v="2026-02-22T00:00:00"/>
    <x v="443"/>
    <x v="0"/>
    <x v="3"/>
    <x v="4"/>
    <n v="1"/>
    <n v="4532.99"/>
    <n v="0"/>
    <n v="4532.99"/>
    <n v="3833.93"/>
    <n v="699.06"/>
    <x v="0"/>
    <x v="0"/>
    <x v="1"/>
    <x v="1"/>
    <x v="0"/>
    <n v="0.15421609136574313"/>
  </r>
  <r>
    <x v="974"/>
    <d v="2026-05-01T00:00:00"/>
    <x v="133"/>
    <x v="5"/>
    <x v="0"/>
    <x v="9"/>
    <n v="6"/>
    <n v="4535.54"/>
    <n v="0.1"/>
    <n v="24491.919999999998"/>
    <n v="14050.67"/>
    <n v="10441.25"/>
    <x v="0"/>
    <x v="0"/>
    <x v="1"/>
    <x v="5"/>
    <x v="0"/>
    <n v="0.42631406602667332"/>
  </r>
  <r>
    <x v="975"/>
    <d v="2025-12-03T00:00:00"/>
    <x v="92"/>
    <x v="2"/>
    <x v="0"/>
    <x v="11"/>
    <n v="4"/>
    <n v="4538.24"/>
    <n v="0.2"/>
    <n v="14522.37"/>
    <n v="9355.0300000000007"/>
    <n v="5167.34"/>
    <x v="1"/>
    <x v="2"/>
    <x v="1"/>
    <x v="7"/>
    <x v="1"/>
    <n v="0.35581933251941661"/>
  </r>
  <r>
    <x v="976"/>
    <d v="2025-04-22T00:00:00"/>
    <x v="363"/>
    <x v="1"/>
    <x v="1"/>
    <x v="16"/>
    <n v="5"/>
    <n v="4541.8599999999997"/>
    <n v="0.2"/>
    <n v="18167.439999999999"/>
    <n v="14405.2"/>
    <n v="3762.24"/>
    <x v="0"/>
    <x v="2"/>
    <x v="1"/>
    <x v="8"/>
    <x v="1"/>
    <n v="0.20708696437142493"/>
  </r>
  <r>
    <x v="977"/>
    <d v="2026-04-01T00:00:00"/>
    <x v="437"/>
    <x v="3"/>
    <x v="0"/>
    <x v="17"/>
    <n v="5"/>
    <n v="4543.18"/>
    <n v="0"/>
    <n v="22715.9"/>
    <n v="15449.53"/>
    <n v="7266.37"/>
    <x v="1"/>
    <x v="0"/>
    <x v="1"/>
    <x v="8"/>
    <x v="0"/>
    <n v="0.31988034812620231"/>
  </r>
  <r>
    <x v="978"/>
    <d v="2025-05-19T00:00:00"/>
    <x v="444"/>
    <x v="2"/>
    <x v="1"/>
    <x v="7"/>
    <n v="4"/>
    <n v="4544.1099999999997"/>
    <n v="0"/>
    <n v="18176.439999999999"/>
    <n v="13505.84"/>
    <n v="4670.6000000000004"/>
    <x v="1"/>
    <x v="2"/>
    <x v="1"/>
    <x v="5"/>
    <x v="1"/>
    <n v="0.25695900847470687"/>
  </r>
  <r>
    <x v="979"/>
    <d v="2025-07-30T00:00:00"/>
    <x v="193"/>
    <x v="8"/>
    <x v="0"/>
    <x v="11"/>
    <n v="6"/>
    <n v="4544.66"/>
    <n v="0.1"/>
    <n v="24541.16"/>
    <n v="15719.57"/>
    <n v="8821.59"/>
    <x v="1"/>
    <x v="3"/>
    <x v="1"/>
    <x v="2"/>
    <x v="1"/>
    <n v="0.35946100347334847"/>
  </r>
  <r>
    <x v="980"/>
    <d v="2026-06-02T00:00:00"/>
    <x v="226"/>
    <x v="8"/>
    <x v="2"/>
    <x v="14"/>
    <n v="5"/>
    <n v="4546.8999999999996"/>
    <n v="0"/>
    <n v="22734.5"/>
    <n v="13334.6"/>
    <n v="9399.9"/>
    <x v="0"/>
    <x v="1"/>
    <x v="1"/>
    <x v="10"/>
    <x v="0"/>
    <n v="0.41346411841034547"/>
  </r>
  <r>
    <x v="981"/>
    <d v="2026-06-03T00:00:00"/>
    <x v="55"/>
    <x v="8"/>
    <x v="0"/>
    <x v="1"/>
    <n v="6"/>
    <n v="4547.49"/>
    <n v="0"/>
    <n v="27284.94"/>
    <n v="18201.73"/>
    <n v="9083.2099999999991"/>
    <x v="0"/>
    <x v="1"/>
    <x v="1"/>
    <x v="10"/>
    <x v="0"/>
    <n v="0.33290195983571891"/>
  </r>
  <r>
    <x v="982"/>
    <d v="2025-01-27T00:00:00"/>
    <x v="141"/>
    <x v="3"/>
    <x v="2"/>
    <x v="3"/>
    <n v="6"/>
    <n v="4547.7"/>
    <n v="0"/>
    <n v="27286.2"/>
    <n v="18622.55"/>
    <n v="8663.65"/>
    <x v="1"/>
    <x v="2"/>
    <x v="0"/>
    <x v="9"/>
    <x v="1"/>
    <n v="0.31751031657028095"/>
  </r>
  <r>
    <x v="983"/>
    <d v="2025-02-05T00:00:00"/>
    <x v="142"/>
    <x v="3"/>
    <x v="3"/>
    <x v="8"/>
    <n v="6"/>
    <n v="4548.2299999999996"/>
    <n v="0.2"/>
    <n v="21831.5"/>
    <n v="13150.26"/>
    <n v="8681.24"/>
    <x v="0"/>
    <x v="0"/>
    <x v="1"/>
    <x v="1"/>
    <x v="1"/>
    <n v="0.39764743604424796"/>
  </r>
  <r>
    <x v="984"/>
    <d v="2026-05-14T00:00:00"/>
    <x v="30"/>
    <x v="3"/>
    <x v="3"/>
    <x v="5"/>
    <n v="5"/>
    <n v="4552.6000000000004"/>
    <n v="0"/>
    <n v="22763"/>
    <n v="16288.64"/>
    <n v="6474.36"/>
    <x v="0"/>
    <x v="3"/>
    <x v="1"/>
    <x v="5"/>
    <x v="0"/>
    <n v="0.28442472433334798"/>
  </r>
  <r>
    <x v="985"/>
    <d v="2026-05-31T00:00:00"/>
    <x v="68"/>
    <x v="8"/>
    <x v="2"/>
    <x v="3"/>
    <n v="1"/>
    <n v="4563.13"/>
    <n v="0.15"/>
    <n v="3878.66"/>
    <n v="2300.83"/>
    <n v="1577.83"/>
    <x v="1"/>
    <x v="2"/>
    <x v="1"/>
    <x v="5"/>
    <x v="0"/>
    <n v="0.40679770848695168"/>
  </r>
  <r>
    <x v="986"/>
    <d v="2026-07-08T00:00:00"/>
    <x v="445"/>
    <x v="0"/>
    <x v="2"/>
    <x v="3"/>
    <n v="6"/>
    <n v="4563.51"/>
    <n v="0.1"/>
    <n v="24642.95"/>
    <n v="16369.34"/>
    <n v="8273.61"/>
    <x v="1"/>
    <x v="1"/>
    <x v="1"/>
    <x v="2"/>
    <x v="0"/>
    <n v="0.33573943054707334"/>
  </r>
  <r>
    <x v="987"/>
    <d v="2025-11-21T00:00:00"/>
    <x v="446"/>
    <x v="9"/>
    <x v="3"/>
    <x v="4"/>
    <n v="1"/>
    <n v="4568.17"/>
    <n v="0"/>
    <n v="4568.17"/>
    <n v="3287.37"/>
    <n v="1280.8"/>
    <x v="1"/>
    <x v="2"/>
    <x v="0"/>
    <x v="3"/>
    <x v="1"/>
    <n v="0.28037485470111662"/>
  </r>
  <r>
    <x v="988"/>
    <d v="2025-10-08T00:00:00"/>
    <x v="89"/>
    <x v="1"/>
    <x v="3"/>
    <x v="6"/>
    <n v="2"/>
    <n v="4573.13"/>
    <n v="0.15"/>
    <n v="7774.32"/>
    <n v="4732.54"/>
    <n v="3041.78"/>
    <x v="1"/>
    <x v="3"/>
    <x v="1"/>
    <x v="11"/>
    <x v="1"/>
    <n v="0.39125994299179867"/>
  </r>
  <r>
    <x v="989"/>
    <d v="2025-08-04T00:00:00"/>
    <x v="238"/>
    <x v="1"/>
    <x v="1"/>
    <x v="2"/>
    <n v="5"/>
    <n v="4587.76"/>
    <n v="0.15"/>
    <n v="19497.98"/>
    <n v="12848.16"/>
    <n v="6649.82"/>
    <x v="1"/>
    <x v="1"/>
    <x v="1"/>
    <x v="6"/>
    <x v="1"/>
    <n v="0.34105173971867853"/>
  </r>
  <r>
    <x v="990"/>
    <d v="2026-04-16T00:00:00"/>
    <x v="72"/>
    <x v="5"/>
    <x v="2"/>
    <x v="14"/>
    <n v="6"/>
    <n v="4590.97"/>
    <n v="0"/>
    <n v="27545.82"/>
    <n v="20416.330000000002"/>
    <n v="7129.49"/>
    <x v="1"/>
    <x v="3"/>
    <x v="1"/>
    <x v="8"/>
    <x v="0"/>
    <n v="0.25882293574850923"/>
  </r>
  <r>
    <x v="991"/>
    <d v="2026-06-20T00:00:00"/>
    <x v="14"/>
    <x v="1"/>
    <x v="0"/>
    <x v="1"/>
    <n v="2"/>
    <n v="4592.32"/>
    <n v="0"/>
    <n v="9184.64"/>
    <n v="7212.21"/>
    <n v="1972.43"/>
    <x v="0"/>
    <x v="1"/>
    <x v="1"/>
    <x v="10"/>
    <x v="0"/>
    <n v="0.21475310953940493"/>
  </r>
  <r>
    <x v="992"/>
    <d v="2026-03-12T00:00:00"/>
    <x v="375"/>
    <x v="4"/>
    <x v="3"/>
    <x v="5"/>
    <n v="3"/>
    <n v="4593.13"/>
    <n v="0.15"/>
    <n v="11712.48"/>
    <n v="9103.6200000000008"/>
    <n v="2608.86"/>
    <x v="0"/>
    <x v="2"/>
    <x v="0"/>
    <x v="0"/>
    <x v="0"/>
    <n v="0.22274189582394166"/>
  </r>
  <r>
    <x v="993"/>
    <d v="2025-11-15T00:00:00"/>
    <x v="447"/>
    <x v="9"/>
    <x v="1"/>
    <x v="16"/>
    <n v="4"/>
    <n v="4600.75"/>
    <n v="0"/>
    <n v="18403"/>
    <n v="10348.56"/>
    <n v="8054.44"/>
    <x v="1"/>
    <x v="2"/>
    <x v="1"/>
    <x v="3"/>
    <x v="1"/>
    <n v="0.43766994511764384"/>
  </r>
  <r>
    <x v="994"/>
    <d v="2025-03-30T00:00:00"/>
    <x v="383"/>
    <x v="0"/>
    <x v="1"/>
    <x v="16"/>
    <n v="4"/>
    <n v="4604.33"/>
    <n v="0"/>
    <n v="18417.32"/>
    <n v="12380.07"/>
    <n v="6037.25"/>
    <x v="0"/>
    <x v="0"/>
    <x v="1"/>
    <x v="0"/>
    <x v="1"/>
    <n v="0.32780285079479532"/>
  </r>
  <r>
    <x v="995"/>
    <d v="2025-06-28T00:00:00"/>
    <x v="56"/>
    <x v="4"/>
    <x v="3"/>
    <x v="5"/>
    <n v="1"/>
    <n v="4604.76"/>
    <n v="0"/>
    <n v="4604.76"/>
    <n v="2900.77"/>
    <n v="1703.99"/>
    <x v="1"/>
    <x v="0"/>
    <x v="0"/>
    <x v="10"/>
    <x v="1"/>
    <n v="0.37004968771445201"/>
  </r>
  <r>
    <x v="996"/>
    <d v="2025-09-09T00:00:00"/>
    <x v="312"/>
    <x v="0"/>
    <x v="1"/>
    <x v="12"/>
    <n v="5"/>
    <n v="4604.8900000000003"/>
    <n v="0"/>
    <n v="23024.45"/>
    <n v="13852.36"/>
    <n v="9172.09"/>
    <x v="0"/>
    <x v="0"/>
    <x v="0"/>
    <x v="4"/>
    <x v="1"/>
    <n v="0.39836304450269172"/>
  </r>
  <r>
    <x v="997"/>
    <d v="2026-05-14T00:00:00"/>
    <x v="23"/>
    <x v="2"/>
    <x v="0"/>
    <x v="1"/>
    <n v="4"/>
    <n v="4608.7700000000004"/>
    <n v="0.05"/>
    <n v="17513.330000000002"/>
    <n v="13492.47"/>
    <n v="4020.86"/>
    <x v="0"/>
    <x v="2"/>
    <x v="1"/>
    <x v="5"/>
    <x v="0"/>
    <n v="0.22958854769481302"/>
  </r>
  <r>
    <x v="998"/>
    <d v="2025-03-21T00:00:00"/>
    <x v="448"/>
    <x v="9"/>
    <x v="3"/>
    <x v="8"/>
    <n v="6"/>
    <n v="4609.47"/>
    <n v="0.1"/>
    <n v="24891.14"/>
    <n v="16880.88"/>
    <n v="8010.26"/>
    <x v="1"/>
    <x v="2"/>
    <x v="0"/>
    <x v="0"/>
    <x v="1"/>
    <n v="0.32181169685277572"/>
  </r>
  <r>
    <x v="999"/>
    <d v="2025-01-08T00:00:00"/>
    <x v="106"/>
    <x v="5"/>
    <x v="0"/>
    <x v="11"/>
    <n v="2"/>
    <n v="4611.08"/>
    <n v="0"/>
    <n v="9222.16"/>
    <n v="7437.49"/>
    <n v="1784.67"/>
    <x v="1"/>
    <x v="1"/>
    <x v="1"/>
    <x v="9"/>
    <x v="1"/>
    <n v="0.19351973941029002"/>
  </r>
  <r>
    <x v="1000"/>
    <d v="2026-05-11T00:00:00"/>
    <x v="339"/>
    <x v="1"/>
    <x v="2"/>
    <x v="3"/>
    <n v="1"/>
    <n v="4623.1400000000003"/>
    <n v="0.15"/>
    <n v="3929.67"/>
    <n v="2648.38"/>
    <n v="1281.29"/>
    <x v="0"/>
    <x v="3"/>
    <x v="0"/>
    <x v="5"/>
    <x v="0"/>
    <n v="0.32605536851694922"/>
  </r>
  <r>
    <x v="1001"/>
    <d v="2025-11-10T00:00:00"/>
    <x v="157"/>
    <x v="9"/>
    <x v="1"/>
    <x v="16"/>
    <n v="1"/>
    <n v="4625.0200000000004"/>
    <n v="0.15"/>
    <n v="3931.27"/>
    <n v="3010.55"/>
    <n v="920.72"/>
    <x v="0"/>
    <x v="1"/>
    <x v="1"/>
    <x v="3"/>
    <x v="1"/>
    <n v="0.23420421390543006"/>
  </r>
  <r>
    <x v="1002"/>
    <d v="2025-12-15T00:00:00"/>
    <x v="142"/>
    <x v="2"/>
    <x v="2"/>
    <x v="14"/>
    <n v="1"/>
    <n v="4633.6099999999997"/>
    <n v="0"/>
    <n v="4633.6099999999997"/>
    <n v="2888.41"/>
    <n v="1745.2"/>
    <x v="0"/>
    <x v="1"/>
    <x v="1"/>
    <x v="7"/>
    <x v="1"/>
    <n v="0.37663938052619883"/>
  </r>
  <r>
    <x v="1003"/>
    <d v="2025-11-03T00:00:00"/>
    <x v="93"/>
    <x v="9"/>
    <x v="2"/>
    <x v="14"/>
    <n v="2"/>
    <n v="4636.24"/>
    <n v="0"/>
    <n v="9272.48"/>
    <n v="5234.26"/>
    <n v="4038.22"/>
    <x v="1"/>
    <x v="3"/>
    <x v="0"/>
    <x v="3"/>
    <x v="1"/>
    <n v="0.43550592721688264"/>
  </r>
  <r>
    <x v="1004"/>
    <d v="2026-05-20T00:00:00"/>
    <x v="449"/>
    <x v="0"/>
    <x v="3"/>
    <x v="10"/>
    <n v="2"/>
    <n v="4637.33"/>
    <n v="0.1"/>
    <n v="8347.19"/>
    <n v="4953.49"/>
    <n v="3393.7"/>
    <x v="0"/>
    <x v="1"/>
    <x v="1"/>
    <x v="5"/>
    <x v="0"/>
    <n v="0.40656795879811047"/>
  </r>
  <r>
    <x v="1005"/>
    <d v="2026-07-11T00:00:00"/>
    <x v="99"/>
    <x v="7"/>
    <x v="0"/>
    <x v="17"/>
    <n v="4"/>
    <n v="4640.28"/>
    <n v="0.15"/>
    <n v="15776.95"/>
    <n v="12984.2"/>
    <n v="2792.75"/>
    <x v="0"/>
    <x v="3"/>
    <x v="0"/>
    <x v="2"/>
    <x v="0"/>
    <n v="0.1770145687220914"/>
  </r>
  <r>
    <x v="1006"/>
    <d v="2026-06-11T00:00:00"/>
    <x v="222"/>
    <x v="7"/>
    <x v="3"/>
    <x v="5"/>
    <n v="5"/>
    <n v="4643.1000000000004"/>
    <n v="0"/>
    <n v="23215.5"/>
    <n v="14923.93"/>
    <n v="8291.57"/>
    <x v="0"/>
    <x v="3"/>
    <x v="1"/>
    <x v="10"/>
    <x v="0"/>
    <n v="0.35715664103723804"/>
  </r>
  <r>
    <x v="1007"/>
    <d v="2026-02-02T00:00:00"/>
    <x v="254"/>
    <x v="8"/>
    <x v="3"/>
    <x v="5"/>
    <n v="1"/>
    <n v="4651.05"/>
    <n v="0.15"/>
    <n v="3953.39"/>
    <n v="3007.69"/>
    <n v="945.7"/>
    <x v="1"/>
    <x v="2"/>
    <x v="1"/>
    <x v="1"/>
    <x v="0"/>
    <n v="0.23921242275616625"/>
  </r>
  <r>
    <x v="1008"/>
    <d v="2026-05-27T00:00:00"/>
    <x v="271"/>
    <x v="1"/>
    <x v="1"/>
    <x v="16"/>
    <n v="1"/>
    <n v="4653.55"/>
    <n v="0"/>
    <n v="4653.55"/>
    <n v="3123.69"/>
    <n v="1529.86"/>
    <x v="0"/>
    <x v="1"/>
    <x v="1"/>
    <x v="5"/>
    <x v="0"/>
    <n v="0.32875116846278646"/>
  </r>
  <r>
    <x v="1009"/>
    <d v="2025-05-29T00:00:00"/>
    <x v="203"/>
    <x v="3"/>
    <x v="2"/>
    <x v="14"/>
    <n v="6"/>
    <n v="4657.8"/>
    <n v="0.05"/>
    <n v="26549.46"/>
    <n v="16732.490000000002"/>
    <n v="9816.9699999999993"/>
    <x v="0"/>
    <x v="1"/>
    <x v="0"/>
    <x v="5"/>
    <x v="1"/>
    <n v="0.36976156953851413"/>
  </r>
  <r>
    <x v="1010"/>
    <d v="2026-06-19T00:00:00"/>
    <x v="87"/>
    <x v="7"/>
    <x v="1"/>
    <x v="16"/>
    <n v="6"/>
    <n v="4662.4799999999996"/>
    <n v="0"/>
    <n v="27974.880000000001"/>
    <n v="22084.720000000001"/>
    <n v="5890.16"/>
    <x v="1"/>
    <x v="3"/>
    <x v="0"/>
    <x v="10"/>
    <x v="0"/>
    <n v="0.21055175214335145"/>
  </r>
  <r>
    <x v="1011"/>
    <d v="2026-03-04T00:00:00"/>
    <x v="450"/>
    <x v="2"/>
    <x v="0"/>
    <x v="9"/>
    <n v="1"/>
    <n v="4667.45"/>
    <n v="0.1"/>
    <n v="4200.7"/>
    <n v="2747.57"/>
    <n v="1453.13"/>
    <x v="0"/>
    <x v="3"/>
    <x v="0"/>
    <x v="0"/>
    <x v="0"/>
    <n v="0.34592567905349114"/>
  </r>
  <r>
    <x v="1012"/>
    <d v="2026-08-23T00:00:00"/>
    <x v="178"/>
    <x v="5"/>
    <x v="1"/>
    <x v="7"/>
    <n v="2"/>
    <n v="4667.6400000000003"/>
    <n v="0.2"/>
    <n v="7468.22"/>
    <n v="4702.34"/>
    <n v="2765.88"/>
    <x v="0"/>
    <x v="2"/>
    <x v="1"/>
    <x v="6"/>
    <x v="0"/>
    <n v="0.37035331042738429"/>
  </r>
  <r>
    <x v="1013"/>
    <d v="2026-01-24T00:00:00"/>
    <x v="86"/>
    <x v="5"/>
    <x v="3"/>
    <x v="4"/>
    <n v="4"/>
    <n v="4668.7"/>
    <n v="0.1"/>
    <n v="16807.32"/>
    <n v="11940.95"/>
    <n v="4866.37"/>
    <x v="1"/>
    <x v="2"/>
    <x v="1"/>
    <x v="9"/>
    <x v="0"/>
    <n v="0.28953872479372084"/>
  </r>
  <r>
    <x v="1014"/>
    <d v="2026-06-30T00:00:00"/>
    <x v="204"/>
    <x v="6"/>
    <x v="2"/>
    <x v="15"/>
    <n v="4"/>
    <n v="4669.24"/>
    <n v="0"/>
    <n v="18676.96"/>
    <n v="12772.89"/>
    <n v="5904.07"/>
    <x v="0"/>
    <x v="1"/>
    <x v="1"/>
    <x v="10"/>
    <x v="0"/>
    <n v="0.31611514936049551"/>
  </r>
  <r>
    <x v="1015"/>
    <d v="2025-01-25T00:00:00"/>
    <x v="209"/>
    <x v="9"/>
    <x v="3"/>
    <x v="6"/>
    <n v="5"/>
    <n v="4677.96"/>
    <n v="0"/>
    <n v="23389.8"/>
    <n v="14558.4"/>
    <n v="8831.4"/>
    <x v="0"/>
    <x v="3"/>
    <x v="1"/>
    <x v="9"/>
    <x v="1"/>
    <n v="0.3775748403150091"/>
  </r>
  <r>
    <x v="1016"/>
    <d v="2025-12-27T00:00:00"/>
    <x v="79"/>
    <x v="8"/>
    <x v="1"/>
    <x v="16"/>
    <n v="1"/>
    <n v="4684.8599999999997"/>
    <n v="0.15"/>
    <n v="3982.13"/>
    <n v="3050.81"/>
    <n v="931.32"/>
    <x v="1"/>
    <x v="1"/>
    <x v="1"/>
    <x v="7"/>
    <x v="1"/>
    <n v="0.23387483582906635"/>
  </r>
  <r>
    <x v="1017"/>
    <d v="2026-07-15T00:00:00"/>
    <x v="451"/>
    <x v="0"/>
    <x v="3"/>
    <x v="6"/>
    <n v="3"/>
    <n v="4690.8599999999997"/>
    <n v="0.05"/>
    <n v="13368.95"/>
    <n v="7582.01"/>
    <n v="5786.94"/>
    <x v="1"/>
    <x v="2"/>
    <x v="1"/>
    <x v="2"/>
    <x v="0"/>
    <n v="0.43286421147509707"/>
  </r>
  <r>
    <x v="1018"/>
    <d v="2025-10-06T00:00:00"/>
    <x v="414"/>
    <x v="2"/>
    <x v="3"/>
    <x v="5"/>
    <n v="3"/>
    <n v="4693.49"/>
    <n v="0.15"/>
    <n v="11968.4"/>
    <n v="8637.02"/>
    <n v="3331.38"/>
    <x v="0"/>
    <x v="1"/>
    <x v="1"/>
    <x v="11"/>
    <x v="1"/>
    <n v="0.27834798302195785"/>
  </r>
  <r>
    <x v="1019"/>
    <d v="2026-07-06T00:00:00"/>
    <x v="110"/>
    <x v="0"/>
    <x v="2"/>
    <x v="19"/>
    <n v="6"/>
    <n v="4695.74"/>
    <n v="0.05"/>
    <n v="26765.72"/>
    <n v="20563.25"/>
    <n v="6202.47"/>
    <x v="1"/>
    <x v="1"/>
    <x v="1"/>
    <x v="2"/>
    <x v="0"/>
    <n v="0.23173185701710994"/>
  </r>
  <r>
    <x v="1020"/>
    <d v="2025-05-21T00:00:00"/>
    <x v="164"/>
    <x v="1"/>
    <x v="3"/>
    <x v="5"/>
    <n v="2"/>
    <n v="4701.87"/>
    <n v="0"/>
    <n v="9403.74"/>
    <n v="5424.28"/>
    <n v="3979.46"/>
    <x v="1"/>
    <x v="1"/>
    <x v="0"/>
    <x v="5"/>
    <x v="1"/>
    <n v="0.4231784375152865"/>
  </r>
  <r>
    <x v="1021"/>
    <d v="2025-05-17T00:00:00"/>
    <x v="195"/>
    <x v="9"/>
    <x v="1"/>
    <x v="16"/>
    <n v="3"/>
    <n v="4703.0200000000004"/>
    <n v="0"/>
    <n v="14109.06"/>
    <n v="11022.12"/>
    <n v="3086.94"/>
    <x v="1"/>
    <x v="0"/>
    <x v="0"/>
    <x v="5"/>
    <x v="1"/>
    <n v="0.2187913298263669"/>
  </r>
  <r>
    <x v="1022"/>
    <d v="2025-03-09T00:00:00"/>
    <x v="406"/>
    <x v="5"/>
    <x v="2"/>
    <x v="13"/>
    <n v="5"/>
    <n v="4706.1099999999997"/>
    <n v="0.1"/>
    <n v="21177.49"/>
    <n v="16367.83"/>
    <n v="4809.66"/>
    <x v="1"/>
    <x v="0"/>
    <x v="1"/>
    <x v="0"/>
    <x v="1"/>
    <n v="0.2271119004187937"/>
  </r>
  <r>
    <x v="1023"/>
    <d v="2025-08-14T00:00:00"/>
    <x v="452"/>
    <x v="2"/>
    <x v="3"/>
    <x v="6"/>
    <n v="6"/>
    <n v="4709.26"/>
    <n v="0"/>
    <n v="28255.56"/>
    <n v="17230.12"/>
    <n v="11025.44"/>
    <x v="1"/>
    <x v="0"/>
    <x v="1"/>
    <x v="6"/>
    <x v="1"/>
    <n v="0.3902042642226875"/>
  </r>
  <r>
    <x v="1024"/>
    <d v="2025-07-09T00:00:00"/>
    <x v="12"/>
    <x v="4"/>
    <x v="3"/>
    <x v="5"/>
    <n v="1"/>
    <n v="4714.75"/>
    <n v="0.1"/>
    <n v="4243.28"/>
    <n v="2951.95"/>
    <n v="1291.33"/>
    <x v="1"/>
    <x v="0"/>
    <x v="1"/>
    <x v="2"/>
    <x v="1"/>
    <n v="0.30432354216549462"/>
  </r>
  <r>
    <x v="1025"/>
    <d v="2025-11-28T00:00:00"/>
    <x v="27"/>
    <x v="6"/>
    <x v="1"/>
    <x v="12"/>
    <n v="6"/>
    <n v="4721.8900000000003"/>
    <n v="0.2"/>
    <n v="22665.07"/>
    <n v="16387.52"/>
    <n v="6277.55"/>
    <x v="1"/>
    <x v="3"/>
    <x v="1"/>
    <x v="3"/>
    <x v="1"/>
    <n v="0.27697024540405124"/>
  </r>
  <r>
    <x v="1026"/>
    <d v="2026-07-22T00:00:00"/>
    <x v="453"/>
    <x v="5"/>
    <x v="2"/>
    <x v="3"/>
    <n v="1"/>
    <n v="4721.9399999999996"/>
    <n v="0.1"/>
    <n v="4249.75"/>
    <n v="3161.02"/>
    <n v="1088.73"/>
    <x v="0"/>
    <x v="3"/>
    <x v="1"/>
    <x v="2"/>
    <x v="0"/>
    <n v="0.25618683451967761"/>
  </r>
  <r>
    <x v="1027"/>
    <d v="2025-02-23T00:00:00"/>
    <x v="454"/>
    <x v="0"/>
    <x v="1"/>
    <x v="16"/>
    <n v="1"/>
    <n v="4726.6899999999996"/>
    <n v="0.1"/>
    <n v="4254.0200000000004"/>
    <n v="2756.8"/>
    <n v="1497.22"/>
    <x v="0"/>
    <x v="2"/>
    <x v="1"/>
    <x v="1"/>
    <x v="1"/>
    <n v="0.35195415160248422"/>
  </r>
  <r>
    <x v="1028"/>
    <d v="2026-05-04T00:00:00"/>
    <x v="208"/>
    <x v="1"/>
    <x v="2"/>
    <x v="19"/>
    <n v="4"/>
    <n v="4743.79"/>
    <n v="0.05"/>
    <n v="18026.400000000001"/>
    <n v="10988.66"/>
    <n v="7037.74"/>
    <x v="1"/>
    <x v="1"/>
    <x v="1"/>
    <x v="5"/>
    <x v="0"/>
    <n v="0.39041294989570846"/>
  </r>
  <r>
    <x v="1029"/>
    <d v="2026-06-05T00:00:00"/>
    <x v="426"/>
    <x v="0"/>
    <x v="0"/>
    <x v="1"/>
    <n v="2"/>
    <n v="4744.2299999999996"/>
    <n v="0.1"/>
    <n v="8539.61"/>
    <n v="6516.79"/>
    <n v="2022.82"/>
    <x v="0"/>
    <x v="1"/>
    <x v="1"/>
    <x v="10"/>
    <x v="0"/>
    <n v="0.2368749860942127"/>
  </r>
  <r>
    <x v="1030"/>
    <d v="2025-05-10T00:00:00"/>
    <x v="228"/>
    <x v="9"/>
    <x v="3"/>
    <x v="10"/>
    <n v="4"/>
    <n v="4753.62"/>
    <n v="0"/>
    <n v="19014.48"/>
    <n v="14104.26"/>
    <n v="4910.22"/>
    <x v="1"/>
    <x v="1"/>
    <x v="0"/>
    <x v="5"/>
    <x v="1"/>
    <n v="0.25823582869476319"/>
  </r>
  <r>
    <x v="1031"/>
    <d v="2025-06-20T00:00:00"/>
    <x v="455"/>
    <x v="8"/>
    <x v="1"/>
    <x v="16"/>
    <n v="2"/>
    <n v="4766.5600000000004"/>
    <n v="0.1"/>
    <n v="8579.81"/>
    <n v="7010.97"/>
    <n v="1568.84"/>
    <x v="0"/>
    <x v="0"/>
    <x v="1"/>
    <x v="10"/>
    <x v="1"/>
    <n v="0.18285253403047386"/>
  </r>
  <r>
    <x v="1032"/>
    <d v="2025-09-03T00:00:00"/>
    <x v="402"/>
    <x v="4"/>
    <x v="1"/>
    <x v="2"/>
    <n v="2"/>
    <n v="4769.03"/>
    <n v="0.1"/>
    <n v="8584.25"/>
    <n v="5966.85"/>
    <n v="2617.4"/>
    <x v="1"/>
    <x v="0"/>
    <x v="0"/>
    <x v="4"/>
    <x v="1"/>
    <n v="0.30490724291580512"/>
  </r>
  <r>
    <x v="1033"/>
    <d v="2025-05-03T00:00:00"/>
    <x v="2"/>
    <x v="7"/>
    <x v="2"/>
    <x v="14"/>
    <n v="6"/>
    <n v="4769.1000000000004"/>
    <n v="0.1"/>
    <n v="25753.14"/>
    <n v="15578.86"/>
    <n v="10174.280000000001"/>
    <x v="0"/>
    <x v="3"/>
    <x v="0"/>
    <x v="5"/>
    <x v="1"/>
    <n v="0.39506949443834816"/>
  </r>
  <r>
    <x v="1034"/>
    <d v="2025-02-19T00:00:00"/>
    <x v="424"/>
    <x v="6"/>
    <x v="3"/>
    <x v="4"/>
    <n v="2"/>
    <n v="4778.26"/>
    <n v="0.15"/>
    <n v="8123.04"/>
    <n v="5352.37"/>
    <n v="2770.67"/>
    <x v="1"/>
    <x v="1"/>
    <x v="1"/>
    <x v="1"/>
    <x v="1"/>
    <n v="0.34108781933857274"/>
  </r>
  <r>
    <x v="1035"/>
    <d v="2026-03-02T00:00:00"/>
    <x v="373"/>
    <x v="6"/>
    <x v="3"/>
    <x v="8"/>
    <n v="6"/>
    <n v="4789.75"/>
    <n v="0.05"/>
    <n v="27301.57"/>
    <n v="15913.97"/>
    <n v="11387.6"/>
    <x v="0"/>
    <x v="1"/>
    <x v="0"/>
    <x v="0"/>
    <x v="0"/>
    <n v="0.41710421781604501"/>
  </r>
  <r>
    <x v="1036"/>
    <d v="2026-02-04T00:00:00"/>
    <x v="43"/>
    <x v="7"/>
    <x v="2"/>
    <x v="13"/>
    <n v="3"/>
    <n v="4791.84"/>
    <n v="0.2"/>
    <n v="11500.42"/>
    <n v="6785.08"/>
    <n v="4715.34"/>
    <x v="1"/>
    <x v="2"/>
    <x v="0"/>
    <x v="1"/>
    <x v="0"/>
    <n v="0.41001459077146751"/>
  </r>
  <r>
    <x v="1037"/>
    <d v="2025-01-17T00:00:00"/>
    <x v="411"/>
    <x v="0"/>
    <x v="3"/>
    <x v="4"/>
    <n v="4"/>
    <n v="4797.09"/>
    <n v="0.1"/>
    <n v="17269.52"/>
    <n v="12448.61"/>
    <n v="4820.91"/>
    <x v="0"/>
    <x v="2"/>
    <x v="1"/>
    <x v="9"/>
    <x v="1"/>
    <n v="0.27915715086464477"/>
  </r>
  <r>
    <x v="1038"/>
    <d v="2025-03-22T00:00:00"/>
    <x v="53"/>
    <x v="6"/>
    <x v="1"/>
    <x v="16"/>
    <n v="5"/>
    <n v="4797.8500000000004"/>
    <n v="0.15"/>
    <n v="20390.86"/>
    <n v="14133.81"/>
    <n v="6257.05"/>
    <x v="0"/>
    <x v="0"/>
    <x v="1"/>
    <x v="0"/>
    <x v="1"/>
    <n v="0.30685562060648741"/>
  </r>
  <r>
    <x v="1039"/>
    <d v="2025-08-14T00:00:00"/>
    <x v="376"/>
    <x v="9"/>
    <x v="3"/>
    <x v="10"/>
    <n v="4"/>
    <n v="4803.8999999999996"/>
    <n v="0.05"/>
    <n v="18254.82"/>
    <n v="11284.55"/>
    <n v="6970.27"/>
    <x v="1"/>
    <x v="2"/>
    <x v="1"/>
    <x v="6"/>
    <x v="1"/>
    <n v="0.38183175731121977"/>
  </r>
  <r>
    <x v="1040"/>
    <d v="2026-05-02T00:00:00"/>
    <x v="408"/>
    <x v="9"/>
    <x v="1"/>
    <x v="7"/>
    <n v="3"/>
    <n v="4807.8900000000003"/>
    <n v="0.1"/>
    <n v="12981.3"/>
    <n v="7424"/>
    <n v="5557.3"/>
    <x v="0"/>
    <x v="0"/>
    <x v="1"/>
    <x v="5"/>
    <x v="0"/>
    <n v="0.42810042137536308"/>
  </r>
  <r>
    <x v="1041"/>
    <d v="2025-08-15T00:00:00"/>
    <x v="414"/>
    <x v="9"/>
    <x v="1"/>
    <x v="7"/>
    <n v="5"/>
    <n v="4813.63"/>
    <n v="0.15"/>
    <n v="20457.93"/>
    <n v="12172.89"/>
    <n v="8285.0400000000009"/>
    <x v="1"/>
    <x v="1"/>
    <x v="1"/>
    <x v="6"/>
    <x v="1"/>
    <n v="0.4049793894103656"/>
  </r>
  <r>
    <x v="1042"/>
    <d v="2025-07-07T00:00:00"/>
    <x v="359"/>
    <x v="2"/>
    <x v="1"/>
    <x v="12"/>
    <n v="6"/>
    <n v="4826.91"/>
    <n v="0.15"/>
    <n v="24617.24"/>
    <n v="20814.55"/>
    <n v="3802.69"/>
    <x v="1"/>
    <x v="3"/>
    <x v="1"/>
    <x v="2"/>
    <x v="1"/>
    <n v="0.15447263787492016"/>
  </r>
  <r>
    <x v="1043"/>
    <d v="2026-08-23T00:00:00"/>
    <x v="456"/>
    <x v="3"/>
    <x v="0"/>
    <x v="17"/>
    <n v="5"/>
    <n v="4829.7"/>
    <n v="0.15"/>
    <n v="20526.22"/>
    <n v="14879.32"/>
    <n v="5646.9"/>
    <x v="0"/>
    <x v="3"/>
    <x v="0"/>
    <x v="6"/>
    <x v="0"/>
    <n v="0.275106668446504"/>
  </r>
  <r>
    <x v="1044"/>
    <d v="2026-03-12T00:00:00"/>
    <x v="22"/>
    <x v="5"/>
    <x v="2"/>
    <x v="19"/>
    <n v="4"/>
    <n v="4831.83"/>
    <n v="0"/>
    <n v="19327.32"/>
    <n v="12951.81"/>
    <n v="6375.51"/>
    <x v="0"/>
    <x v="1"/>
    <x v="1"/>
    <x v="0"/>
    <x v="0"/>
    <n v="0.32987035967738931"/>
  </r>
  <r>
    <x v="1045"/>
    <d v="2025-08-21T00:00:00"/>
    <x v="167"/>
    <x v="9"/>
    <x v="3"/>
    <x v="6"/>
    <n v="5"/>
    <n v="4835.04"/>
    <n v="0.2"/>
    <n v="19340.16"/>
    <n v="14157.71"/>
    <n v="5182.45"/>
    <x v="0"/>
    <x v="3"/>
    <x v="1"/>
    <x v="6"/>
    <x v="1"/>
    <n v="0.2679631399119759"/>
  </r>
  <r>
    <x v="1046"/>
    <d v="2025-06-06T00:00:00"/>
    <x v="306"/>
    <x v="8"/>
    <x v="0"/>
    <x v="17"/>
    <n v="3"/>
    <n v="4842.67"/>
    <n v="0.15"/>
    <n v="12348.81"/>
    <n v="8915.91"/>
    <n v="3432.9"/>
    <x v="0"/>
    <x v="1"/>
    <x v="1"/>
    <x v="10"/>
    <x v="1"/>
    <n v="0.27799439784076363"/>
  </r>
  <r>
    <x v="1047"/>
    <d v="2026-07-10T00:00:00"/>
    <x v="323"/>
    <x v="3"/>
    <x v="1"/>
    <x v="12"/>
    <n v="4"/>
    <n v="4847.2299999999996"/>
    <n v="0.2"/>
    <n v="15511.14"/>
    <n v="11423.14"/>
    <n v="4088"/>
    <x v="0"/>
    <x v="3"/>
    <x v="0"/>
    <x v="2"/>
    <x v="0"/>
    <n v="0.26355251773886385"/>
  </r>
  <r>
    <x v="1048"/>
    <d v="2025-02-11T00:00:00"/>
    <x v="305"/>
    <x v="4"/>
    <x v="3"/>
    <x v="6"/>
    <n v="3"/>
    <n v="4848.42"/>
    <n v="0.15"/>
    <n v="12363.47"/>
    <n v="6839.21"/>
    <n v="5524.26"/>
    <x v="1"/>
    <x v="0"/>
    <x v="1"/>
    <x v="1"/>
    <x v="1"/>
    <n v="0.44682115943177769"/>
  </r>
  <r>
    <x v="1049"/>
    <d v="2025-12-05T00:00:00"/>
    <x v="457"/>
    <x v="1"/>
    <x v="1"/>
    <x v="16"/>
    <n v="2"/>
    <n v="4852.3900000000003"/>
    <n v="0.05"/>
    <n v="9219.5400000000009"/>
    <n v="7542.06"/>
    <n v="1677.48"/>
    <x v="1"/>
    <x v="0"/>
    <x v="1"/>
    <x v="7"/>
    <x v="1"/>
    <n v="0.18194834015579953"/>
  </r>
  <r>
    <x v="1050"/>
    <d v="2025-12-03T00:00:00"/>
    <x v="20"/>
    <x v="5"/>
    <x v="0"/>
    <x v="9"/>
    <n v="3"/>
    <n v="4857.17"/>
    <n v="0.1"/>
    <n v="13114.36"/>
    <n v="9959.4"/>
    <n v="3154.96"/>
    <x v="1"/>
    <x v="1"/>
    <x v="1"/>
    <x v="7"/>
    <x v="1"/>
    <n v="0.24057292921652296"/>
  </r>
  <r>
    <x v="1051"/>
    <d v="2025-04-26T00:00:00"/>
    <x v="330"/>
    <x v="9"/>
    <x v="1"/>
    <x v="2"/>
    <n v="3"/>
    <n v="4858.96"/>
    <n v="0"/>
    <n v="14576.88"/>
    <n v="11478.96"/>
    <n v="3097.92"/>
    <x v="1"/>
    <x v="1"/>
    <x v="1"/>
    <x v="8"/>
    <x v="1"/>
    <n v="0.2125228443946853"/>
  </r>
  <r>
    <x v="1052"/>
    <d v="2025-08-09T00:00:00"/>
    <x v="285"/>
    <x v="7"/>
    <x v="3"/>
    <x v="5"/>
    <n v="4"/>
    <n v="4859.91"/>
    <n v="0.2"/>
    <n v="15551.71"/>
    <n v="10272.91"/>
    <n v="5278.8"/>
    <x v="1"/>
    <x v="2"/>
    <x v="1"/>
    <x v="6"/>
    <x v="1"/>
    <n v="0.33943534183700702"/>
  </r>
  <r>
    <x v="1053"/>
    <d v="2025-10-24T00:00:00"/>
    <x v="458"/>
    <x v="5"/>
    <x v="2"/>
    <x v="14"/>
    <n v="4"/>
    <n v="4862.43"/>
    <n v="0.15"/>
    <n v="16532.259999999998"/>
    <n v="10889.95"/>
    <n v="5642.31"/>
    <x v="0"/>
    <x v="0"/>
    <x v="1"/>
    <x v="11"/>
    <x v="1"/>
    <n v="0.3412909063854549"/>
  </r>
  <r>
    <x v="1054"/>
    <d v="2025-01-01T00:00:00"/>
    <x v="339"/>
    <x v="4"/>
    <x v="3"/>
    <x v="6"/>
    <n v="2"/>
    <n v="4863.7299999999996"/>
    <n v="0"/>
    <n v="9727.4599999999991"/>
    <n v="7632.73"/>
    <n v="2094.73"/>
    <x v="0"/>
    <x v="1"/>
    <x v="1"/>
    <x v="9"/>
    <x v="1"/>
    <n v="0.21534192893108789"/>
  </r>
  <r>
    <x v="1055"/>
    <d v="2026-06-03T00:00:00"/>
    <x v="35"/>
    <x v="3"/>
    <x v="0"/>
    <x v="11"/>
    <n v="3"/>
    <n v="4866.46"/>
    <n v="0.05"/>
    <n v="13869.41"/>
    <n v="9344.1"/>
    <n v="4525.3100000000004"/>
    <x v="1"/>
    <x v="2"/>
    <x v="1"/>
    <x v="10"/>
    <x v="0"/>
    <n v="0.32627992106369347"/>
  </r>
  <r>
    <x v="1056"/>
    <d v="2026-08-30T00:00:00"/>
    <x v="108"/>
    <x v="0"/>
    <x v="1"/>
    <x v="16"/>
    <n v="6"/>
    <n v="4875.0600000000004"/>
    <n v="0.1"/>
    <n v="26325.32"/>
    <n v="19815.240000000002"/>
    <n v="6510.08"/>
    <x v="1"/>
    <x v="1"/>
    <x v="1"/>
    <x v="6"/>
    <x v="0"/>
    <n v="0.24729348019321323"/>
  </r>
  <r>
    <x v="1057"/>
    <d v="2025-01-30T00:00:00"/>
    <x v="337"/>
    <x v="7"/>
    <x v="0"/>
    <x v="9"/>
    <n v="3"/>
    <n v="4881.3599999999997"/>
    <n v="0"/>
    <n v="14644.08"/>
    <n v="12214.68"/>
    <n v="2429.4"/>
    <x v="1"/>
    <x v="1"/>
    <x v="1"/>
    <x v="9"/>
    <x v="1"/>
    <n v="0.1658963895307865"/>
  </r>
  <r>
    <x v="1058"/>
    <d v="2025-09-20T00:00:00"/>
    <x v="31"/>
    <x v="6"/>
    <x v="1"/>
    <x v="16"/>
    <n v="1"/>
    <n v="4892.41"/>
    <n v="0"/>
    <n v="4892.41"/>
    <n v="3688.75"/>
    <n v="1203.6600000000001"/>
    <x v="0"/>
    <x v="0"/>
    <x v="1"/>
    <x v="4"/>
    <x v="1"/>
    <n v="0.24602598719240623"/>
  </r>
  <r>
    <x v="1059"/>
    <d v="2025-07-23T00:00:00"/>
    <x v="278"/>
    <x v="2"/>
    <x v="3"/>
    <x v="5"/>
    <n v="2"/>
    <n v="4906.72"/>
    <n v="0.05"/>
    <n v="9322.77"/>
    <n v="6455.14"/>
    <n v="2867.63"/>
    <x v="1"/>
    <x v="0"/>
    <x v="1"/>
    <x v="2"/>
    <x v="1"/>
    <n v="0.3075942021523646"/>
  </r>
  <r>
    <x v="1060"/>
    <d v="2025-12-19T00:00:00"/>
    <x v="74"/>
    <x v="4"/>
    <x v="2"/>
    <x v="15"/>
    <n v="2"/>
    <n v="4906.79"/>
    <n v="0.05"/>
    <n v="9322.9"/>
    <n v="6610.08"/>
    <n v="2712.82"/>
    <x v="0"/>
    <x v="2"/>
    <x v="1"/>
    <x v="7"/>
    <x v="1"/>
    <n v="0.29098456488860763"/>
  </r>
  <r>
    <x v="1061"/>
    <d v="2026-08-31T00:00:00"/>
    <x v="106"/>
    <x v="0"/>
    <x v="1"/>
    <x v="12"/>
    <n v="1"/>
    <n v="4910"/>
    <n v="0.2"/>
    <n v="3928"/>
    <n v="2717.06"/>
    <n v="1210.94"/>
    <x v="0"/>
    <x v="2"/>
    <x v="1"/>
    <x v="6"/>
    <x v="0"/>
    <n v="0.3082841140529532"/>
  </r>
  <r>
    <x v="1062"/>
    <d v="2025-03-29T00:00:00"/>
    <x v="9"/>
    <x v="1"/>
    <x v="1"/>
    <x v="2"/>
    <n v="3"/>
    <n v="4914.47"/>
    <n v="0"/>
    <n v="14743.41"/>
    <n v="9529.7999999999993"/>
    <n v="5213.6099999999997"/>
    <x v="1"/>
    <x v="1"/>
    <x v="1"/>
    <x v="0"/>
    <x v="1"/>
    <n v="0.35362307634393941"/>
  </r>
  <r>
    <x v="1063"/>
    <d v="2025-07-27T00:00:00"/>
    <x v="403"/>
    <x v="3"/>
    <x v="0"/>
    <x v="11"/>
    <n v="2"/>
    <n v="4917"/>
    <n v="0.2"/>
    <n v="7867.2"/>
    <n v="5586.39"/>
    <n v="2280.81"/>
    <x v="1"/>
    <x v="3"/>
    <x v="0"/>
    <x v="2"/>
    <x v="1"/>
    <n v="0.28991381940207445"/>
  </r>
  <r>
    <x v="1064"/>
    <d v="2025-09-13T00:00:00"/>
    <x v="88"/>
    <x v="5"/>
    <x v="1"/>
    <x v="16"/>
    <n v="5"/>
    <n v="4922.7700000000004"/>
    <n v="0.2"/>
    <n v="19691.080000000002"/>
    <n v="12168.84"/>
    <n v="7522.24"/>
    <x v="0"/>
    <x v="0"/>
    <x v="0"/>
    <x v="4"/>
    <x v="1"/>
    <n v="0.38201256609591749"/>
  </r>
  <r>
    <x v="1065"/>
    <d v="2025-03-09T00:00:00"/>
    <x v="63"/>
    <x v="8"/>
    <x v="0"/>
    <x v="9"/>
    <n v="6"/>
    <n v="4927.67"/>
    <n v="0.2"/>
    <n v="23652.82"/>
    <n v="13221.6"/>
    <n v="10431.219999999999"/>
    <x v="0"/>
    <x v="0"/>
    <x v="1"/>
    <x v="0"/>
    <x v="1"/>
    <n v="0.44101379877748192"/>
  </r>
  <r>
    <x v="1066"/>
    <d v="2025-05-27T00:00:00"/>
    <x v="136"/>
    <x v="6"/>
    <x v="0"/>
    <x v="1"/>
    <n v="2"/>
    <n v="4938.6400000000003"/>
    <n v="0.1"/>
    <n v="8889.5499999999993"/>
    <n v="5542.23"/>
    <n v="3347.32"/>
    <x v="1"/>
    <x v="0"/>
    <x v="1"/>
    <x v="5"/>
    <x v="1"/>
    <n v="0.37654549442885188"/>
  </r>
  <r>
    <x v="1067"/>
    <d v="2025-03-21T00:00:00"/>
    <x v="177"/>
    <x v="8"/>
    <x v="2"/>
    <x v="13"/>
    <n v="3"/>
    <n v="4943.08"/>
    <n v="0.15"/>
    <n v="12604.85"/>
    <n v="7473.34"/>
    <n v="5131.51"/>
    <x v="1"/>
    <x v="1"/>
    <x v="1"/>
    <x v="0"/>
    <x v="1"/>
    <n v="0.40710599491465588"/>
  </r>
  <r>
    <x v="1068"/>
    <d v="2026-04-01T00:00:00"/>
    <x v="459"/>
    <x v="4"/>
    <x v="1"/>
    <x v="7"/>
    <n v="2"/>
    <n v="4946.3999999999996"/>
    <n v="0"/>
    <n v="9892.7999999999993"/>
    <n v="5663.99"/>
    <n v="4228.8100000000004"/>
    <x v="0"/>
    <x v="3"/>
    <x v="1"/>
    <x v="8"/>
    <x v="0"/>
    <n v="0.42746340773087504"/>
  </r>
  <r>
    <x v="1069"/>
    <d v="2025-02-06T00:00:00"/>
    <x v="325"/>
    <x v="2"/>
    <x v="2"/>
    <x v="14"/>
    <n v="5"/>
    <n v="4948.6499999999996"/>
    <n v="0"/>
    <n v="24743.25"/>
    <n v="15570.55"/>
    <n v="9172.7000000000007"/>
    <x v="1"/>
    <x v="0"/>
    <x v="1"/>
    <x v="1"/>
    <x v="1"/>
    <n v="0.37071524557202473"/>
  </r>
  <r>
    <x v="1070"/>
    <d v="2026-07-12T00:00:00"/>
    <x v="256"/>
    <x v="2"/>
    <x v="2"/>
    <x v="13"/>
    <n v="5"/>
    <n v="4953.9799999999996"/>
    <n v="0"/>
    <n v="24769.9"/>
    <n v="15133.73"/>
    <n v="9636.17"/>
    <x v="1"/>
    <x v="1"/>
    <x v="1"/>
    <x v="2"/>
    <x v="0"/>
    <n v="0.38902740826567728"/>
  </r>
  <r>
    <x v="1071"/>
    <d v="2025-05-06T00:00:00"/>
    <x v="395"/>
    <x v="4"/>
    <x v="0"/>
    <x v="17"/>
    <n v="2"/>
    <n v="4959.96"/>
    <n v="0.2"/>
    <n v="7935.94"/>
    <n v="6131.5"/>
    <n v="1804.44"/>
    <x v="0"/>
    <x v="3"/>
    <x v="1"/>
    <x v="5"/>
    <x v="1"/>
    <n v="0.22737571100587961"/>
  </r>
  <r>
    <x v="1072"/>
    <d v="2026-04-01T00:00:00"/>
    <x v="171"/>
    <x v="0"/>
    <x v="1"/>
    <x v="12"/>
    <n v="2"/>
    <n v="4961.8900000000003"/>
    <n v="0.05"/>
    <n v="9427.59"/>
    <n v="7106.84"/>
    <n v="2320.75"/>
    <x v="1"/>
    <x v="0"/>
    <x v="0"/>
    <x v="8"/>
    <x v="0"/>
    <n v="0.24616577513447233"/>
  </r>
  <r>
    <x v="1073"/>
    <d v="2025-07-26T00:00:00"/>
    <x v="77"/>
    <x v="2"/>
    <x v="3"/>
    <x v="10"/>
    <n v="6"/>
    <n v="4964.95"/>
    <n v="0"/>
    <n v="29789.7"/>
    <n v="17414.93"/>
    <n v="12374.77"/>
    <x v="1"/>
    <x v="3"/>
    <x v="0"/>
    <x v="2"/>
    <x v="1"/>
    <n v="0.41540431759970731"/>
  </r>
  <r>
    <x v="1074"/>
    <d v="2025-12-20T00:00:00"/>
    <x v="151"/>
    <x v="7"/>
    <x v="3"/>
    <x v="10"/>
    <n v="4"/>
    <n v="4965.5600000000004"/>
    <n v="0"/>
    <n v="19862.240000000002"/>
    <n v="15622.15"/>
    <n v="4240.09"/>
    <x v="0"/>
    <x v="2"/>
    <x v="1"/>
    <x v="7"/>
    <x v="1"/>
    <n v="0.21347491521600787"/>
  </r>
  <r>
    <x v="1075"/>
    <d v="2026-03-05T00:00:00"/>
    <x v="288"/>
    <x v="1"/>
    <x v="3"/>
    <x v="10"/>
    <n v="2"/>
    <n v="4969.18"/>
    <n v="0.2"/>
    <n v="7950.69"/>
    <n v="5554.32"/>
    <n v="2396.37"/>
    <x v="1"/>
    <x v="3"/>
    <x v="0"/>
    <x v="0"/>
    <x v="0"/>
    <n v="0.30140402908426817"/>
  </r>
  <r>
    <x v="1076"/>
    <d v="2025-09-30T00:00:00"/>
    <x v="460"/>
    <x v="4"/>
    <x v="1"/>
    <x v="12"/>
    <n v="3"/>
    <n v="4969.43"/>
    <n v="0.05"/>
    <n v="14162.88"/>
    <n v="10135.66"/>
    <n v="4027.22"/>
    <x v="1"/>
    <x v="3"/>
    <x v="0"/>
    <x v="4"/>
    <x v="1"/>
    <n v="0.28435035811925258"/>
  </r>
  <r>
    <x v="1077"/>
    <d v="2025-02-17T00:00:00"/>
    <x v="76"/>
    <x v="3"/>
    <x v="3"/>
    <x v="6"/>
    <n v="2"/>
    <n v="4975.09"/>
    <n v="0.05"/>
    <n v="9452.67"/>
    <n v="7371.27"/>
    <n v="2081.4"/>
    <x v="1"/>
    <x v="2"/>
    <x v="1"/>
    <x v="1"/>
    <x v="1"/>
    <n v="0.22019175534531515"/>
  </r>
  <r>
    <x v="1078"/>
    <d v="2025-01-04T00:00:00"/>
    <x v="134"/>
    <x v="8"/>
    <x v="3"/>
    <x v="10"/>
    <n v="6"/>
    <n v="4982.28"/>
    <n v="0"/>
    <n v="29893.68"/>
    <n v="23354.78"/>
    <n v="6538.9"/>
    <x v="0"/>
    <x v="3"/>
    <x v="1"/>
    <x v="9"/>
    <x v="1"/>
    <n v="0.21873854272876406"/>
  </r>
  <r>
    <x v="1079"/>
    <d v="2026-01-06T00:00:00"/>
    <x v="308"/>
    <x v="6"/>
    <x v="3"/>
    <x v="10"/>
    <n v="4"/>
    <n v="4983.1899999999996"/>
    <n v="0.2"/>
    <n v="15946.21"/>
    <n v="12246.04"/>
    <n v="3700.17"/>
    <x v="1"/>
    <x v="1"/>
    <x v="1"/>
    <x v="9"/>
    <x v="0"/>
    <n v="0.23204071688507805"/>
  </r>
  <r>
    <x v="1080"/>
    <d v="2026-07-02T00:00:00"/>
    <x v="268"/>
    <x v="9"/>
    <x v="2"/>
    <x v="15"/>
    <n v="3"/>
    <n v="4993.29"/>
    <n v="0.2"/>
    <n v="11983.9"/>
    <n v="9001.27"/>
    <n v="2982.63"/>
    <x v="1"/>
    <x v="2"/>
    <x v="1"/>
    <x v="2"/>
    <x v="0"/>
    <n v="0.24888642261701116"/>
  </r>
  <r>
    <x v="1081"/>
    <d v="2025-02-05T00:00:00"/>
    <x v="21"/>
    <x v="5"/>
    <x v="3"/>
    <x v="10"/>
    <n v="2"/>
    <n v="4995.3"/>
    <n v="0"/>
    <n v="9990.6"/>
    <n v="6668"/>
    <n v="3322.6"/>
    <x v="0"/>
    <x v="0"/>
    <x v="0"/>
    <x v="1"/>
    <x v="1"/>
    <n v="0.33257261826116546"/>
  </r>
  <r>
    <x v="1082"/>
    <d v="2026-02-12T00:00:00"/>
    <x v="91"/>
    <x v="0"/>
    <x v="1"/>
    <x v="18"/>
    <n v="6"/>
    <n v="5011.3999999999996"/>
    <n v="0.1"/>
    <n v="27061.56"/>
    <n v="18833.849999999999"/>
    <n v="8227.7099999999991"/>
    <x v="0"/>
    <x v="3"/>
    <x v="1"/>
    <x v="1"/>
    <x v="0"/>
    <n v="0.30403679610488082"/>
  </r>
  <r>
    <x v="1083"/>
    <d v="2025-05-06T00:00:00"/>
    <x v="232"/>
    <x v="0"/>
    <x v="0"/>
    <x v="0"/>
    <n v="6"/>
    <n v="5012.01"/>
    <n v="0"/>
    <n v="30072.06"/>
    <n v="22701.78"/>
    <n v="7370.28"/>
    <x v="0"/>
    <x v="2"/>
    <x v="1"/>
    <x v="5"/>
    <x v="1"/>
    <n v="0.24508730030466816"/>
  </r>
  <r>
    <x v="1084"/>
    <d v="2026-02-24T00:00:00"/>
    <x v="435"/>
    <x v="9"/>
    <x v="3"/>
    <x v="8"/>
    <n v="5"/>
    <n v="5021.3"/>
    <n v="0.1"/>
    <n v="22595.85"/>
    <n v="12743.32"/>
    <n v="9852.5300000000007"/>
    <x v="0"/>
    <x v="3"/>
    <x v="1"/>
    <x v="1"/>
    <x v="0"/>
    <n v="0.43603272282299632"/>
  </r>
  <r>
    <x v="1085"/>
    <d v="2025-02-09T00:00:00"/>
    <x v="335"/>
    <x v="2"/>
    <x v="0"/>
    <x v="1"/>
    <n v="5"/>
    <n v="5021.32"/>
    <n v="0"/>
    <n v="25106.6"/>
    <n v="15976.89"/>
    <n v="9129.7099999999991"/>
    <x v="1"/>
    <x v="1"/>
    <x v="1"/>
    <x v="1"/>
    <x v="1"/>
    <n v="0.36363784821521034"/>
  </r>
  <r>
    <x v="1086"/>
    <d v="2025-05-03T00:00:00"/>
    <x v="81"/>
    <x v="7"/>
    <x v="0"/>
    <x v="1"/>
    <n v="3"/>
    <n v="5028.04"/>
    <n v="0.05"/>
    <n v="14329.91"/>
    <n v="9559.4699999999993"/>
    <n v="4770.4399999999996"/>
    <x v="1"/>
    <x v="1"/>
    <x v="1"/>
    <x v="5"/>
    <x v="1"/>
    <n v="0.33290090447183546"/>
  </r>
  <r>
    <x v="1087"/>
    <d v="2025-11-09T00:00:00"/>
    <x v="448"/>
    <x v="7"/>
    <x v="3"/>
    <x v="8"/>
    <n v="2"/>
    <n v="5028.8599999999997"/>
    <n v="0.05"/>
    <n v="9554.83"/>
    <n v="6813.85"/>
    <n v="2740.98"/>
    <x v="1"/>
    <x v="3"/>
    <x v="0"/>
    <x v="3"/>
    <x v="1"/>
    <n v="0.28686852617995295"/>
  </r>
  <r>
    <x v="1088"/>
    <d v="2025-09-21T00:00:00"/>
    <x v="95"/>
    <x v="7"/>
    <x v="0"/>
    <x v="0"/>
    <n v="6"/>
    <n v="5030.32"/>
    <n v="0.15"/>
    <n v="25654.63"/>
    <n v="20895.689999999999"/>
    <n v="4758.9399999999996"/>
    <x v="0"/>
    <x v="3"/>
    <x v="1"/>
    <x v="4"/>
    <x v="1"/>
    <n v="0.18550023913812047"/>
  </r>
  <r>
    <x v="1089"/>
    <d v="2026-04-20T00:00:00"/>
    <x v="461"/>
    <x v="4"/>
    <x v="2"/>
    <x v="3"/>
    <n v="1"/>
    <n v="5035.8100000000004"/>
    <n v="0.1"/>
    <n v="4532.2299999999996"/>
    <n v="2947.75"/>
    <n v="1584.48"/>
    <x v="1"/>
    <x v="0"/>
    <x v="1"/>
    <x v="8"/>
    <x v="0"/>
    <n v="0.34960273419486659"/>
  </r>
  <r>
    <x v="1090"/>
    <d v="2025-12-27T00:00:00"/>
    <x v="280"/>
    <x v="8"/>
    <x v="3"/>
    <x v="10"/>
    <n v="5"/>
    <n v="5036.49"/>
    <n v="0.05"/>
    <n v="23923.33"/>
    <n v="18241.310000000001"/>
    <n v="5682.02"/>
    <x v="0"/>
    <x v="1"/>
    <x v="0"/>
    <x v="7"/>
    <x v="1"/>
    <n v="0.23750957747102933"/>
  </r>
  <r>
    <x v="1091"/>
    <d v="2025-06-10T00:00:00"/>
    <x v="462"/>
    <x v="4"/>
    <x v="1"/>
    <x v="2"/>
    <n v="6"/>
    <n v="5039.68"/>
    <n v="0.15"/>
    <n v="25702.37"/>
    <n v="21201.24"/>
    <n v="4501.13"/>
    <x v="0"/>
    <x v="3"/>
    <x v="1"/>
    <x v="10"/>
    <x v="1"/>
    <n v="0.17512509546784985"/>
  </r>
  <r>
    <x v="1092"/>
    <d v="2025-05-21T00:00:00"/>
    <x v="30"/>
    <x v="1"/>
    <x v="0"/>
    <x v="9"/>
    <n v="2"/>
    <n v="5041.83"/>
    <n v="0"/>
    <n v="10083.66"/>
    <n v="7268.73"/>
    <n v="2814.93"/>
    <x v="1"/>
    <x v="3"/>
    <x v="0"/>
    <x v="5"/>
    <x v="1"/>
    <n v="0.27915756778788653"/>
  </r>
  <r>
    <x v="1093"/>
    <d v="2026-01-06T00:00:00"/>
    <x v="463"/>
    <x v="6"/>
    <x v="0"/>
    <x v="0"/>
    <n v="6"/>
    <n v="5043.12"/>
    <n v="0"/>
    <n v="30258.720000000001"/>
    <n v="24382.42"/>
    <n v="5876.3"/>
    <x v="0"/>
    <x v="3"/>
    <x v="1"/>
    <x v="9"/>
    <x v="0"/>
    <n v="0.19420186974201156"/>
  </r>
  <r>
    <x v="1094"/>
    <d v="2025-11-03T00:00:00"/>
    <x v="459"/>
    <x v="4"/>
    <x v="1"/>
    <x v="18"/>
    <n v="4"/>
    <n v="5046.12"/>
    <n v="0.2"/>
    <n v="16147.58"/>
    <n v="13144.13"/>
    <n v="3003.45"/>
    <x v="1"/>
    <x v="2"/>
    <x v="1"/>
    <x v="3"/>
    <x v="1"/>
    <n v="0.18600000743145412"/>
  </r>
  <r>
    <x v="1095"/>
    <d v="2025-01-08T00:00:00"/>
    <x v="294"/>
    <x v="6"/>
    <x v="2"/>
    <x v="19"/>
    <n v="4"/>
    <n v="5048.96"/>
    <n v="0.15"/>
    <n v="17166.46"/>
    <n v="12576.42"/>
    <n v="4590.04"/>
    <x v="1"/>
    <x v="3"/>
    <x v="0"/>
    <x v="9"/>
    <x v="1"/>
    <n v="0.26738418986791684"/>
  </r>
  <r>
    <x v="1096"/>
    <d v="2025-11-16T00:00:00"/>
    <x v="102"/>
    <x v="6"/>
    <x v="1"/>
    <x v="18"/>
    <n v="6"/>
    <n v="5050.8"/>
    <n v="0.05"/>
    <n v="28789.56"/>
    <n v="22297.31"/>
    <n v="6492.25"/>
    <x v="1"/>
    <x v="1"/>
    <x v="1"/>
    <x v="3"/>
    <x v="1"/>
    <n v="0.22550709354363177"/>
  </r>
  <r>
    <x v="1097"/>
    <d v="2025-05-03T00:00:00"/>
    <x v="187"/>
    <x v="2"/>
    <x v="0"/>
    <x v="1"/>
    <n v="3"/>
    <n v="5053.79"/>
    <n v="0.05"/>
    <n v="14403.3"/>
    <n v="9129.01"/>
    <n v="5274.29"/>
    <x v="1"/>
    <x v="0"/>
    <x v="1"/>
    <x v="5"/>
    <x v="1"/>
    <n v="0.36618622121319422"/>
  </r>
  <r>
    <x v="1098"/>
    <d v="2026-08-09T00:00:00"/>
    <x v="74"/>
    <x v="5"/>
    <x v="0"/>
    <x v="0"/>
    <n v="5"/>
    <n v="5058.66"/>
    <n v="0"/>
    <n v="25293.3"/>
    <n v="19413.650000000001"/>
    <n v="5879.65"/>
    <x v="1"/>
    <x v="0"/>
    <x v="0"/>
    <x v="6"/>
    <x v="0"/>
    <n v="0.2324587934354157"/>
  </r>
  <r>
    <x v="1099"/>
    <d v="2025-01-16T00:00:00"/>
    <x v="368"/>
    <x v="2"/>
    <x v="3"/>
    <x v="4"/>
    <n v="2"/>
    <n v="5061.57"/>
    <n v="0.1"/>
    <n v="9110.83"/>
    <n v="7460.72"/>
    <n v="1650.11"/>
    <x v="0"/>
    <x v="1"/>
    <x v="1"/>
    <x v="9"/>
    <x v="1"/>
    <n v="0.18111522221356341"/>
  </r>
  <r>
    <x v="1100"/>
    <d v="2025-11-19T00:00:00"/>
    <x v="264"/>
    <x v="7"/>
    <x v="1"/>
    <x v="12"/>
    <n v="2"/>
    <n v="5064.4399999999996"/>
    <n v="0.05"/>
    <n v="9622.44"/>
    <n v="6353.78"/>
    <n v="3268.66"/>
    <x v="0"/>
    <x v="1"/>
    <x v="1"/>
    <x v="3"/>
    <x v="1"/>
    <n v="0.33969138804710652"/>
  </r>
  <r>
    <x v="1101"/>
    <d v="2025-08-19T00:00:00"/>
    <x v="278"/>
    <x v="5"/>
    <x v="3"/>
    <x v="8"/>
    <n v="3"/>
    <n v="5066.07"/>
    <n v="0.1"/>
    <n v="13678.39"/>
    <n v="11304.19"/>
    <n v="2374.1999999999998"/>
    <x v="0"/>
    <x v="0"/>
    <x v="1"/>
    <x v="6"/>
    <x v="1"/>
    <n v="0.1735730594024589"/>
  </r>
  <r>
    <x v="1102"/>
    <d v="2025-02-23T00:00:00"/>
    <x v="397"/>
    <x v="7"/>
    <x v="1"/>
    <x v="16"/>
    <n v="6"/>
    <n v="5067.0200000000004"/>
    <n v="0.15"/>
    <n v="25841.8"/>
    <n v="21115.94"/>
    <n v="4725.8599999999997"/>
    <x v="1"/>
    <x v="0"/>
    <x v="1"/>
    <x v="1"/>
    <x v="1"/>
    <n v="0.18287657980481234"/>
  </r>
  <r>
    <x v="1103"/>
    <d v="2026-05-08T00:00:00"/>
    <x v="327"/>
    <x v="0"/>
    <x v="0"/>
    <x v="9"/>
    <n v="1"/>
    <n v="5068.78"/>
    <n v="0"/>
    <n v="5068.78"/>
    <n v="3003.69"/>
    <n v="2065.09"/>
    <x v="0"/>
    <x v="2"/>
    <x v="1"/>
    <x v="5"/>
    <x v="0"/>
    <n v="0.40741361826711758"/>
  </r>
  <r>
    <x v="1104"/>
    <d v="2026-02-18T00:00:00"/>
    <x v="147"/>
    <x v="8"/>
    <x v="0"/>
    <x v="11"/>
    <n v="2"/>
    <n v="5068.87"/>
    <n v="0"/>
    <n v="10137.74"/>
    <n v="6000.74"/>
    <n v="4137"/>
    <x v="1"/>
    <x v="0"/>
    <x v="0"/>
    <x v="1"/>
    <x v="0"/>
    <n v="0.40807911822556114"/>
  </r>
  <r>
    <x v="1105"/>
    <d v="2025-09-15T00:00:00"/>
    <x v="330"/>
    <x v="6"/>
    <x v="0"/>
    <x v="17"/>
    <n v="4"/>
    <n v="5069.2700000000004"/>
    <n v="0.05"/>
    <n v="19263.23"/>
    <n v="11750.03"/>
    <n v="7513.2"/>
    <x v="0"/>
    <x v="3"/>
    <x v="1"/>
    <x v="4"/>
    <x v="1"/>
    <n v="0.39002804825566634"/>
  </r>
  <r>
    <x v="1106"/>
    <d v="2026-01-27T00:00:00"/>
    <x v="283"/>
    <x v="8"/>
    <x v="0"/>
    <x v="9"/>
    <n v="3"/>
    <n v="5075.24"/>
    <n v="0"/>
    <n v="15225.72"/>
    <n v="10765.61"/>
    <n v="4460.1099999999997"/>
    <x v="0"/>
    <x v="3"/>
    <x v="1"/>
    <x v="9"/>
    <x v="0"/>
    <n v="0.29293261665129794"/>
  </r>
  <r>
    <x v="1107"/>
    <d v="2026-03-24T00:00:00"/>
    <x v="301"/>
    <x v="5"/>
    <x v="0"/>
    <x v="9"/>
    <n v="6"/>
    <n v="5077.38"/>
    <n v="0.2"/>
    <n v="24371.42"/>
    <n v="19820.78"/>
    <n v="4550.6400000000003"/>
    <x v="0"/>
    <x v="1"/>
    <x v="0"/>
    <x v="0"/>
    <x v="0"/>
    <n v="0.18672034702943041"/>
  </r>
  <r>
    <x v="1108"/>
    <d v="2025-06-27T00:00:00"/>
    <x v="429"/>
    <x v="3"/>
    <x v="3"/>
    <x v="5"/>
    <n v="2"/>
    <n v="5082.03"/>
    <n v="0.15"/>
    <n v="8639.4500000000007"/>
    <n v="4816.51"/>
    <n v="3822.94"/>
    <x v="1"/>
    <x v="1"/>
    <x v="1"/>
    <x v="10"/>
    <x v="1"/>
    <n v="0.4424980756876884"/>
  </r>
  <r>
    <x v="1109"/>
    <d v="2026-02-03T00:00:00"/>
    <x v="183"/>
    <x v="5"/>
    <x v="2"/>
    <x v="3"/>
    <n v="2"/>
    <n v="5082.4799999999996"/>
    <n v="0.2"/>
    <n v="8131.97"/>
    <n v="6494.25"/>
    <n v="1637.72"/>
    <x v="1"/>
    <x v="1"/>
    <x v="0"/>
    <x v="1"/>
    <x v="0"/>
    <n v="0.20139277444456877"/>
  </r>
  <r>
    <x v="1110"/>
    <d v="2025-07-26T00:00:00"/>
    <x v="43"/>
    <x v="7"/>
    <x v="1"/>
    <x v="18"/>
    <n v="2"/>
    <n v="5083.17"/>
    <n v="0"/>
    <n v="10166.34"/>
    <n v="8333.5300000000007"/>
    <n v="1832.81"/>
    <x v="0"/>
    <x v="1"/>
    <x v="0"/>
    <x v="2"/>
    <x v="1"/>
    <n v="0.18028218611614405"/>
  </r>
  <r>
    <x v="1111"/>
    <d v="2026-04-19T00:00:00"/>
    <x v="200"/>
    <x v="7"/>
    <x v="3"/>
    <x v="10"/>
    <n v="3"/>
    <n v="5083.22"/>
    <n v="0"/>
    <n v="15249.66"/>
    <n v="9706.52"/>
    <n v="5543.14"/>
    <x v="1"/>
    <x v="2"/>
    <x v="1"/>
    <x v="8"/>
    <x v="0"/>
    <n v="0.36349269426334752"/>
  </r>
  <r>
    <x v="1112"/>
    <d v="2025-02-03T00:00:00"/>
    <x v="239"/>
    <x v="0"/>
    <x v="3"/>
    <x v="10"/>
    <n v="5"/>
    <n v="5084.74"/>
    <n v="0.05"/>
    <n v="24152.51"/>
    <n v="18575.02"/>
    <n v="5577.49"/>
    <x v="0"/>
    <x v="1"/>
    <x v="1"/>
    <x v="1"/>
    <x v="1"/>
    <n v="0.23092796566485224"/>
  </r>
  <r>
    <x v="1113"/>
    <d v="2025-07-25T00:00:00"/>
    <x v="157"/>
    <x v="4"/>
    <x v="1"/>
    <x v="2"/>
    <n v="3"/>
    <n v="5086.8599999999997"/>
    <n v="0.2"/>
    <n v="12208.46"/>
    <n v="9203.1"/>
    <n v="3005.36"/>
    <x v="1"/>
    <x v="0"/>
    <x v="1"/>
    <x v="2"/>
    <x v="1"/>
    <n v="0.24617027864284277"/>
  </r>
  <r>
    <x v="1114"/>
    <d v="2025-02-04T00:00:00"/>
    <x v="87"/>
    <x v="8"/>
    <x v="2"/>
    <x v="19"/>
    <n v="2"/>
    <n v="5087.72"/>
    <n v="0.15"/>
    <n v="8649.1200000000008"/>
    <n v="6196.44"/>
    <n v="2452.6799999999998"/>
    <x v="1"/>
    <x v="0"/>
    <x v="0"/>
    <x v="1"/>
    <x v="1"/>
    <n v="0.28357567012597806"/>
  </r>
  <r>
    <x v="1115"/>
    <d v="2025-07-26T00:00:00"/>
    <x v="308"/>
    <x v="0"/>
    <x v="3"/>
    <x v="5"/>
    <n v="3"/>
    <n v="5093.0600000000004"/>
    <n v="0"/>
    <n v="15279.18"/>
    <n v="12215.22"/>
    <n v="3063.96"/>
    <x v="1"/>
    <x v="2"/>
    <x v="1"/>
    <x v="2"/>
    <x v="1"/>
    <n v="0.20053170392651962"/>
  </r>
  <r>
    <x v="1116"/>
    <d v="2025-07-04T00:00:00"/>
    <x v="464"/>
    <x v="4"/>
    <x v="2"/>
    <x v="14"/>
    <n v="6"/>
    <n v="5094.55"/>
    <n v="0.05"/>
    <n v="29038.94"/>
    <n v="20984.7"/>
    <n v="8054.24"/>
    <x v="1"/>
    <x v="3"/>
    <x v="1"/>
    <x v="2"/>
    <x v="1"/>
    <n v="0.27735998628049097"/>
  </r>
  <r>
    <x v="1117"/>
    <d v="2025-07-10T00:00:00"/>
    <x v="29"/>
    <x v="4"/>
    <x v="2"/>
    <x v="13"/>
    <n v="3"/>
    <n v="5094.63"/>
    <n v="0.05"/>
    <n v="14519.7"/>
    <n v="8484.61"/>
    <n v="6035.09"/>
    <x v="1"/>
    <x v="0"/>
    <x v="1"/>
    <x v="2"/>
    <x v="1"/>
    <n v="0.41564839493928935"/>
  </r>
  <r>
    <x v="1118"/>
    <d v="2025-02-20T00:00:00"/>
    <x v="446"/>
    <x v="3"/>
    <x v="2"/>
    <x v="15"/>
    <n v="5"/>
    <n v="5095.13"/>
    <n v="0.2"/>
    <n v="20380.52"/>
    <n v="11795"/>
    <n v="8585.52"/>
    <x v="1"/>
    <x v="2"/>
    <x v="1"/>
    <x v="1"/>
    <x v="1"/>
    <n v="0.42126108656697669"/>
  </r>
  <r>
    <x v="1119"/>
    <d v="2026-01-18T00:00:00"/>
    <x v="465"/>
    <x v="6"/>
    <x v="0"/>
    <x v="0"/>
    <n v="1"/>
    <n v="5099.8500000000004"/>
    <n v="0"/>
    <n v="5099.8500000000004"/>
    <n v="3226.86"/>
    <n v="1872.99"/>
    <x v="0"/>
    <x v="3"/>
    <x v="0"/>
    <x v="9"/>
    <x v="0"/>
    <n v="0.36726374305126619"/>
  </r>
  <r>
    <x v="1120"/>
    <d v="2025-11-01T00:00:00"/>
    <x v="382"/>
    <x v="4"/>
    <x v="0"/>
    <x v="1"/>
    <n v="4"/>
    <n v="5105.62"/>
    <n v="0.1"/>
    <n v="18380.23"/>
    <n v="11088.51"/>
    <n v="7291.72"/>
    <x v="1"/>
    <x v="3"/>
    <x v="1"/>
    <x v="3"/>
    <x v="1"/>
    <n v="0.39671538386625199"/>
  </r>
  <r>
    <x v="1121"/>
    <d v="2025-07-27T00:00:00"/>
    <x v="320"/>
    <x v="1"/>
    <x v="3"/>
    <x v="5"/>
    <n v="2"/>
    <n v="5125.8500000000004"/>
    <n v="0.15"/>
    <n v="8713.94"/>
    <n v="5207.6499999999996"/>
    <n v="3506.29"/>
    <x v="1"/>
    <x v="1"/>
    <x v="1"/>
    <x v="2"/>
    <x v="1"/>
    <n v="0.40237711069848997"/>
  </r>
  <r>
    <x v="1122"/>
    <d v="2025-09-13T00:00:00"/>
    <x v="178"/>
    <x v="6"/>
    <x v="2"/>
    <x v="3"/>
    <n v="2"/>
    <n v="5133.07"/>
    <n v="0.15"/>
    <n v="8726.2199999999993"/>
    <n v="6657.36"/>
    <n v="2068.86"/>
    <x v="1"/>
    <x v="2"/>
    <x v="1"/>
    <x v="4"/>
    <x v="1"/>
    <n v="0.23708547343523315"/>
  </r>
  <r>
    <x v="1123"/>
    <d v="2025-07-24T00:00:00"/>
    <x v="466"/>
    <x v="4"/>
    <x v="2"/>
    <x v="15"/>
    <n v="4"/>
    <n v="5133.28"/>
    <n v="0.05"/>
    <n v="19506.46"/>
    <n v="14596.14"/>
    <n v="4910.32"/>
    <x v="1"/>
    <x v="1"/>
    <x v="1"/>
    <x v="2"/>
    <x v="1"/>
    <n v="0.25172788911980953"/>
  </r>
  <r>
    <x v="1124"/>
    <d v="2026-04-21T00:00:00"/>
    <x v="51"/>
    <x v="3"/>
    <x v="3"/>
    <x v="8"/>
    <n v="6"/>
    <n v="5136.76"/>
    <n v="0"/>
    <n v="30820.560000000001"/>
    <n v="18067.060000000001"/>
    <n v="12753.5"/>
    <x v="1"/>
    <x v="3"/>
    <x v="1"/>
    <x v="8"/>
    <x v="0"/>
    <n v="0.4137984514233356"/>
  </r>
  <r>
    <x v="1125"/>
    <d v="2025-09-22T00:00:00"/>
    <x v="467"/>
    <x v="7"/>
    <x v="2"/>
    <x v="15"/>
    <n v="6"/>
    <n v="5138.99"/>
    <n v="0.15"/>
    <n v="26208.85"/>
    <n v="14891.25"/>
    <n v="11317.6"/>
    <x v="0"/>
    <x v="0"/>
    <x v="0"/>
    <x v="4"/>
    <x v="1"/>
    <n v="0.43182360156969885"/>
  </r>
  <r>
    <x v="1126"/>
    <d v="2026-05-17T00:00:00"/>
    <x v="468"/>
    <x v="3"/>
    <x v="3"/>
    <x v="4"/>
    <n v="4"/>
    <n v="5141.04"/>
    <n v="0.1"/>
    <n v="18507.740000000002"/>
    <n v="12030.29"/>
    <n v="6477.45"/>
    <x v="0"/>
    <x v="2"/>
    <x v="1"/>
    <x v="5"/>
    <x v="0"/>
    <n v="0.34998600585484774"/>
  </r>
  <r>
    <x v="1127"/>
    <d v="2025-02-17T00:00:00"/>
    <x v="354"/>
    <x v="2"/>
    <x v="2"/>
    <x v="15"/>
    <n v="3"/>
    <n v="5153.95"/>
    <n v="0"/>
    <n v="15461.85"/>
    <n v="8524.9699999999993"/>
    <n v="6936.88"/>
    <x v="0"/>
    <x v="3"/>
    <x v="1"/>
    <x v="1"/>
    <x v="1"/>
    <n v="0.44864489048852496"/>
  </r>
  <r>
    <x v="1128"/>
    <d v="2026-05-17T00:00:00"/>
    <x v="285"/>
    <x v="10"/>
    <x v="0"/>
    <x v="1"/>
    <n v="4"/>
    <n v="5156.7299999999996"/>
    <n v="0.05"/>
    <n v="19595.57"/>
    <n v="14879.11"/>
    <n v="4716.46"/>
    <x v="0"/>
    <x v="3"/>
    <x v="1"/>
    <x v="5"/>
    <x v="0"/>
    <n v="0.24069011516378447"/>
  </r>
  <r>
    <x v="1129"/>
    <d v="2025-03-19T00:00:00"/>
    <x v="469"/>
    <x v="7"/>
    <x v="3"/>
    <x v="4"/>
    <n v="2"/>
    <n v="5161.1400000000003"/>
    <n v="0.1"/>
    <n v="9290.0499999999993"/>
    <n v="7435.34"/>
    <n v="1854.71"/>
    <x v="0"/>
    <x v="2"/>
    <x v="0"/>
    <x v="0"/>
    <x v="1"/>
    <n v="0.19964478124444973"/>
  </r>
  <r>
    <x v="1130"/>
    <d v="2026-04-29T00:00:00"/>
    <x v="155"/>
    <x v="6"/>
    <x v="3"/>
    <x v="4"/>
    <n v="4"/>
    <n v="5164.2700000000004"/>
    <n v="0"/>
    <n v="20657.080000000002"/>
    <n v="16989.07"/>
    <n v="3668.01"/>
    <x v="0"/>
    <x v="3"/>
    <x v="0"/>
    <x v="8"/>
    <x v="0"/>
    <n v="0.17756672288629372"/>
  </r>
  <r>
    <x v="1131"/>
    <d v="2026-07-24T00:00:00"/>
    <x v="190"/>
    <x v="0"/>
    <x v="0"/>
    <x v="9"/>
    <n v="2"/>
    <n v="5185.42"/>
    <n v="0.1"/>
    <n v="9333.76"/>
    <n v="7478.61"/>
    <n v="1855.15"/>
    <x v="1"/>
    <x v="1"/>
    <x v="1"/>
    <x v="2"/>
    <x v="0"/>
    <n v="0.19875698539495337"/>
  </r>
  <r>
    <x v="1132"/>
    <d v="2025-05-08T00:00:00"/>
    <x v="285"/>
    <x v="5"/>
    <x v="1"/>
    <x v="7"/>
    <n v="2"/>
    <n v="5190.76"/>
    <n v="0.15"/>
    <n v="8824.2900000000009"/>
    <n v="4946.45"/>
    <n v="3877.84"/>
    <x v="1"/>
    <x v="0"/>
    <x v="0"/>
    <x v="5"/>
    <x v="1"/>
    <n v="0.43945065268707167"/>
  </r>
  <r>
    <x v="1133"/>
    <d v="2025-05-01T00:00:00"/>
    <x v="470"/>
    <x v="5"/>
    <x v="1"/>
    <x v="2"/>
    <n v="4"/>
    <n v="5193.74"/>
    <n v="0.05"/>
    <n v="19736.21"/>
    <n v="14152.79"/>
    <n v="5583.42"/>
    <x v="1"/>
    <x v="0"/>
    <x v="1"/>
    <x v="5"/>
    <x v="1"/>
    <n v="0.28290234041895584"/>
  </r>
  <r>
    <x v="1134"/>
    <d v="2025-01-21T00:00:00"/>
    <x v="362"/>
    <x v="0"/>
    <x v="0"/>
    <x v="11"/>
    <n v="5"/>
    <n v="5202.7"/>
    <n v="0.2"/>
    <n v="20810.8"/>
    <n v="15205.34"/>
    <n v="5605.46"/>
    <x v="0"/>
    <x v="2"/>
    <x v="1"/>
    <x v="9"/>
    <x v="1"/>
    <n v="0.26935341265112345"/>
  </r>
  <r>
    <x v="1135"/>
    <d v="2025-03-17T00:00:00"/>
    <x v="209"/>
    <x v="2"/>
    <x v="1"/>
    <x v="7"/>
    <n v="6"/>
    <n v="5209.2700000000004"/>
    <n v="0"/>
    <n v="31255.62"/>
    <n v="26370.54"/>
    <n v="4885.08"/>
    <x v="0"/>
    <x v="0"/>
    <x v="1"/>
    <x v="0"/>
    <x v="1"/>
    <n v="0.15629445200575129"/>
  </r>
  <r>
    <x v="1136"/>
    <d v="2026-01-04T00:00:00"/>
    <x v="74"/>
    <x v="7"/>
    <x v="1"/>
    <x v="16"/>
    <n v="1"/>
    <n v="5214.88"/>
    <n v="0.1"/>
    <n v="4693.3900000000003"/>
    <n v="2777.95"/>
    <n v="1915.44"/>
    <x v="1"/>
    <x v="3"/>
    <x v="0"/>
    <x v="9"/>
    <x v="0"/>
    <n v="0.40811439066431726"/>
  </r>
  <r>
    <x v="1137"/>
    <d v="2026-08-06T00:00:00"/>
    <x v="213"/>
    <x v="4"/>
    <x v="3"/>
    <x v="10"/>
    <n v="4"/>
    <n v="5216.83"/>
    <n v="0.2"/>
    <n v="16693.86"/>
    <n v="9437.2000000000007"/>
    <n v="7256.66"/>
    <x v="0"/>
    <x v="1"/>
    <x v="1"/>
    <x v="6"/>
    <x v="0"/>
    <n v="0.43469035920991306"/>
  </r>
  <r>
    <x v="1138"/>
    <d v="2025-02-02T00:00:00"/>
    <x v="471"/>
    <x v="8"/>
    <x v="1"/>
    <x v="2"/>
    <n v="2"/>
    <n v="5217.8599999999997"/>
    <n v="0.1"/>
    <n v="9392.15"/>
    <n v="7880.02"/>
    <n v="1512.13"/>
    <x v="1"/>
    <x v="0"/>
    <x v="0"/>
    <x v="1"/>
    <x v="1"/>
    <n v="0.16099934519785142"/>
  </r>
  <r>
    <x v="1139"/>
    <d v="2026-01-17T00:00:00"/>
    <x v="189"/>
    <x v="1"/>
    <x v="3"/>
    <x v="4"/>
    <n v="3"/>
    <n v="5222.53"/>
    <n v="0"/>
    <n v="15667.59"/>
    <n v="10137.91"/>
    <n v="5529.68"/>
    <x v="0"/>
    <x v="2"/>
    <x v="0"/>
    <x v="9"/>
    <x v="0"/>
    <n v="0.35293749708793759"/>
  </r>
  <r>
    <x v="1140"/>
    <d v="2026-03-20T00:00:00"/>
    <x v="123"/>
    <x v="9"/>
    <x v="2"/>
    <x v="15"/>
    <n v="1"/>
    <n v="5224.6000000000004"/>
    <n v="0.05"/>
    <n v="4963.37"/>
    <n v="2751.32"/>
    <n v="2212.0500000000002"/>
    <x v="1"/>
    <x v="2"/>
    <x v="1"/>
    <x v="0"/>
    <x v="0"/>
    <n v="0.44567501516107005"/>
  </r>
  <r>
    <x v="1141"/>
    <d v="2025-01-22T00:00:00"/>
    <x v="436"/>
    <x v="5"/>
    <x v="2"/>
    <x v="19"/>
    <n v="3"/>
    <n v="5231.55"/>
    <n v="0"/>
    <n v="15694.65"/>
    <n v="8782.6299999999992"/>
    <n v="6912.02"/>
    <x v="0"/>
    <x v="1"/>
    <x v="1"/>
    <x v="9"/>
    <x v="1"/>
    <n v="0.4404061256542835"/>
  </r>
  <r>
    <x v="1142"/>
    <d v="2025-01-04T00:00:00"/>
    <x v="319"/>
    <x v="7"/>
    <x v="2"/>
    <x v="15"/>
    <n v="2"/>
    <n v="5232.8500000000004"/>
    <n v="0.2"/>
    <n v="8372.56"/>
    <n v="6490.14"/>
    <n v="1882.42"/>
    <x v="1"/>
    <x v="1"/>
    <x v="1"/>
    <x v="9"/>
    <x v="1"/>
    <n v="0.2248320704778467"/>
  </r>
  <r>
    <x v="1143"/>
    <d v="2025-08-03T00:00:00"/>
    <x v="176"/>
    <x v="6"/>
    <x v="3"/>
    <x v="8"/>
    <n v="3"/>
    <n v="5233.4799999999996"/>
    <n v="0.15"/>
    <n v="13345.37"/>
    <n v="8009.47"/>
    <n v="5335.9"/>
    <x v="1"/>
    <x v="1"/>
    <x v="0"/>
    <x v="6"/>
    <x v="1"/>
    <n v="0.39983155206637205"/>
  </r>
  <r>
    <x v="1144"/>
    <d v="2026-02-26T00:00:00"/>
    <x v="464"/>
    <x v="1"/>
    <x v="1"/>
    <x v="16"/>
    <n v="5"/>
    <n v="5234.7"/>
    <n v="0.1"/>
    <n v="23556.15"/>
    <n v="17059.7"/>
    <n v="6496.45"/>
    <x v="0"/>
    <x v="2"/>
    <x v="1"/>
    <x v="1"/>
    <x v="0"/>
    <n v="0.27578572899221643"/>
  </r>
  <r>
    <x v="1145"/>
    <d v="2025-04-29T00:00:00"/>
    <x v="116"/>
    <x v="5"/>
    <x v="2"/>
    <x v="13"/>
    <n v="1"/>
    <n v="5236.91"/>
    <n v="0.05"/>
    <n v="4975.0600000000004"/>
    <n v="3013.97"/>
    <n v="1961.09"/>
    <x v="1"/>
    <x v="1"/>
    <x v="1"/>
    <x v="8"/>
    <x v="1"/>
    <n v="0.3941841907434282"/>
  </r>
  <r>
    <x v="1146"/>
    <d v="2026-04-25T00:00:00"/>
    <x v="12"/>
    <x v="1"/>
    <x v="0"/>
    <x v="1"/>
    <n v="3"/>
    <n v="5239.33"/>
    <n v="0"/>
    <n v="15717.99"/>
    <n v="10998.08"/>
    <n v="4719.91"/>
    <x v="1"/>
    <x v="3"/>
    <x v="1"/>
    <x v="8"/>
    <x v="0"/>
    <n v="0.30028712322631584"/>
  </r>
  <r>
    <x v="1147"/>
    <d v="2025-12-14T00:00:00"/>
    <x v="18"/>
    <x v="7"/>
    <x v="0"/>
    <x v="0"/>
    <n v="5"/>
    <n v="5244.6"/>
    <n v="0"/>
    <n v="26223"/>
    <n v="15849.58"/>
    <n v="10373.42"/>
    <x v="1"/>
    <x v="0"/>
    <x v="1"/>
    <x v="7"/>
    <x v="1"/>
    <n v="0.3955847919765092"/>
  </r>
  <r>
    <x v="1148"/>
    <d v="2025-10-22T00:00:00"/>
    <x v="472"/>
    <x v="9"/>
    <x v="2"/>
    <x v="14"/>
    <n v="6"/>
    <n v="5246.55"/>
    <n v="0"/>
    <n v="31479.3"/>
    <n v="17716.900000000001"/>
    <n v="13762.4"/>
    <x v="1"/>
    <x v="2"/>
    <x v="0"/>
    <x v="11"/>
    <x v="1"/>
    <n v="0.43718888285317653"/>
  </r>
  <r>
    <x v="1149"/>
    <d v="2025-08-01T00:00:00"/>
    <x v="397"/>
    <x v="9"/>
    <x v="1"/>
    <x v="12"/>
    <n v="6"/>
    <n v="5246.86"/>
    <n v="0.2"/>
    <n v="25184.93"/>
    <n v="13875.34"/>
    <n v="11309.59"/>
    <x v="0"/>
    <x v="1"/>
    <x v="1"/>
    <x v="6"/>
    <x v="1"/>
    <n v="0.44906180005265056"/>
  </r>
  <r>
    <x v="1150"/>
    <d v="2025-08-23T00:00:00"/>
    <x v="121"/>
    <x v="5"/>
    <x v="2"/>
    <x v="3"/>
    <n v="2"/>
    <n v="5251.24"/>
    <n v="0"/>
    <n v="10502.48"/>
    <n v="7806.87"/>
    <n v="2695.61"/>
    <x v="1"/>
    <x v="3"/>
    <x v="1"/>
    <x v="6"/>
    <x v="1"/>
    <n v="0.25666414027924833"/>
  </r>
  <r>
    <x v="1151"/>
    <d v="2026-07-11T00:00:00"/>
    <x v="320"/>
    <x v="8"/>
    <x v="1"/>
    <x v="18"/>
    <n v="6"/>
    <n v="5254.2"/>
    <n v="0"/>
    <n v="31525.200000000001"/>
    <n v="21334.09"/>
    <n v="10191.11"/>
    <x v="1"/>
    <x v="1"/>
    <x v="1"/>
    <x v="2"/>
    <x v="0"/>
    <n v="0.32326868663799119"/>
  </r>
  <r>
    <x v="1152"/>
    <d v="2026-02-27T00:00:00"/>
    <x v="377"/>
    <x v="0"/>
    <x v="0"/>
    <x v="9"/>
    <n v="2"/>
    <n v="5259.75"/>
    <n v="0"/>
    <n v="10519.5"/>
    <n v="6113.12"/>
    <n v="4406.38"/>
    <x v="1"/>
    <x v="0"/>
    <x v="1"/>
    <x v="1"/>
    <x v="0"/>
    <n v="0.41887732306668568"/>
  </r>
  <r>
    <x v="1153"/>
    <d v="2025-01-19T00:00:00"/>
    <x v="115"/>
    <x v="4"/>
    <x v="3"/>
    <x v="5"/>
    <n v="6"/>
    <n v="5263.44"/>
    <n v="0.2"/>
    <n v="25264.51"/>
    <n v="16095.24"/>
    <n v="9169.27"/>
    <x v="0"/>
    <x v="0"/>
    <x v="0"/>
    <x v="9"/>
    <x v="1"/>
    <n v="0.36293084647198781"/>
  </r>
  <r>
    <x v="1154"/>
    <d v="2025-07-10T00:00:00"/>
    <x v="90"/>
    <x v="1"/>
    <x v="3"/>
    <x v="6"/>
    <n v="1"/>
    <n v="5272.82"/>
    <n v="0"/>
    <n v="5272.82"/>
    <n v="3665.82"/>
    <n v="1607"/>
    <x v="1"/>
    <x v="3"/>
    <x v="1"/>
    <x v="2"/>
    <x v="1"/>
    <n v="0.30477050231185593"/>
  </r>
  <r>
    <x v="1155"/>
    <d v="2025-12-11T00:00:00"/>
    <x v="159"/>
    <x v="5"/>
    <x v="3"/>
    <x v="8"/>
    <n v="2"/>
    <n v="5274.48"/>
    <n v="0.05"/>
    <n v="10021.51"/>
    <n v="5653.24"/>
    <n v="4368.2700000000004"/>
    <x v="1"/>
    <x v="2"/>
    <x v="1"/>
    <x v="7"/>
    <x v="1"/>
    <n v="0.43588940189652065"/>
  </r>
  <r>
    <x v="1156"/>
    <d v="2026-08-16T00:00:00"/>
    <x v="13"/>
    <x v="7"/>
    <x v="1"/>
    <x v="16"/>
    <n v="1"/>
    <n v="5276.99"/>
    <n v="0.2"/>
    <n v="4221.59"/>
    <n v="2423.65"/>
    <n v="1797.94"/>
    <x v="1"/>
    <x v="1"/>
    <x v="1"/>
    <x v="6"/>
    <x v="0"/>
    <n v="0.42589166641004927"/>
  </r>
  <r>
    <x v="1157"/>
    <d v="2025-12-17T00:00:00"/>
    <x v="473"/>
    <x v="2"/>
    <x v="3"/>
    <x v="4"/>
    <n v="5"/>
    <n v="5291.64"/>
    <n v="0.1"/>
    <n v="23812.38"/>
    <n v="13153.62"/>
    <n v="10658.76"/>
    <x v="1"/>
    <x v="2"/>
    <x v="1"/>
    <x v="7"/>
    <x v="1"/>
    <n v="0.44761422419766522"/>
  </r>
  <r>
    <x v="1158"/>
    <d v="2025-07-11T00:00:00"/>
    <x v="363"/>
    <x v="4"/>
    <x v="3"/>
    <x v="8"/>
    <n v="4"/>
    <n v="5292.23"/>
    <n v="0.1"/>
    <n v="19052.03"/>
    <n v="12600.98"/>
    <n v="6451.05"/>
    <x v="0"/>
    <x v="2"/>
    <x v="1"/>
    <x v="2"/>
    <x v="1"/>
    <n v="0.33860171330824068"/>
  </r>
  <r>
    <x v="1159"/>
    <d v="2026-03-11T00:00:00"/>
    <x v="421"/>
    <x v="4"/>
    <x v="0"/>
    <x v="11"/>
    <n v="1"/>
    <n v="5293.46"/>
    <n v="0.05"/>
    <n v="5028.79"/>
    <n v="2982.1"/>
    <n v="2046.69"/>
    <x v="0"/>
    <x v="2"/>
    <x v="1"/>
    <x v="0"/>
    <x v="0"/>
    <n v="0.40699452552204407"/>
  </r>
  <r>
    <x v="1160"/>
    <d v="2025-04-08T00:00:00"/>
    <x v="275"/>
    <x v="5"/>
    <x v="1"/>
    <x v="12"/>
    <n v="3"/>
    <n v="5297.78"/>
    <n v="0.1"/>
    <n v="14304.01"/>
    <n v="11024.7"/>
    <n v="3279.31"/>
    <x v="0"/>
    <x v="0"/>
    <x v="1"/>
    <x v="8"/>
    <x v="1"/>
    <n v="0.22925808916520612"/>
  </r>
  <r>
    <x v="1161"/>
    <d v="2025-09-18T00:00:00"/>
    <x v="178"/>
    <x v="4"/>
    <x v="1"/>
    <x v="16"/>
    <n v="3"/>
    <n v="5297.83"/>
    <n v="0.1"/>
    <n v="14304.14"/>
    <n v="11298.75"/>
    <n v="3005.39"/>
    <x v="0"/>
    <x v="0"/>
    <x v="1"/>
    <x v="4"/>
    <x v="1"/>
    <n v="0.21010630488795551"/>
  </r>
  <r>
    <x v="1162"/>
    <d v="2025-07-20T00:00:00"/>
    <x v="307"/>
    <x v="2"/>
    <x v="3"/>
    <x v="4"/>
    <n v="2"/>
    <n v="5300.96"/>
    <n v="0.1"/>
    <n v="9541.73"/>
    <n v="7744.51"/>
    <n v="1797.22"/>
    <x v="0"/>
    <x v="1"/>
    <x v="0"/>
    <x v="2"/>
    <x v="1"/>
    <n v="0.1883536842899558"/>
  </r>
  <r>
    <x v="1163"/>
    <d v="2026-01-29T00:00:00"/>
    <x v="100"/>
    <x v="9"/>
    <x v="2"/>
    <x v="13"/>
    <n v="2"/>
    <n v="5306.21"/>
    <n v="0"/>
    <n v="10612.42"/>
    <n v="7799.83"/>
    <n v="2812.59"/>
    <x v="1"/>
    <x v="1"/>
    <x v="1"/>
    <x v="9"/>
    <x v="0"/>
    <n v="0.26502814626635585"/>
  </r>
  <r>
    <x v="1164"/>
    <d v="2025-10-15T00:00:00"/>
    <x v="120"/>
    <x v="0"/>
    <x v="1"/>
    <x v="2"/>
    <n v="1"/>
    <n v="5308.49"/>
    <n v="0"/>
    <n v="5308.49"/>
    <n v="4269.13"/>
    <n v="1039.3599999999999"/>
    <x v="0"/>
    <x v="0"/>
    <x v="1"/>
    <x v="11"/>
    <x v="1"/>
    <n v="0.19579202372049301"/>
  </r>
  <r>
    <x v="1165"/>
    <d v="2025-07-26T00:00:00"/>
    <x v="85"/>
    <x v="2"/>
    <x v="1"/>
    <x v="18"/>
    <n v="2"/>
    <n v="5309.36"/>
    <n v="0.2"/>
    <n v="8494.98"/>
    <n v="6452.94"/>
    <n v="2042.04"/>
    <x v="0"/>
    <x v="1"/>
    <x v="1"/>
    <x v="2"/>
    <x v="1"/>
    <n v="0.24038196676154625"/>
  </r>
  <r>
    <x v="1166"/>
    <d v="2025-08-03T00:00:00"/>
    <x v="193"/>
    <x v="6"/>
    <x v="0"/>
    <x v="9"/>
    <n v="2"/>
    <n v="5312.09"/>
    <n v="0.1"/>
    <n v="9561.76"/>
    <n v="7452.92"/>
    <n v="2108.84"/>
    <x v="1"/>
    <x v="3"/>
    <x v="1"/>
    <x v="6"/>
    <x v="1"/>
    <n v="0.22054935493047306"/>
  </r>
  <r>
    <x v="1167"/>
    <d v="2025-04-18T00:00:00"/>
    <x v="363"/>
    <x v="3"/>
    <x v="1"/>
    <x v="2"/>
    <n v="3"/>
    <n v="5312.65"/>
    <n v="0.05"/>
    <n v="15141.05"/>
    <n v="10083.450000000001"/>
    <n v="5057.6000000000004"/>
    <x v="1"/>
    <x v="0"/>
    <x v="1"/>
    <x v="8"/>
    <x v="1"/>
    <n v="0.33403231612074463"/>
  </r>
  <r>
    <x v="1168"/>
    <d v="2025-12-18T00:00:00"/>
    <x v="254"/>
    <x v="0"/>
    <x v="0"/>
    <x v="0"/>
    <n v="6"/>
    <n v="5316.19"/>
    <n v="0.2"/>
    <n v="25517.71"/>
    <n v="21106.79"/>
    <n v="4410.92"/>
    <x v="0"/>
    <x v="2"/>
    <x v="1"/>
    <x v="7"/>
    <x v="1"/>
    <n v="0.17285720387918824"/>
  </r>
  <r>
    <x v="1169"/>
    <d v="2025-01-22T00:00:00"/>
    <x v="214"/>
    <x v="9"/>
    <x v="3"/>
    <x v="5"/>
    <n v="5"/>
    <n v="5318.09"/>
    <n v="0.2"/>
    <n v="21272.36"/>
    <n v="15004.63"/>
    <n v="6267.73"/>
    <x v="1"/>
    <x v="2"/>
    <x v="1"/>
    <x v="9"/>
    <x v="1"/>
    <n v="0.29464196732285458"/>
  </r>
  <r>
    <x v="1170"/>
    <d v="2026-03-30T00:00:00"/>
    <x v="325"/>
    <x v="4"/>
    <x v="3"/>
    <x v="4"/>
    <n v="2"/>
    <n v="5321.52"/>
    <n v="0.15"/>
    <n v="9046.58"/>
    <n v="5780.23"/>
    <n v="3266.35"/>
    <x v="0"/>
    <x v="2"/>
    <x v="1"/>
    <x v="0"/>
    <x v="0"/>
    <n v="0.36105909636569838"/>
  </r>
  <r>
    <x v="1171"/>
    <d v="2025-02-19T00:00:00"/>
    <x v="474"/>
    <x v="1"/>
    <x v="0"/>
    <x v="0"/>
    <n v="3"/>
    <n v="5328.02"/>
    <n v="0.1"/>
    <n v="14385.65"/>
    <n v="8386.9599999999991"/>
    <n v="5998.69"/>
    <x v="0"/>
    <x v="1"/>
    <x v="0"/>
    <x v="1"/>
    <x v="1"/>
    <n v="0.41699123779599806"/>
  </r>
  <r>
    <x v="1172"/>
    <d v="2025-05-29T00:00:00"/>
    <x v="216"/>
    <x v="4"/>
    <x v="2"/>
    <x v="15"/>
    <n v="1"/>
    <n v="5333.76"/>
    <n v="0.1"/>
    <n v="4800.38"/>
    <n v="3780.65"/>
    <n v="1019.73"/>
    <x v="0"/>
    <x v="1"/>
    <x v="0"/>
    <x v="5"/>
    <x v="1"/>
    <n v="0.21242693286781464"/>
  </r>
  <r>
    <x v="1173"/>
    <d v="2025-04-05T00:00:00"/>
    <x v="475"/>
    <x v="4"/>
    <x v="2"/>
    <x v="15"/>
    <n v="6"/>
    <n v="5349.22"/>
    <n v="0.2"/>
    <n v="25676.26"/>
    <n v="14369.01"/>
    <n v="11307.25"/>
    <x v="1"/>
    <x v="2"/>
    <x v="1"/>
    <x v="8"/>
    <x v="1"/>
    <n v="0.44037760951166566"/>
  </r>
  <r>
    <x v="1174"/>
    <d v="2025-09-26T00:00:00"/>
    <x v="390"/>
    <x v="6"/>
    <x v="1"/>
    <x v="16"/>
    <n v="3"/>
    <n v="5351.14"/>
    <n v="0.2"/>
    <n v="12842.74"/>
    <n v="7148.34"/>
    <n v="5694.4"/>
    <x v="0"/>
    <x v="2"/>
    <x v="1"/>
    <x v="4"/>
    <x v="1"/>
    <n v="0.44339447812538446"/>
  </r>
  <r>
    <x v="1175"/>
    <d v="2025-05-04T00:00:00"/>
    <x v="123"/>
    <x v="6"/>
    <x v="3"/>
    <x v="10"/>
    <n v="3"/>
    <n v="5370.58"/>
    <n v="0"/>
    <n v="16111.74"/>
    <n v="10198.65"/>
    <n v="5913.09"/>
    <x v="1"/>
    <x v="1"/>
    <x v="1"/>
    <x v="5"/>
    <x v="1"/>
    <n v="0.36700505345791329"/>
  </r>
  <r>
    <x v="1176"/>
    <d v="2025-01-04T00:00:00"/>
    <x v="21"/>
    <x v="3"/>
    <x v="0"/>
    <x v="17"/>
    <n v="3"/>
    <n v="5373.47"/>
    <n v="0.1"/>
    <n v="14508.37"/>
    <n v="11399.47"/>
    <n v="3108.9"/>
    <x v="1"/>
    <x v="2"/>
    <x v="1"/>
    <x v="9"/>
    <x v="1"/>
    <n v="0.21428320341981905"/>
  </r>
  <r>
    <x v="1177"/>
    <d v="2026-02-04T00:00:00"/>
    <x v="364"/>
    <x v="7"/>
    <x v="3"/>
    <x v="8"/>
    <n v="5"/>
    <n v="5379.14"/>
    <n v="0.1"/>
    <n v="24206.13"/>
    <n v="19338.13"/>
    <n v="4868"/>
    <x v="0"/>
    <x v="0"/>
    <x v="1"/>
    <x v="1"/>
    <x v="0"/>
    <n v="0.20110608345902461"/>
  </r>
  <r>
    <x v="1178"/>
    <d v="2025-09-06T00:00:00"/>
    <x v="320"/>
    <x v="7"/>
    <x v="1"/>
    <x v="16"/>
    <n v="5"/>
    <n v="5393.48"/>
    <n v="0.1"/>
    <n v="24270.66"/>
    <n v="13951.7"/>
    <n v="10318.959999999999"/>
    <x v="0"/>
    <x v="0"/>
    <x v="0"/>
    <x v="4"/>
    <x v="1"/>
    <n v="0.42516190330217635"/>
  </r>
  <r>
    <x v="1179"/>
    <d v="2025-06-11T00:00:00"/>
    <x v="59"/>
    <x v="10"/>
    <x v="2"/>
    <x v="3"/>
    <n v="2"/>
    <n v="5397.99"/>
    <n v="0"/>
    <n v="10795.98"/>
    <n v="7840.79"/>
    <n v="2955.19"/>
    <x v="1"/>
    <x v="1"/>
    <x v="1"/>
    <x v="10"/>
    <x v="1"/>
    <n v="0.27373059231306468"/>
  </r>
  <r>
    <x v="1180"/>
    <d v="2026-05-10T00:00:00"/>
    <x v="148"/>
    <x v="7"/>
    <x v="0"/>
    <x v="0"/>
    <n v="2"/>
    <n v="5400.25"/>
    <n v="0.1"/>
    <n v="9720.4500000000007"/>
    <n v="7070.01"/>
    <n v="2650.44"/>
    <x v="0"/>
    <x v="2"/>
    <x v="0"/>
    <x v="5"/>
    <x v="0"/>
    <n v="0.27266638890174838"/>
  </r>
  <r>
    <x v="1181"/>
    <d v="2026-01-28T00:00:00"/>
    <x v="339"/>
    <x v="2"/>
    <x v="1"/>
    <x v="7"/>
    <n v="1"/>
    <n v="5402.89"/>
    <n v="0.1"/>
    <n v="4862.6000000000004"/>
    <n v="2872.32"/>
    <n v="1990.28"/>
    <x v="1"/>
    <x v="3"/>
    <x v="1"/>
    <x v="9"/>
    <x v="0"/>
    <n v="0.40930366470612428"/>
  </r>
  <r>
    <x v="1182"/>
    <d v="2025-11-16T00:00:00"/>
    <x v="221"/>
    <x v="6"/>
    <x v="3"/>
    <x v="10"/>
    <n v="2"/>
    <n v="5404.87"/>
    <n v="0.15"/>
    <n v="9188.2800000000007"/>
    <n v="6169.18"/>
    <n v="3019.1"/>
    <x v="0"/>
    <x v="3"/>
    <x v="1"/>
    <x v="3"/>
    <x v="1"/>
    <n v="0.32858162789988982"/>
  </r>
  <r>
    <x v="1183"/>
    <d v="2026-02-19T00:00:00"/>
    <x v="476"/>
    <x v="0"/>
    <x v="3"/>
    <x v="10"/>
    <n v="4"/>
    <n v="5413.3"/>
    <n v="0.15"/>
    <n v="18405.22"/>
    <n v="15197.02"/>
    <n v="3208.2"/>
    <x v="1"/>
    <x v="2"/>
    <x v="0"/>
    <x v="1"/>
    <x v="0"/>
    <n v="0.17430924487726848"/>
  </r>
  <r>
    <x v="1184"/>
    <d v="2025-03-07T00:00:00"/>
    <x v="357"/>
    <x v="4"/>
    <x v="0"/>
    <x v="17"/>
    <n v="3"/>
    <n v="5416.94"/>
    <n v="0.1"/>
    <n v="14625.74"/>
    <n v="8546.68"/>
    <n v="6079.06"/>
    <x v="0"/>
    <x v="1"/>
    <x v="1"/>
    <x v="0"/>
    <x v="1"/>
    <n v="0.41564119148843071"/>
  </r>
  <r>
    <x v="1185"/>
    <d v="2025-08-06T00:00:00"/>
    <x v="170"/>
    <x v="7"/>
    <x v="0"/>
    <x v="0"/>
    <n v="4"/>
    <n v="5418.72"/>
    <n v="0.15"/>
    <n v="18423.650000000001"/>
    <n v="10608.96"/>
    <n v="7814.69"/>
    <x v="1"/>
    <x v="2"/>
    <x v="1"/>
    <x v="6"/>
    <x v="1"/>
    <n v="0.42416622113424857"/>
  </r>
  <r>
    <x v="1186"/>
    <d v="2025-09-30T00:00:00"/>
    <x v="255"/>
    <x v="1"/>
    <x v="2"/>
    <x v="14"/>
    <n v="5"/>
    <n v="5423.58"/>
    <n v="0"/>
    <n v="27117.9"/>
    <n v="20284.55"/>
    <n v="6833.35"/>
    <x v="1"/>
    <x v="1"/>
    <x v="1"/>
    <x v="4"/>
    <x v="1"/>
    <n v="0.25198669513494776"/>
  </r>
  <r>
    <x v="1187"/>
    <d v="2025-08-04T00:00:00"/>
    <x v="389"/>
    <x v="7"/>
    <x v="3"/>
    <x v="5"/>
    <n v="3"/>
    <n v="5429.23"/>
    <n v="0"/>
    <n v="16287.69"/>
    <n v="12819.83"/>
    <n v="3467.86"/>
    <x v="1"/>
    <x v="2"/>
    <x v="1"/>
    <x v="6"/>
    <x v="1"/>
    <n v="0.21291294222814899"/>
  </r>
  <r>
    <x v="1188"/>
    <d v="2025-01-10T00:00:00"/>
    <x v="211"/>
    <x v="9"/>
    <x v="0"/>
    <x v="1"/>
    <n v="4"/>
    <n v="5432.19"/>
    <n v="0"/>
    <n v="21728.76"/>
    <n v="12325.45"/>
    <n v="9403.31"/>
    <x v="0"/>
    <x v="1"/>
    <x v="1"/>
    <x v="9"/>
    <x v="1"/>
    <n v="0.43275870321178017"/>
  </r>
  <r>
    <x v="1189"/>
    <d v="2026-07-12T00:00:00"/>
    <x v="183"/>
    <x v="2"/>
    <x v="0"/>
    <x v="11"/>
    <n v="2"/>
    <n v="5434.11"/>
    <n v="0.15"/>
    <n v="9237.99"/>
    <n v="6533.09"/>
    <n v="2704.9"/>
    <x v="0"/>
    <x v="2"/>
    <x v="1"/>
    <x v="2"/>
    <x v="0"/>
    <n v="0.29280178913378346"/>
  </r>
  <r>
    <x v="1190"/>
    <d v="2025-08-19T00:00:00"/>
    <x v="368"/>
    <x v="3"/>
    <x v="0"/>
    <x v="9"/>
    <n v="1"/>
    <n v="5435.62"/>
    <n v="0"/>
    <n v="5435.62"/>
    <n v="3773.77"/>
    <n v="1661.85"/>
    <x v="1"/>
    <x v="1"/>
    <x v="0"/>
    <x v="6"/>
    <x v="1"/>
    <n v="0.30573329261427395"/>
  </r>
  <r>
    <x v="1191"/>
    <d v="2025-09-08T00:00:00"/>
    <x v="452"/>
    <x v="9"/>
    <x v="1"/>
    <x v="7"/>
    <n v="2"/>
    <n v="5436.15"/>
    <n v="0"/>
    <n v="10872.3"/>
    <n v="8672.7000000000007"/>
    <n v="2199.6"/>
    <x v="1"/>
    <x v="3"/>
    <x v="1"/>
    <x v="4"/>
    <x v="1"/>
    <n v="0.20231229822576641"/>
  </r>
  <r>
    <x v="1192"/>
    <d v="2026-07-25T00:00:00"/>
    <x v="477"/>
    <x v="5"/>
    <x v="3"/>
    <x v="6"/>
    <n v="3"/>
    <n v="5438.29"/>
    <n v="0.15"/>
    <n v="13867.64"/>
    <n v="9000.6299999999992"/>
    <n v="4867.01"/>
    <x v="1"/>
    <x v="2"/>
    <x v="0"/>
    <x v="2"/>
    <x v="0"/>
    <n v="0.35096166326786682"/>
  </r>
  <r>
    <x v="1193"/>
    <d v="2025-07-20T00:00:00"/>
    <x v="439"/>
    <x v="0"/>
    <x v="0"/>
    <x v="11"/>
    <n v="6"/>
    <n v="5438.87"/>
    <n v="0.15"/>
    <n v="27738.240000000002"/>
    <n v="21331.37"/>
    <n v="6406.87"/>
    <x v="1"/>
    <x v="0"/>
    <x v="1"/>
    <x v="2"/>
    <x v="1"/>
    <n v="0.23097608211624096"/>
  </r>
  <r>
    <x v="1194"/>
    <d v="2025-04-02T00:00:00"/>
    <x v="340"/>
    <x v="8"/>
    <x v="3"/>
    <x v="10"/>
    <n v="4"/>
    <n v="5440.62"/>
    <n v="0"/>
    <n v="21762.48"/>
    <n v="12599.03"/>
    <n v="9163.4500000000007"/>
    <x v="1"/>
    <x v="0"/>
    <x v="1"/>
    <x v="8"/>
    <x v="1"/>
    <n v="0.42106644095709683"/>
  </r>
  <r>
    <x v="1195"/>
    <d v="2025-02-20T00:00:00"/>
    <x v="11"/>
    <x v="9"/>
    <x v="0"/>
    <x v="0"/>
    <n v="5"/>
    <n v="5454.8"/>
    <n v="0.15"/>
    <n v="23182.9"/>
    <n v="18788.45"/>
    <n v="4394.45"/>
    <x v="1"/>
    <x v="3"/>
    <x v="0"/>
    <x v="1"/>
    <x v="1"/>
    <n v="0.18955566387294082"/>
  </r>
  <r>
    <x v="1196"/>
    <d v="2025-07-09T00:00:00"/>
    <x v="192"/>
    <x v="1"/>
    <x v="2"/>
    <x v="3"/>
    <n v="5"/>
    <n v="5469.13"/>
    <n v="0"/>
    <n v="27345.65"/>
    <n v="16749.45"/>
    <n v="10596.2"/>
    <x v="0"/>
    <x v="0"/>
    <x v="1"/>
    <x v="2"/>
    <x v="1"/>
    <n v="0.38749124632254123"/>
  </r>
  <r>
    <x v="1197"/>
    <d v="2025-01-09T00:00:00"/>
    <x v="347"/>
    <x v="4"/>
    <x v="1"/>
    <x v="16"/>
    <n v="6"/>
    <n v="5474.47"/>
    <n v="0.1"/>
    <n v="29562.14"/>
    <n v="16800.759999999998"/>
    <n v="12761.38"/>
    <x v="1"/>
    <x v="0"/>
    <x v="1"/>
    <x v="9"/>
    <x v="1"/>
    <n v="0.43167984455793795"/>
  </r>
  <r>
    <x v="1198"/>
    <d v="2025-01-04T00:00:00"/>
    <x v="67"/>
    <x v="6"/>
    <x v="0"/>
    <x v="1"/>
    <n v="1"/>
    <n v="5486.85"/>
    <n v="0"/>
    <n v="5486.85"/>
    <n v="4371.5200000000004"/>
    <n v="1115.33"/>
    <x v="1"/>
    <x v="0"/>
    <x v="1"/>
    <x v="9"/>
    <x v="1"/>
    <n v="0.20327328066194628"/>
  </r>
  <r>
    <x v="1199"/>
    <d v="2025-07-05T00:00:00"/>
    <x v="306"/>
    <x v="9"/>
    <x v="0"/>
    <x v="9"/>
    <n v="3"/>
    <n v="5487.44"/>
    <n v="0.15"/>
    <n v="13992.97"/>
    <n v="8709.7999999999993"/>
    <n v="5283.17"/>
    <x v="0"/>
    <x v="1"/>
    <x v="1"/>
    <x v="2"/>
    <x v="1"/>
    <n v="0.377558874206119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651F99-304A-4989-BA23-CDC5EBD68520}"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Y2:Z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axis="axisRow" compact="0" outline="0"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
        <item x="1"/>
        <item x="0"/>
        <item t="default"/>
      </items>
    </pivotField>
    <pivotField compact="0" numFmtId="9" outline="0" showAll="0"/>
  </pivotFields>
  <rowFields count="1">
    <field x="13"/>
  </rowFields>
  <rowItems count="5">
    <i>
      <x/>
    </i>
    <i>
      <x v="2"/>
    </i>
    <i>
      <x v="1"/>
    </i>
    <i>
      <x v="3"/>
    </i>
    <i t="grand">
      <x/>
    </i>
  </rowItems>
  <colItems count="1">
    <i/>
  </colItems>
  <dataFields count="1">
    <dataField name="Sum of Sales" fld="9"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34941-E216-47DA-A739-66636493EABD}"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J2:K1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axis="axisRow" compact="0" outline="0" showAll="0">
      <items count="13">
        <item x="9"/>
        <item x="1"/>
        <item x="0"/>
        <item x="8"/>
        <item x="5"/>
        <item x="10"/>
        <item x="2"/>
        <item x="6"/>
        <item x="4"/>
        <item x="11"/>
        <item x="3"/>
        <item x="7"/>
        <item t="default"/>
      </items>
    </pivotField>
    <pivotField compact="0" outline="0" showAll="0">
      <items count="3">
        <item x="1"/>
        <item x="0"/>
        <item t="default"/>
      </items>
    </pivotField>
    <pivotField compact="0" numFmtId="9" outline="0" showAll="0"/>
  </pivotFields>
  <rowFields count="1">
    <field x="15"/>
  </rowFields>
  <rowItems count="13">
    <i>
      <x/>
    </i>
    <i>
      <x v="1"/>
    </i>
    <i>
      <x v="2"/>
    </i>
    <i>
      <x v="3"/>
    </i>
    <i>
      <x v="4"/>
    </i>
    <i>
      <x v="5"/>
    </i>
    <i>
      <x v="6"/>
    </i>
    <i>
      <x v="7"/>
    </i>
    <i>
      <x v="8"/>
    </i>
    <i>
      <x v="9"/>
    </i>
    <i>
      <x v="10"/>
    </i>
    <i>
      <x v="11"/>
    </i>
    <i t="grand">
      <x/>
    </i>
  </rowItems>
  <colItems count="1">
    <i/>
  </colItems>
  <dataFields count="1">
    <dataField name="Sum of Sales" fld="9" baseField="0" baseItem="0" numFmtId="165"/>
  </dataFields>
  <formats count="1">
    <format dxfId="1">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5A3969-9ACC-4459-AEDA-419505FEEF89}"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V2:W481" firstHeaderRow="1" firstDataRow="1" firstDataCol="1"/>
  <pivotFields count="18">
    <pivotField compact="0" outline="0" showAll="0"/>
    <pivotField compact="0" numFmtId="164" outline="0" showAll="0"/>
    <pivotField axis="axisRow" compact="0" outline="0" showAll="0" sortType="descending">
      <items count="479">
        <item x="42"/>
        <item x="25"/>
        <item x="105"/>
        <item x="288"/>
        <item x="403"/>
        <item x="351"/>
        <item x="456"/>
        <item x="299"/>
        <item x="336"/>
        <item x="459"/>
        <item x="71"/>
        <item x="223"/>
        <item x="376"/>
        <item x="392"/>
        <item x="171"/>
        <item x="158"/>
        <item x="106"/>
        <item x="380"/>
        <item x="114"/>
        <item x="199"/>
        <item x="64"/>
        <item x="29"/>
        <item x="282"/>
        <item x="395"/>
        <item x="397"/>
        <item x="361"/>
        <item x="428"/>
        <item x="143"/>
        <item x="53"/>
        <item x="273"/>
        <item x="266"/>
        <item x="302"/>
        <item x="345"/>
        <item x="12"/>
        <item x="180"/>
        <item x="391"/>
        <item x="413"/>
        <item x="472"/>
        <item x="360"/>
        <item x="310"/>
        <item x="69"/>
        <item x="252"/>
        <item x="468"/>
        <item x="128"/>
        <item x="262"/>
        <item x="393"/>
        <item x="417"/>
        <item x="57"/>
        <item x="423"/>
        <item x="83"/>
        <item x="401"/>
        <item x="88"/>
        <item x="270"/>
        <item x="402"/>
        <item x="433"/>
        <item x="408"/>
        <item x="322"/>
        <item x="473"/>
        <item x="39"/>
        <item x="276"/>
        <item x="87"/>
        <item x="195"/>
        <item x="186"/>
        <item x="298"/>
        <item x="254"/>
        <item x="449"/>
        <item x="236"/>
        <item x="411"/>
        <item x="268"/>
        <item x="452"/>
        <item x="303"/>
        <item x="47"/>
        <item x="367"/>
        <item x="338"/>
        <item x="443"/>
        <item x="466"/>
        <item x="244"/>
        <item x="426"/>
        <item x="440"/>
        <item x="133"/>
        <item x="404"/>
        <item x="385"/>
        <item x="346"/>
        <item x="238"/>
        <item x="213"/>
        <item x="259"/>
        <item x="138"/>
        <item x="314"/>
        <item x="269"/>
        <item x="227"/>
        <item x="469"/>
        <item x="146"/>
        <item x="127"/>
        <item x="461"/>
        <item x="349"/>
        <item x="353"/>
        <item x="319"/>
        <item x="97"/>
        <item x="430"/>
        <item x="214"/>
        <item x="179"/>
        <item x="396"/>
        <item x="21"/>
        <item x="293"/>
        <item x="73"/>
        <item x="67"/>
        <item x="183"/>
        <item x="202"/>
        <item x="253"/>
        <item x="115"/>
        <item x="9"/>
        <item x="464"/>
        <item x="65"/>
        <item x="145"/>
        <item x="174"/>
        <item x="328"/>
        <item x="412"/>
        <item x="48"/>
        <item x="70"/>
        <item x="406"/>
        <item x="261"/>
        <item x="92"/>
        <item x="104"/>
        <item x="421"/>
        <item x="230"/>
        <item x="235"/>
        <item x="455"/>
        <item x="1"/>
        <item x="278"/>
        <item x="136"/>
        <item x="229"/>
        <item x="446"/>
        <item x="156"/>
        <item x="323"/>
        <item x="100"/>
        <item x="279"/>
        <item x="377"/>
        <item x="416"/>
        <item x="467"/>
        <item x="450"/>
        <item x="36"/>
        <item x="343"/>
        <item x="368"/>
        <item x="0"/>
        <item x="30"/>
        <item x="45"/>
        <item x="436"/>
        <item x="66"/>
        <item x="172"/>
        <item x="321"/>
        <item x="371"/>
        <item x="325"/>
        <item x="263"/>
        <item x="8"/>
        <item x="134"/>
        <item x="437"/>
        <item x="398"/>
        <item x="224"/>
        <item x="162"/>
        <item x="124"/>
        <item x="210"/>
        <item x="205"/>
        <item x="475"/>
        <item x="358"/>
        <item x="339"/>
        <item x="194"/>
        <item x="386"/>
        <item x="291"/>
        <item x="220"/>
        <item x="76"/>
        <item x="151"/>
        <item x="356"/>
        <item x="38"/>
        <item x="304"/>
        <item x="193"/>
        <item x="32"/>
        <item x="154"/>
        <item x="352"/>
        <item x="163"/>
        <item x="164"/>
        <item x="188"/>
        <item x="462"/>
        <item x="4"/>
        <item x="63"/>
        <item x="196"/>
        <item x="43"/>
        <item x="79"/>
        <item x="272"/>
        <item x="33"/>
        <item x="429"/>
        <item x="457"/>
        <item x="5"/>
        <item x="441"/>
        <item x="434"/>
        <item x="107"/>
        <item x="247"/>
        <item x="189"/>
        <item x="185"/>
        <item x="140"/>
        <item x="168"/>
        <item x="123"/>
        <item x="333"/>
        <item x="474"/>
        <item x="108"/>
        <item x="37"/>
        <item x="274"/>
        <item x="225"/>
        <item x="372"/>
        <item x="373"/>
        <item x="256"/>
        <item x="59"/>
        <item x="341"/>
        <item x="243"/>
        <item x="74"/>
        <item x="139"/>
        <item x="350"/>
        <item x="277"/>
        <item x="400"/>
        <item x="182"/>
        <item x="160"/>
        <item x="382"/>
        <item x="306"/>
        <item x="86"/>
        <item x="444"/>
        <item x="60"/>
        <item x="379"/>
        <item x="130"/>
        <item x="275"/>
        <item x="233"/>
        <item x="470"/>
        <item x="307"/>
        <item x="267"/>
        <item x="390"/>
        <item x="364"/>
        <item x="184"/>
        <item x="331"/>
        <item x="410"/>
        <item x="283"/>
        <item x="150"/>
        <item x="144"/>
        <item x="422"/>
        <item x="311"/>
        <item x="290"/>
        <item x="250"/>
        <item x="257"/>
        <item x="22"/>
        <item x="381"/>
        <item x="28"/>
        <item x="415"/>
        <item x="91"/>
        <item x="112"/>
        <item x="387"/>
        <item x="206"/>
        <item x="23"/>
        <item x="24"/>
        <item x="153"/>
        <item x="348"/>
        <item x="407"/>
        <item x="131"/>
        <item x="285"/>
        <item x="35"/>
        <item x="161"/>
        <item x="476"/>
        <item x="157"/>
        <item x="305"/>
        <item x="13"/>
        <item x="118"/>
        <item x="370"/>
        <item x="405"/>
        <item x="61"/>
        <item x="384"/>
        <item x="204"/>
        <item x="286"/>
        <item x="95"/>
        <item x="217"/>
        <item x="357"/>
        <item x="113"/>
        <item x="50"/>
        <item x="312"/>
        <item x="135"/>
        <item x="363"/>
        <item x="99"/>
        <item x="34"/>
        <item x="241"/>
        <item x="249"/>
        <item x="211"/>
        <item x="110"/>
        <item x="394"/>
        <item x="226"/>
        <item x="89"/>
        <item x="119"/>
        <item x="383"/>
        <item x="142"/>
        <item x="458"/>
        <item x="82"/>
        <item x="258"/>
        <item x="40"/>
        <item x="329"/>
        <item x="448"/>
        <item x="460"/>
        <item x="246"/>
        <item x="245"/>
        <item x="308"/>
        <item x="159"/>
        <item x="111"/>
        <item x="399"/>
        <item x="58"/>
        <item x="418"/>
        <item x="7"/>
        <item x="317"/>
        <item x="62"/>
        <item x="175"/>
        <item x="14"/>
        <item x="284"/>
        <item x="260"/>
        <item x="56"/>
        <item x="84"/>
        <item x="10"/>
        <item x="137"/>
        <item x="46"/>
        <item x="55"/>
        <item x="294"/>
        <item x="231"/>
        <item x="3"/>
        <item x="109"/>
        <item x="166"/>
        <item x="425"/>
        <item x="313"/>
        <item x="41"/>
        <item x="239"/>
        <item x="77"/>
        <item x="388"/>
        <item x="318"/>
        <item x="191"/>
        <item x="192"/>
        <item x="271"/>
        <item x="327"/>
        <item x="300"/>
        <item x="463"/>
        <item x="173"/>
        <item x="216"/>
        <item x="337"/>
        <item x="187"/>
        <item x="221"/>
        <item x="332"/>
        <item x="289"/>
        <item x="6"/>
        <item x="78"/>
        <item x="147"/>
        <item x="438"/>
        <item x="222"/>
        <item x="116"/>
        <item x="326"/>
        <item x="477"/>
        <item x="170"/>
        <item x="68"/>
        <item x="234"/>
        <item x="301"/>
        <item x="167"/>
        <item x="15"/>
        <item x="369"/>
        <item x="409"/>
        <item x="94"/>
        <item x="295"/>
        <item x="375"/>
        <item x="155"/>
        <item x="75"/>
        <item x="218"/>
        <item x="52"/>
        <item x="120"/>
        <item x="374"/>
        <item x="54"/>
        <item x="17"/>
        <item x="31"/>
        <item x="51"/>
        <item x="85"/>
        <item x="152"/>
        <item x="117"/>
        <item x="132"/>
        <item x="148"/>
        <item x="212"/>
        <item x="292"/>
        <item x="101"/>
        <item x="149"/>
        <item x="465"/>
        <item x="49"/>
        <item x="297"/>
        <item x="176"/>
        <item x="2"/>
        <item x="27"/>
        <item x="330"/>
        <item x="414"/>
        <item x="26"/>
        <item x="280"/>
        <item x="165"/>
        <item x="80"/>
        <item x="342"/>
        <item x="198"/>
        <item x="251"/>
        <item x="228"/>
        <item x="102"/>
        <item x="431"/>
        <item x="20"/>
        <item x="420"/>
        <item x="366"/>
        <item x="11"/>
        <item x="232"/>
        <item x="355"/>
        <item x="125"/>
        <item x="207"/>
        <item x="177"/>
        <item x="240"/>
        <item x="141"/>
        <item x="344"/>
        <item x="324"/>
        <item x="90"/>
        <item x="265"/>
        <item x="248"/>
        <item x="129"/>
        <item x="454"/>
        <item x="432"/>
        <item x="169"/>
        <item x="359"/>
        <item x="264"/>
        <item x="16"/>
        <item x="98"/>
        <item x="215"/>
        <item x="209"/>
        <item x="419"/>
        <item x="201"/>
        <item x="121"/>
        <item x="354"/>
        <item x="219"/>
        <item x="471"/>
        <item x="335"/>
        <item x="340"/>
        <item x="315"/>
        <item x="203"/>
        <item x="190"/>
        <item x="347"/>
        <item x="316"/>
        <item x="389"/>
        <item x="181"/>
        <item x="44"/>
        <item x="103"/>
        <item x="72"/>
        <item x="237"/>
        <item x="424"/>
        <item x="334"/>
        <item x="365"/>
        <item x="122"/>
        <item x="309"/>
        <item x="427"/>
        <item x="451"/>
        <item x="208"/>
        <item x="96"/>
        <item x="178"/>
        <item x="320"/>
        <item x="126"/>
        <item x="362"/>
        <item x="442"/>
        <item x="439"/>
        <item x="197"/>
        <item x="255"/>
        <item x="81"/>
        <item x="296"/>
        <item x="93"/>
        <item x="200"/>
        <item x="242"/>
        <item x="19"/>
        <item x="447"/>
        <item x="18"/>
        <item x="435"/>
        <item x="453"/>
        <item x="445"/>
        <item x="378"/>
        <item x="281"/>
        <item x="287"/>
        <item t="default"/>
      </items>
      <autoSortScope>
        <pivotArea dataOnly="0" outline="0" fieldPosition="0">
          <references count="1">
            <reference field="4294967294" count="1" selected="0">
              <x v="0"/>
            </reference>
          </references>
        </pivotArea>
      </autoSortScope>
    </pivotField>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2"/>
  </rowFields>
  <rowItems count="479">
    <i>
      <x v="213"/>
    </i>
    <i>
      <x v="390"/>
    </i>
    <i>
      <x v="144"/>
    </i>
    <i>
      <x v="427"/>
    </i>
    <i>
      <x v="457"/>
    </i>
    <i>
      <x v="249"/>
    </i>
    <i>
      <x v="302"/>
    </i>
    <i>
      <x v="151"/>
    </i>
    <i>
      <x v="288"/>
    </i>
    <i>
      <x v="280"/>
    </i>
    <i>
      <x v="128"/>
    </i>
    <i>
      <x v="357"/>
    </i>
    <i>
      <x v="24"/>
    </i>
    <i>
      <x v="174"/>
    </i>
    <i>
      <x v="60"/>
    </i>
    <i>
      <x v="102"/>
    </i>
    <i>
      <x v="292"/>
    </i>
    <i>
      <x v="233"/>
    </i>
    <i>
      <x v="133"/>
    </i>
    <i>
      <x v="387"/>
    </i>
    <i>
      <x v="305"/>
    </i>
    <i>
      <x v="273"/>
    </i>
    <i>
      <x v="430"/>
    </i>
    <i>
      <x v="295"/>
    </i>
    <i>
      <x v="111"/>
    </i>
    <i>
      <x v="389"/>
    </i>
    <i>
      <x v="437"/>
    </i>
    <i>
      <x v="286"/>
    </i>
    <i>
      <x v="278"/>
    </i>
    <i>
      <x v="391"/>
    </i>
    <i>
      <x v="259"/>
    </i>
    <i>
      <x v="51"/>
    </i>
    <i>
      <x v="471"/>
    </i>
    <i>
      <x v="414"/>
    </i>
    <i>
      <x v="53"/>
    </i>
    <i>
      <x v="266"/>
    </i>
    <i>
      <x v="406"/>
    </i>
    <i>
      <x v="350"/>
    </i>
    <i>
      <x v="454"/>
    </i>
    <i>
      <x v="208"/>
    </i>
    <i>
      <x v="456"/>
    </i>
    <i>
      <x v="183"/>
    </i>
    <i>
      <x v="79"/>
    </i>
    <i>
      <x v="461"/>
    </i>
    <i>
      <x v="341"/>
    </i>
    <i>
      <x v="422"/>
    </i>
    <i>
      <x v="14"/>
    </i>
    <i>
      <x v="415"/>
    </i>
    <i>
      <x v="228"/>
    </i>
    <i>
      <x v="365"/>
    </i>
    <i>
      <x v="354"/>
    </i>
    <i>
      <x v="244"/>
    </i>
    <i>
      <x v="121"/>
    </i>
    <i>
      <x v="157"/>
    </i>
    <i>
      <x v="29"/>
    </i>
    <i>
      <x v="158"/>
    </i>
    <i>
      <x v="374"/>
    </i>
    <i>
      <x v="69"/>
    </i>
    <i>
      <x v="61"/>
    </i>
    <i>
      <x v="12"/>
    </i>
    <i>
      <x v="327"/>
    </i>
    <i>
      <x v="64"/>
    </i>
    <i>
      <x v="321"/>
    </i>
    <i>
      <x v="85"/>
    </i>
    <i>
      <x v="334"/>
    </i>
    <i>
      <x v="212"/>
    </i>
    <i>
      <x v="219"/>
    </i>
    <i>
      <x v="175"/>
    </i>
    <i>
      <x v="16"/>
    </i>
    <i>
      <x v="154"/>
    </i>
    <i>
      <x v="211"/>
    </i>
    <i>
      <x v="405"/>
    </i>
    <i>
      <x v="330"/>
    </i>
    <i>
      <x v="67"/>
    </i>
    <i>
      <x v="205"/>
    </i>
    <i>
      <x v="369"/>
    </i>
    <i>
      <x v="358"/>
    </i>
    <i>
      <x v="463"/>
    </i>
    <i>
      <x v="320"/>
    </i>
    <i>
      <x v="281"/>
    </i>
    <i>
      <x v="18"/>
    </i>
    <i>
      <x v="256"/>
    </i>
    <i>
      <x v="196"/>
    </i>
    <i>
      <x v="15"/>
    </i>
    <i>
      <x v="298"/>
    </i>
    <i>
      <x v="116"/>
    </i>
    <i>
      <x v="99"/>
    </i>
    <i>
      <x v="218"/>
    </i>
    <i>
      <x v="82"/>
    </i>
    <i>
      <x v="400"/>
    </i>
    <i>
      <x v="38"/>
    </i>
    <i>
      <x v="221"/>
    </i>
    <i>
      <x v="388"/>
    </i>
    <i>
      <x v="209"/>
    </i>
    <i>
      <x v="431"/>
    </i>
    <i>
      <x v="399"/>
    </i>
    <i>
      <x v="227"/>
    </i>
    <i>
      <x v="402"/>
    </i>
    <i>
      <x v="171"/>
    </i>
    <i>
      <x v="439"/>
    </i>
    <i>
      <x v="33"/>
    </i>
    <i>
      <x v="378"/>
    </i>
    <i>
      <x v="275"/>
    </i>
    <i>
      <x v="55"/>
    </i>
    <i>
      <x v="220"/>
    </i>
    <i>
      <x v="155"/>
    </i>
    <i>
      <x v="37"/>
    </i>
    <i>
      <x v="119"/>
    </i>
    <i>
      <x v="393"/>
    </i>
    <i>
      <x v="417"/>
    </i>
    <i>
      <x v="472"/>
    </i>
    <i>
      <x v="134"/>
    </i>
    <i>
      <x v="103"/>
    </i>
    <i>
      <x v="412"/>
    </i>
    <i>
      <x v="475"/>
    </i>
    <i>
      <x v="204"/>
    </i>
    <i>
      <x v="170"/>
    </i>
    <i>
      <x v="267"/>
    </i>
    <i>
      <x v="338"/>
    </i>
    <i>
      <x v="150"/>
    </i>
    <i>
      <x v="189"/>
    </i>
    <i>
      <x v="445"/>
    </i>
    <i>
      <x v="108"/>
    </i>
    <i>
      <x v="210"/>
    </i>
    <i>
      <x v="459"/>
    </i>
    <i>
      <x v="77"/>
    </i>
    <i>
      <x v="25"/>
    </i>
    <i>
      <x v="194"/>
    </i>
    <i>
      <x v="147"/>
    </i>
    <i>
      <x v="1"/>
    </i>
    <i>
      <x v="441"/>
    </i>
    <i>
      <x v="464"/>
    </i>
    <i>
      <x v="325"/>
    </i>
    <i>
      <x v="284"/>
    </i>
    <i>
      <x v="135"/>
    </i>
    <i>
      <x v="241"/>
    </i>
    <i>
      <x v="291"/>
    </i>
    <i>
      <x v="467"/>
    </i>
    <i>
      <x v="198"/>
    </i>
    <i>
      <x v="370"/>
    </i>
    <i>
      <x v="5"/>
    </i>
    <i>
      <x v="58"/>
    </i>
    <i>
      <x v="203"/>
    </i>
    <i>
      <x v="328"/>
    </i>
    <i>
      <x v="434"/>
    </i>
    <i>
      <x v="113"/>
    </i>
    <i>
      <x v="355"/>
    </i>
    <i>
      <x v="285"/>
    </i>
    <i>
      <x v="476"/>
    </i>
    <i>
      <x v="276"/>
    </i>
    <i>
      <x v="172"/>
    </i>
    <i>
      <x v="435"/>
    </i>
    <i>
      <x v="185"/>
    </i>
    <i>
      <x v="177"/>
    </i>
    <i>
      <x v="200"/>
    </i>
    <i>
      <x v="287"/>
    </i>
    <i>
      <x v="300"/>
    </i>
    <i>
      <x v="83"/>
    </i>
    <i>
      <x v="245"/>
    </i>
    <i>
      <x v="231"/>
    </i>
    <i>
      <x v="272"/>
    </i>
    <i>
      <x v="332"/>
    </i>
    <i>
      <x v="283"/>
    </i>
    <i>
      <x v="138"/>
    </i>
    <i>
      <x v="54"/>
    </i>
    <i>
      <x v="168"/>
    </i>
    <i>
      <x v="76"/>
    </i>
    <i>
      <x v="9"/>
    </i>
    <i>
      <x v="109"/>
    </i>
    <i>
      <x v="438"/>
    </i>
    <i>
      <x v="3"/>
    </i>
    <i>
      <x v="181"/>
    </i>
    <i>
      <x v="407"/>
    </i>
    <i>
      <x v="162"/>
    </i>
    <i>
      <x v="98"/>
    </i>
    <i>
      <x v="329"/>
    </i>
    <i>
      <x v="26"/>
    </i>
    <i>
      <x v="238"/>
    </i>
    <i>
      <x v="253"/>
    </i>
    <i>
      <x v="222"/>
    </i>
    <i>
      <x v="263"/>
    </i>
    <i>
      <x v="264"/>
    </i>
    <i>
      <x v="131"/>
    </i>
    <i>
      <x v="303"/>
    </i>
    <i>
      <x v="169"/>
    </i>
    <i>
      <x v="346"/>
    </i>
    <i>
      <x v="260"/>
    </i>
    <i>
      <x v="224"/>
    </i>
    <i>
      <x v="474"/>
    </i>
    <i>
      <x v="40"/>
    </i>
    <i>
      <x v="167"/>
    </i>
    <i>
      <x v="206"/>
    </i>
    <i>
      <x v="192"/>
    </i>
    <i>
      <x v="411"/>
    </i>
    <i>
      <x v="104"/>
    </i>
    <i>
      <x v="271"/>
    </i>
    <i>
      <x v="455"/>
    </i>
    <i>
      <x v="452"/>
    </i>
    <i>
      <x v="21"/>
    </i>
    <i>
      <x v="356"/>
    </i>
    <i>
      <x v="296"/>
    </i>
    <i>
      <x v="23"/>
    </i>
    <i>
      <x v="246"/>
    </i>
    <i>
      <x v="57"/>
    </i>
    <i>
      <x v="164"/>
    </i>
    <i>
      <x v="27"/>
    </i>
    <i>
      <x v="117"/>
    </i>
    <i>
      <x v="420"/>
    </i>
    <i>
      <x v="146"/>
    </i>
    <i>
      <x v="187"/>
    </i>
    <i>
      <x v="62"/>
    </i>
    <i>
      <x v="313"/>
    </i>
    <i>
      <x v="428"/>
    </i>
    <i>
      <x v="317"/>
    </i>
    <i>
      <x v="159"/>
    </i>
    <i>
      <x v="52"/>
    </i>
    <i>
      <x v="460"/>
    </i>
    <i>
      <x v="191"/>
    </i>
    <i>
      <x v="28"/>
    </i>
    <i>
      <x v="10"/>
    </i>
    <i>
      <x v="352"/>
    </i>
    <i>
      <x v="343"/>
    </i>
    <i>
      <x v="243"/>
    </i>
    <i>
      <x v="380"/>
    </i>
    <i>
      <x v="469"/>
    </i>
    <i>
      <x v="403"/>
    </i>
    <i>
      <x v="78"/>
    </i>
    <i>
      <x v="251"/>
    </i>
    <i>
      <x v="230"/>
    </i>
    <i>
      <x v="348"/>
    </i>
    <i>
      <x v="68"/>
    </i>
    <i>
      <x v="124"/>
    </i>
    <i>
      <x v="410"/>
    </i>
    <i>
      <x v="129"/>
    </i>
    <i>
      <x v="324"/>
    </i>
    <i>
      <x v="379"/>
    </i>
    <i>
      <x v="359"/>
    </i>
    <i>
      <x v="110"/>
    </i>
    <i>
      <x v="13"/>
    </i>
    <i>
      <x v="326"/>
    </i>
    <i>
      <x v="240"/>
    </i>
    <i>
      <x v="447"/>
    </i>
    <i>
      <x v="6"/>
    </i>
    <i>
      <x v="143"/>
    </i>
    <i>
      <x v="149"/>
    </i>
    <i>
      <x v="366"/>
    </i>
    <i>
      <x v="179"/>
    </i>
    <i>
      <x v="137"/>
    </i>
    <i>
      <x v="161"/>
    </i>
    <i>
      <x v="71"/>
    </i>
    <i>
      <x v="72"/>
    </i>
    <i>
      <x v="448"/>
    </i>
    <i>
      <x v="364"/>
    </i>
    <i>
      <x v="229"/>
    </i>
    <i>
      <x v="342"/>
    </i>
    <i>
      <x v="75"/>
    </i>
    <i>
      <x v="397"/>
    </i>
    <i>
      <x v="237"/>
    </i>
    <i>
      <x v="31"/>
    </i>
    <i>
      <x v="39"/>
    </i>
    <i>
      <x v="372"/>
    </i>
    <i>
      <x v="145"/>
    </i>
    <i>
      <x v="250"/>
    </i>
    <i>
      <x v="373"/>
    </i>
    <i>
      <x v="42"/>
    </i>
    <i>
      <x v="30"/>
    </i>
    <i>
      <x v="371"/>
    </i>
    <i>
      <x v="262"/>
    </i>
    <i>
      <x v="470"/>
    </i>
    <i>
      <x v="106"/>
    </i>
    <i>
      <x v="223"/>
    </i>
    <i>
      <x v="123"/>
    </i>
    <i>
      <x v="125"/>
    </i>
    <i>
      <x v="84"/>
    </i>
    <i>
      <x v="226"/>
    </i>
    <i>
      <x v="4"/>
    </i>
    <i>
      <x v="242"/>
    </i>
    <i>
      <x v="142"/>
    </i>
    <i>
      <x v="100"/>
    </i>
    <i>
      <x v="450"/>
    </i>
    <i>
      <x v="468"/>
    </i>
    <i>
      <x v="81"/>
    </i>
    <i>
      <x v="394"/>
    </i>
    <i>
      <x v="46"/>
    </i>
    <i>
      <x v="477"/>
    </i>
    <i>
      <x v="214"/>
    </i>
    <i>
      <x v="44"/>
    </i>
    <i>
      <x v="35"/>
    </i>
    <i>
      <x v="114"/>
    </i>
    <i>
      <x v="293"/>
    </i>
    <i>
      <x v="404"/>
    </i>
    <i>
      <x v="184"/>
    </i>
    <i>
      <x v="215"/>
    </i>
    <i>
      <x v="232"/>
    </i>
    <i>
      <x v="105"/>
    </i>
    <i>
      <x v="45"/>
    </i>
    <i>
      <x v="201"/>
    </i>
    <i>
      <x v="277"/>
    </i>
    <i>
      <x v="225"/>
    </i>
    <i>
      <x v="423"/>
    </i>
    <i>
      <x v="247"/>
    </i>
    <i>
      <x v="36"/>
    </i>
    <i>
      <x v="127"/>
    </i>
    <i>
      <x v="401"/>
    </i>
    <i>
      <x v="466"/>
    </i>
    <i>
      <x v="382"/>
    </i>
    <i>
      <x v="56"/>
    </i>
    <i>
      <x v="202"/>
    </i>
    <i>
      <x v="319"/>
    </i>
    <i>
      <x v="118"/>
    </i>
    <i>
      <x v="156"/>
    </i>
    <i>
      <x v="336"/>
    </i>
    <i>
      <x v="299"/>
    </i>
    <i>
      <x v="180"/>
    </i>
    <i>
      <x v="92"/>
    </i>
    <i>
      <x v="297"/>
    </i>
    <i>
      <x v="261"/>
    </i>
    <i>
      <x v="396"/>
    </i>
    <i>
      <x v="294"/>
    </i>
    <i>
      <x v="309"/>
    </i>
    <i>
      <x v="353"/>
    </i>
    <i>
      <x v="239"/>
    </i>
    <i>
      <x v="308"/>
    </i>
    <i>
      <x v="333"/>
    </i>
    <i>
      <x v="107"/>
    </i>
    <i>
      <x v="316"/>
    </i>
    <i>
      <x v="70"/>
    </i>
    <i>
      <x v="361"/>
    </i>
    <i>
      <x v="351"/>
    </i>
    <i>
      <x v="335"/>
    </i>
    <i>
      <x v="101"/>
    </i>
    <i>
      <x v="8"/>
    </i>
    <i>
      <x v="136"/>
    </i>
    <i>
      <x v="367"/>
    </i>
    <i>
      <x v="160"/>
    </i>
    <i>
      <x v="453"/>
    </i>
    <i>
      <x v="465"/>
    </i>
    <i>
      <x v="34"/>
    </i>
    <i>
      <x v="269"/>
    </i>
    <i>
      <x v="115"/>
    </i>
    <i>
      <x v="163"/>
    </i>
    <i>
      <x v="193"/>
    </i>
    <i>
      <x v="362"/>
    </i>
    <i>
      <x v="96"/>
    </i>
    <i>
      <x v="89"/>
    </i>
    <i>
      <x v="17"/>
    </i>
    <i>
      <x v="440"/>
    </i>
    <i>
      <x v="217"/>
    </i>
    <i>
      <x v="63"/>
    </i>
    <i>
      <x v="386"/>
    </i>
    <i>
      <x v="41"/>
    </i>
    <i>
      <x/>
    </i>
    <i>
      <x v="80"/>
    </i>
    <i>
      <x v="425"/>
    </i>
    <i>
      <x v="376"/>
    </i>
    <i>
      <x v="331"/>
    </i>
    <i>
      <x v="166"/>
    </i>
    <i>
      <x v="345"/>
    </i>
    <i>
      <x v="32"/>
    </i>
    <i>
      <x v="178"/>
    </i>
    <i>
      <x v="306"/>
    </i>
    <i>
      <x v="207"/>
    </i>
    <i>
      <x v="188"/>
    </i>
    <i>
      <x v="279"/>
    </i>
    <i>
      <x v="421"/>
    </i>
    <i>
      <x v="49"/>
    </i>
    <i>
      <x v="199"/>
    </i>
    <i>
      <x v="307"/>
    </i>
    <i>
      <x v="375"/>
    </i>
    <i>
      <x v="274"/>
    </i>
    <i>
      <x v="48"/>
    </i>
    <i>
      <x v="19"/>
    </i>
    <i>
      <x v="95"/>
    </i>
    <i>
      <x v="339"/>
    </i>
    <i>
      <x v="130"/>
    </i>
    <i>
      <x v="347"/>
    </i>
    <i>
      <x v="462"/>
    </i>
    <i>
      <x v="88"/>
    </i>
    <i>
      <x v="442"/>
    </i>
    <i>
      <x v="318"/>
    </i>
    <i>
      <x v="312"/>
    </i>
    <i>
      <x v="258"/>
    </i>
    <i>
      <x v="433"/>
    </i>
    <i>
      <x v="416"/>
    </i>
    <i>
      <x v="90"/>
    </i>
    <i>
      <x v="190"/>
    </i>
    <i>
      <x v="314"/>
    </i>
    <i>
      <x v="59"/>
    </i>
    <i>
      <x v="451"/>
    </i>
    <i>
      <x v="381"/>
    </i>
    <i>
      <x v="337"/>
    </i>
    <i>
      <x v="7"/>
    </i>
    <i>
      <x v="91"/>
    </i>
    <i>
      <x v="126"/>
    </i>
    <i>
      <x v="301"/>
    </i>
    <i>
      <x v="444"/>
    </i>
    <i>
      <x v="255"/>
    </i>
    <i>
      <x v="289"/>
    </i>
    <i>
      <x v="360"/>
    </i>
    <i>
      <x v="65"/>
    </i>
    <i>
      <x v="426"/>
    </i>
    <i>
      <x v="322"/>
    </i>
    <i>
      <x v="398"/>
    </i>
    <i>
      <x v="265"/>
    </i>
    <i>
      <x v="140"/>
    </i>
    <i>
      <x v="173"/>
    </i>
    <i>
      <x v="458"/>
    </i>
    <i>
      <x v="141"/>
    </i>
    <i>
      <x v="252"/>
    </i>
    <i>
      <x v="268"/>
    </i>
    <i>
      <x v="122"/>
    </i>
    <i>
      <x v="340"/>
    </i>
    <i>
      <x v="344"/>
    </i>
    <i>
      <x v="290"/>
    </i>
    <i>
      <x v="73"/>
    </i>
    <i>
      <x v="446"/>
    </i>
    <i>
      <x v="315"/>
    </i>
    <i>
      <x v="395"/>
    </i>
    <i>
      <x v="248"/>
    </i>
    <i>
      <x v="408"/>
    </i>
    <i>
      <x v="409"/>
    </i>
    <i>
      <x v="216"/>
    </i>
    <i>
      <x v="385"/>
    </i>
    <i>
      <x v="186"/>
    </i>
    <i>
      <x v="47"/>
    </i>
    <i>
      <x v="436"/>
    </i>
    <i>
      <x v="87"/>
    </i>
    <i>
      <x v="20"/>
    </i>
    <i>
      <x v="449"/>
    </i>
    <i>
      <x v="153"/>
    </i>
    <i>
      <x v="311"/>
    </i>
    <i>
      <x v="86"/>
    </i>
    <i>
      <x v="132"/>
    </i>
    <i>
      <x v="368"/>
    </i>
    <i>
      <x v="384"/>
    </i>
    <i>
      <x v="323"/>
    </i>
    <i>
      <x v="282"/>
    </i>
    <i>
      <x v="413"/>
    </i>
    <i>
      <x v="383"/>
    </i>
    <i>
      <x v="2"/>
    </i>
    <i>
      <x v="74"/>
    </i>
    <i>
      <x v="93"/>
    </i>
    <i>
      <x v="419"/>
    </i>
    <i>
      <x v="473"/>
    </i>
    <i>
      <x v="235"/>
    </i>
    <i>
      <x v="139"/>
    </i>
    <i>
      <x v="197"/>
    </i>
    <i>
      <x v="234"/>
    </i>
    <i>
      <x v="152"/>
    </i>
    <i>
      <x v="22"/>
    </i>
    <i>
      <x v="349"/>
    </i>
    <i>
      <x v="432"/>
    </i>
    <i>
      <x v="304"/>
    </i>
    <i>
      <x v="43"/>
    </i>
    <i>
      <x v="257"/>
    </i>
    <i>
      <x v="270"/>
    </i>
    <i>
      <x v="254"/>
    </i>
    <i>
      <x v="392"/>
    </i>
    <i>
      <x v="148"/>
    </i>
    <i>
      <x v="236"/>
    </i>
    <i>
      <x v="182"/>
    </i>
    <i>
      <x v="50"/>
    </i>
    <i>
      <x v="66"/>
    </i>
    <i>
      <x v="165"/>
    </i>
    <i>
      <x v="94"/>
    </i>
    <i>
      <x v="363"/>
    </i>
    <i>
      <x v="310"/>
    </i>
    <i>
      <x v="120"/>
    </i>
    <i>
      <x v="195"/>
    </i>
    <i>
      <x v="418"/>
    </i>
    <i>
      <x v="429"/>
    </i>
    <i>
      <x v="11"/>
    </i>
    <i>
      <x v="97"/>
    </i>
    <i>
      <x v="424"/>
    </i>
    <i>
      <x v="176"/>
    </i>
    <i>
      <x v="377"/>
    </i>
    <i>
      <x v="112"/>
    </i>
    <i>
      <x v="443"/>
    </i>
    <i t="grand">
      <x/>
    </i>
  </rowItems>
  <colItems count="1">
    <i/>
  </colItems>
  <dataFields count="1">
    <dataField name="Sum of Sales" fld="9" baseField="0" baseItem="0" numFmtId="165"/>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795044-CEB0-4610-B917-109DD943A706}"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G2:H14" firstHeaderRow="1" firstDataRow="1" firstDataCol="1"/>
  <pivotFields count="18">
    <pivotField compact="0" outline="0" showAll="0"/>
    <pivotField compact="0" numFmtId="164" outline="0" showAll="0"/>
    <pivotField compact="0" outline="0" showAll="0"/>
    <pivotField axis="axisRow" compact="0" outline="0" showAll="0" sortType="descending">
      <items count="12">
        <item x="4"/>
        <item x="9"/>
        <item x="2"/>
        <item x="1"/>
        <item x="6"/>
        <item x="8"/>
        <item x="3"/>
        <item x="7"/>
        <item x="0"/>
        <item x="5"/>
        <item x="10"/>
        <item t="default"/>
      </items>
      <autoSortScope>
        <pivotArea dataOnly="0" outline="0" fieldPosition="0">
          <references count="1">
            <reference field="4294967294" count="1" selected="0">
              <x v="0"/>
            </reference>
          </references>
        </pivotArea>
      </autoSortScope>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3"/>
  </rowFields>
  <rowItems count="12">
    <i>
      <x v="7"/>
    </i>
    <i>
      <x v="1"/>
    </i>
    <i>
      <x/>
    </i>
    <i>
      <x v="4"/>
    </i>
    <i>
      <x v="8"/>
    </i>
    <i>
      <x v="9"/>
    </i>
    <i>
      <x v="2"/>
    </i>
    <i>
      <x v="5"/>
    </i>
    <i>
      <x v="6"/>
    </i>
    <i>
      <x v="3"/>
    </i>
    <i>
      <x v="10"/>
    </i>
    <i t="grand">
      <x/>
    </i>
  </rowItems>
  <colItems count="1">
    <i/>
  </colItems>
  <dataFields count="1">
    <dataField name="Sum of Sales" fld="9" baseField="0" baseItem="0" numFmtId="165"/>
  </dataFields>
  <formats count="1">
    <format dxfId="4">
      <pivotArea outline="0" collapsedLevelsAreSubtotals="1" fieldPosition="0"/>
    </format>
  </formats>
  <chartFormats count="1">
    <chartFormat chart="7"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918E4-62A8-4CC3-ABCA-D591F09BFA4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2:E13"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axis="axisRow" compact="0" outline="0" showAll="0" measureFilter="1" sortType="descending">
      <items count="21">
        <item x="16"/>
        <item x="3"/>
        <item x="14"/>
        <item x="15"/>
        <item x="1"/>
        <item x="5"/>
        <item x="12"/>
        <item x="7"/>
        <item x="8"/>
        <item x="19"/>
        <item x="13"/>
        <item x="6"/>
        <item x="9"/>
        <item x="10"/>
        <item x="17"/>
        <item x="0"/>
        <item x="18"/>
        <item x="4"/>
        <item x="11"/>
        <item x="2"/>
        <item t="default"/>
      </items>
      <autoSortScope>
        <pivotArea dataOnly="0" outline="0" fieldPosition="0">
          <references count="1">
            <reference field="4294967294" count="1" selected="0">
              <x v="0"/>
            </reference>
          </references>
        </pivotArea>
      </autoSortScope>
    </pivotField>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5"/>
  </rowFields>
  <rowItems count="11">
    <i>
      <x/>
    </i>
    <i>
      <x v="10"/>
    </i>
    <i>
      <x v="6"/>
    </i>
    <i>
      <x v="7"/>
    </i>
    <i>
      <x v="13"/>
    </i>
    <i>
      <x v="15"/>
    </i>
    <i>
      <x v="2"/>
    </i>
    <i>
      <x v="5"/>
    </i>
    <i>
      <x v="3"/>
    </i>
    <i>
      <x v="8"/>
    </i>
    <i t="grand">
      <x/>
    </i>
  </rowItems>
  <colItems count="1">
    <i/>
  </colItems>
  <dataFields count="1">
    <dataField name="Sum of Sales" fld="9" baseField="0" baseItem="0" numFmtId="165"/>
  </dataFields>
  <formats count="1">
    <format dxfId="5">
      <pivotArea outline="0" collapsedLevelsAreSubtotals="1" fieldPosition="0"/>
    </format>
  </formats>
  <chartFormats count="1">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3A31F-82B3-49F8-91EE-5623AFE062C0}"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S2:T5" firstHeaderRow="1" firstDataRow="1" firstDataCol="1"/>
  <pivotFields count="18">
    <pivotField dataField="1" compact="0" outline="0" showAll="0">
      <items count="1201">
        <item x="1138"/>
        <item x="1108"/>
        <item x="429"/>
        <item x="1079"/>
        <item x="427"/>
        <item x="901"/>
        <item x="308"/>
        <item x="139"/>
        <item x="1120"/>
        <item x="557"/>
        <item x="894"/>
        <item x="890"/>
        <item x="1046"/>
        <item x="147"/>
        <item x="1190"/>
        <item x="611"/>
        <item x="1021"/>
        <item x="348"/>
        <item x="874"/>
        <item x="1043"/>
        <item x="49"/>
        <item x="646"/>
        <item x="710"/>
        <item x="560"/>
        <item x="416"/>
        <item x="756"/>
        <item x="983"/>
        <item x="808"/>
        <item x="166"/>
        <item x="594"/>
        <item x="219"/>
        <item x="562"/>
        <item x="484"/>
        <item x="530"/>
        <item x="537"/>
        <item x="844"/>
        <item x="1185"/>
        <item x="1124"/>
        <item x="753"/>
        <item x="1103"/>
        <item x="793"/>
        <item x="434"/>
        <item x="391"/>
        <item x="401"/>
        <item x="327"/>
        <item x="655"/>
        <item x="107"/>
        <item x="912"/>
        <item x="284"/>
        <item x="758"/>
        <item x="115"/>
        <item x="316"/>
        <item x="95"/>
        <item x="799"/>
        <item x="332"/>
        <item x="417"/>
        <item x="300"/>
        <item x="96"/>
        <item x="719"/>
        <item x="650"/>
        <item x="1089"/>
        <item x="310"/>
        <item x="10"/>
        <item x="361"/>
        <item x="504"/>
        <item x="945"/>
        <item x="163"/>
        <item x="148"/>
        <item x="229"/>
        <item x="691"/>
        <item x="73"/>
        <item x="922"/>
        <item x="99"/>
        <item x="72"/>
        <item x="389"/>
        <item x="375"/>
        <item x="674"/>
        <item x="558"/>
        <item x="1016"/>
        <item x="408"/>
        <item x="498"/>
        <item x="21"/>
        <item x="587"/>
        <item x="868"/>
        <item x="773"/>
        <item x="1082"/>
        <item x="109"/>
        <item x="322"/>
        <item x="195"/>
        <item x="247"/>
        <item x="1088"/>
        <item x="1065"/>
        <item x="688"/>
        <item x="712"/>
        <item x="1171"/>
        <item x="653"/>
        <item x="447"/>
        <item x="324"/>
        <item x="931"/>
        <item x="549"/>
        <item x="205"/>
        <item x="771"/>
        <item x="317"/>
        <item x="741"/>
        <item x="489"/>
        <item x="527"/>
        <item x="614"/>
        <item x="1095"/>
        <item x="1125"/>
        <item x="960"/>
        <item x="519"/>
        <item x="34"/>
        <item x="352"/>
        <item x="974"/>
        <item x="1117"/>
        <item x="770"/>
        <item x="1160"/>
        <item x="964"/>
        <item x="78"/>
        <item x="1040"/>
        <item x="884"/>
        <item x="597"/>
        <item x="38"/>
        <item x="963"/>
        <item x="553"/>
        <item x="403"/>
        <item x="919"/>
        <item x="512"/>
        <item x="1168"/>
        <item x="146"/>
        <item x="156"/>
        <item x="438"/>
        <item x="877"/>
        <item x="103"/>
        <item x="260"/>
        <item x="84"/>
        <item x="1017"/>
        <item x="94"/>
        <item x="243"/>
        <item x="975"/>
        <item x="670"/>
        <item x="190"/>
        <item x="1069"/>
        <item x="660"/>
        <item x="950"/>
        <item x="315"/>
        <item x="7"/>
        <item x="823"/>
        <item x="930"/>
        <item x="525"/>
        <item x="602"/>
        <item x="60"/>
        <item x="302"/>
        <item x="929"/>
        <item x="197"/>
        <item x="1133"/>
        <item x="1147"/>
        <item x="1050"/>
        <item x="686"/>
        <item x="574"/>
        <item x="29"/>
        <item x="593"/>
        <item x="786"/>
        <item x="534"/>
        <item x="1162"/>
        <item x="214"/>
        <item x="730"/>
        <item x="90"/>
        <item x="165"/>
        <item x="748"/>
        <item x="414"/>
        <item x="958"/>
        <item x="136"/>
        <item x="273"/>
        <item x="679"/>
        <item x="509"/>
        <item x="1177"/>
        <item x="1087"/>
        <item x="805"/>
        <item x="377"/>
        <item x="318"/>
        <item x="518"/>
        <item x="727"/>
        <item x="272"/>
        <item x="978"/>
        <item x="734"/>
        <item x="1115"/>
        <item x="880"/>
        <item x="276"/>
        <item x="1140"/>
        <item x="953"/>
        <item x="968"/>
        <item x="461"/>
        <item x="782"/>
        <item x="202"/>
        <item x="1057"/>
        <item x="675"/>
        <item x="245"/>
        <item x="1062"/>
        <item x="872"/>
        <item x="1113"/>
        <item x="579"/>
        <item x="1023"/>
        <item x="101"/>
        <item x="74"/>
        <item x="873"/>
        <item x="760"/>
        <item x="209"/>
        <item x="713"/>
        <item x="979"/>
        <item x="555"/>
        <item x="665"/>
        <item x="859"/>
        <item x="252"/>
        <item x="835"/>
        <item x="736"/>
        <item x="297"/>
        <item x="435"/>
        <item x="889"/>
        <item x="1104"/>
        <item x="1105"/>
        <item x="5"/>
        <item x="977"/>
        <item x="54"/>
        <item x="677"/>
        <item x="1169"/>
        <item x="591"/>
        <item x="615"/>
        <item x="383"/>
        <item x="779"/>
        <item x="61"/>
        <item x="1032"/>
        <item x="825"/>
        <item x="621"/>
        <item x="524"/>
        <item x="641"/>
        <item x="777"/>
        <item x="367"/>
        <item x="298"/>
        <item x="752"/>
        <item x="264"/>
        <item x="19"/>
        <item x="481"/>
        <item x="398"/>
        <item x="68"/>
        <item x="149"/>
        <item x="946"/>
        <item x="590"/>
        <item x="925"/>
        <item x="279"/>
        <item x="172"/>
        <item x="104"/>
        <item x="1058"/>
        <item x="798"/>
        <item x="1157"/>
        <item x="288"/>
        <item x="492"/>
        <item x="1039"/>
        <item x="493"/>
        <item x="309"/>
        <item x="514"/>
        <item x="1028"/>
        <item x="531"/>
        <item x="961"/>
        <item x="576"/>
        <item x="620"/>
        <item x="453"/>
        <item x="277"/>
        <item x="1134"/>
        <item x="258"/>
        <item x="430"/>
        <item x="865"/>
        <item x="732"/>
        <item x="801"/>
        <item x="596"/>
        <item x="291"/>
        <item x="420"/>
        <item x="638"/>
        <item x="268"/>
        <item x="812"/>
        <item x="818"/>
        <item x="662"/>
        <item x="717"/>
        <item x="932"/>
        <item x="924"/>
        <item x="488"/>
        <item x="1011"/>
        <item x="32"/>
        <item x="47"/>
        <item x="365"/>
        <item x="733"/>
        <item x="451"/>
        <item x="1070"/>
        <item x="1111"/>
        <item x="870"/>
        <item x="431"/>
        <item x="1181"/>
        <item x="1029"/>
        <item x="785"/>
        <item x="920"/>
        <item x="539"/>
        <item x="372"/>
        <item x="249"/>
        <item x="1081"/>
        <item x="829"/>
        <item x="828"/>
        <item x="449"/>
        <item x="1003"/>
        <item x="208"/>
        <item x="842"/>
        <item x="711"/>
        <item x="227"/>
        <item x="1119"/>
        <item x="396"/>
        <item x="184"/>
        <item x="934"/>
        <item x="286"/>
        <item x="1118"/>
        <item x="255"/>
        <item x="415"/>
        <item x="1072"/>
        <item x="659"/>
        <item x="12"/>
        <item x="1159"/>
        <item x="692"/>
        <item x="603"/>
        <item x="757"/>
        <item x="1141"/>
        <item x="1123"/>
        <item x="473"/>
        <item x="510"/>
        <item x="312"/>
        <item x="546"/>
        <item x="468"/>
        <item x="613"/>
        <item x="466"/>
        <item x="858"/>
        <item x="198"/>
        <item x="1163"/>
        <item x="460"/>
        <item x="75"/>
        <item x="619"/>
        <item x="796"/>
        <item x="320"/>
        <item x="807"/>
        <item x="350"/>
        <item x="583"/>
        <item x="376"/>
        <item x="1063"/>
        <item x="454"/>
        <item x="120"/>
        <item x="887"/>
        <item x="608"/>
        <item x="102"/>
        <item x="532"/>
        <item x="629"/>
        <item x="627"/>
        <item x="582"/>
        <item x="944"/>
        <item x="898"/>
        <item x="86"/>
        <item x="407"/>
        <item x="168"/>
        <item x="44"/>
        <item x="693"/>
        <item x="639"/>
        <item x="55"/>
        <item x="989"/>
        <item x="467"/>
        <item x="567"/>
        <item x="610"/>
        <item x="196"/>
        <item x="265"/>
        <item x="254"/>
        <item x="223"/>
        <item x="1195"/>
        <item x="634"/>
        <item x="840"/>
        <item x="739"/>
        <item x="647"/>
        <item x="92"/>
        <item x="491"/>
        <item x="966"/>
        <item x="1102"/>
        <item x="949"/>
        <item x="364"/>
        <item x="548"/>
        <item x="774"/>
        <item x="1094"/>
        <item x="326"/>
        <item x="561"/>
        <item x="446"/>
        <item x="648"/>
        <item x="150"/>
        <item x="651"/>
        <item x="203"/>
        <item x="816"/>
        <item x="632"/>
        <item x="400"/>
        <item x="928"/>
        <item x="1074"/>
        <item x="1136"/>
        <item x="855"/>
        <item x="909"/>
        <item x="1183"/>
        <item x="971"/>
        <item x="442"/>
        <item x="443"/>
        <item x="154"/>
        <item x="1019"/>
        <item x="523"/>
        <item x="126"/>
        <item x="496"/>
        <item x="911"/>
        <item x="363"/>
        <item x="1199"/>
        <item x="357"/>
        <item x="263"/>
        <item x="130"/>
        <item x="775"/>
        <item x="274"/>
        <item x="1085"/>
        <item x="1156"/>
        <item x="157"/>
        <item x="1148"/>
        <item x="849"/>
        <item x="708"/>
        <item x="680"/>
        <item x="80"/>
        <item x="1192"/>
        <item x="982"/>
        <item x="91"/>
        <item x="1151"/>
        <item x="848"/>
        <item x="499"/>
        <item x="878"/>
        <item x="299"/>
        <item x="986"/>
        <item x="644"/>
        <item x="118"/>
        <item x="1126"/>
        <item x="1109"/>
        <item x="360"/>
        <item x="1006"/>
        <item x="1075"/>
        <item x="305"/>
        <item x="1092"/>
        <item x="1106"/>
        <item x="177"/>
        <item x="516"/>
        <item x="1172"/>
        <item x="577"/>
        <item x="46"/>
        <item x="612"/>
        <item x="471"/>
        <item x="980"/>
        <item x="424"/>
        <item x="572"/>
        <item x="328"/>
        <item x="394"/>
        <item x="334"/>
        <item x="735"/>
        <item x="1060"/>
        <item x="938"/>
        <item x="323"/>
        <item x="913"/>
        <item x="77"/>
        <item x="672"/>
        <item x="176"/>
        <item x="161"/>
        <item x="455"/>
        <item x="681"/>
        <item x="85"/>
        <item x="862"/>
        <item x="900"/>
        <item x="344"/>
        <item x="215"/>
        <item x="193"/>
        <item x="338"/>
        <item x="738"/>
        <item x="759"/>
        <item x="761"/>
        <item x="1188"/>
        <item x="749"/>
        <item x="992"/>
        <item x="502"/>
        <item x="285"/>
        <item x="762"/>
        <item x="162"/>
        <item x="1196"/>
        <item x="728"/>
        <item x="1098"/>
        <item x="1132"/>
        <item x="41"/>
        <item x="556"/>
        <item x="684"/>
        <item x="39"/>
        <item x="667"/>
        <item x="568"/>
        <item x="515"/>
        <item x="83"/>
        <item x="1014"/>
        <item x="301"/>
        <item x="1005"/>
        <item x="477"/>
        <item x="1142"/>
        <item x="742"/>
        <item x="1066"/>
        <item x="1077"/>
        <item x="374"/>
        <item x="1010"/>
        <item x="1054"/>
        <item x="778"/>
        <item x="706"/>
        <item x="542"/>
        <item x="216"/>
        <item x="1096"/>
        <item x="1076"/>
        <item x="270"/>
        <item x="668"/>
        <item x="1025"/>
        <item x="138"/>
        <item x="886"/>
        <item x="843"/>
        <item x="244"/>
        <item x="131"/>
        <item x="604"/>
        <item x="718"/>
        <item x="544"/>
        <item x="1008"/>
        <item x="942"/>
        <item x="3"/>
        <item x="40"/>
        <item x="294"/>
        <item x="1018"/>
        <item x="311"/>
        <item x="536"/>
        <item x="1164"/>
        <item x="191"/>
        <item x="289"/>
        <item x="841"/>
        <item x="1041"/>
        <item x="1165"/>
        <item x="256"/>
        <item x="1143"/>
        <item x="885"/>
        <item x="331"/>
        <item x="200"/>
        <item x="116"/>
        <item x="228"/>
        <item x="232"/>
        <item x="444"/>
        <item x="547"/>
        <item x="1129"/>
        <item x="636"/>
        <item x="1080"/>
        <item x="852"/>
        <item x="698"/>
        <item x="141"/>
        <item x="233"/>
        <item x="826"/>
        <item x="240"/>
        <item x="743"/>
        <item x="797"/>
        <item x="690"/>
        <item x="676"/>
        <item x="178"/>
        <item x="1167"/>
        <item x="93"/>
        <item x="111"/>
        <item x="1"/>
        <item x="180"/>
        <item x="857"/>
        <item x="863"/>
        <item x="935"/>
        <item x="645"/>
        <item x="211"/>
        <item x="824"/>
        <item x="1194"/>
        <item x="967"/>
        <item x="1184"/>
        <item x="8"/>
        <item x="278"/>
        <item x="768"/>
        <item x="234"/>
        <item x="36"/>
        <item x="907"/>
        <item x="876"/>
        <item x="1178"/>
        <item x="750"/>
        <item x="543"/>
        <item x="902"/>
        <item x="817"/>
        <item x="142"/>
        <item x="220"/>
        <item x="856"/>
        <item x="287"/>
        <item x="754"/>
        <item x="740"/>
        <item x="112"/>
        <item x="251"/>
        <item x="153"/>
        <item x="137"/>
        <item x="281"/>
        <item x="991"/>
        <item x="815"/>
        <item x="605"/>
        <item x="167"/>
        <item x="707"/>
        <item x="606"/>
        <item x="737"/>
        <item x="27"/>
        <item x="397"/>
        <item x="325"/>
        <item x="914"/>
        <item x="564"/>
        <item x="625"/>
        <item x="1153"/>
        <item x="470"/>
        <item x="803"/>
        <item x="642"/>
        <item x="671"/>
        <item x="478"/>
        <item x="575"/>
        <item x="869"/>
        <item x="951"/>
        <item x="881"/>
        <item x="630"/>
        <item x="304"/>
        <item x="500"/>
        <item x="1084"/>
        <item x="239"/>
        <item x="687"/>
        <item x="990"/>
        <item x="847"/>
        <item x="458"/>
        <item x="425"/>
        <item x="875"/>
        <item x="1110"/>
        <item x="76"/>
        <item x="1152"/>
        <item x="127"/>
        <item x="1144"/>
        <item x="726"/>
        <item x="1037"/>
        <item x="631"/>
        <item x="701"/>
        <item x="100"/>
        <item x="16"/>
        <item x="573"/>
        <item x="1091"/>
        <item x="1099"/>
        <item x="637"/>
        <item x="806"/>
        <item x="105"/>
        <item x="673"/>
        <item x="1013"/>
        <item x="724"/>
        <item x="65"/>
        <item x="188"/>
        <item x="13"/>
        <item x="56"/>
        <item x="626"/>
        <item x="128"/>
        <item x="457"/>
        <item x="993"/>
        <item x="554"/>
        <item x="185"/>
        <item x="456"/>
        <item x="1059"/>
        <item x="891"/>
        <item x="588"/>
        <item x="552"/>
        <item x="927"/>
        <item x="35"/>
        <item x="275"/>
        <item x="830"/>
        <item x="628"/>
        <item x="395"/>
        <item x="133"/>
        <item x="871"/>
        <item x="30"/>
        <item x="937"/>
        <item x="700"/>
        <item x="784"/>
        <item x="535"/>
        <item x="666"/>
        <item x="1193"/>
        <item x="1127"/>
        <item x="292"/>
        <item x="108"/>
        <item x="997"/>
        <item x="804"/>
        <item x="159"/>
        <item x="683"/>
        <item x="129"/>
        <item x="399"/>
        <item x="617"/>
        <item x="106"/>
        <item x="25"/>
        <item x="729"/>
        <item x="781"/>
        <item x="563"/>
        <item x="506"/>
        <item x="217"/>
        <item x="306"/>
        <item x="1022"/>
        <item x="440"/>
        <item x="423"/>
        <item x="1056"/>
        <item x="393"/>
        <item x="452"/>
        <item x="88"/>
        <item x="905"/>
        <item x="201"/>
        <item x="269"/>
        <item x="941"/>
        <item x="814"/>
        <item x="819"/>
        <item x="23"/>
        <item x="319"/>
        <item x="1122"/>
        <item x="827"/>
        <item x="1047"/>
        <item x="282"/>
        <item x="995"/>
        <item x="792"/>
        <item x="722"/>
        <item x="97"/>
        <item x="903"/>
        <item x="521"/>
        <item x="956"/>
        <item x="731"/>
        <item x="933"/>
        <item x="1053"/>
        <item x="358"/>
        <item x="1179"/>
        <item x="851"/>
        <item x="171"/>
        <item x="9"/>
        <item x="307"/>
        <item x="788"/>
        <item x="694"/>
        <item x="821"/>
        <item x="140"/>
        <item x="69"/>
        <item x="413"/>
        <item x="79"/>
        <item x="657"/>
        <item x="359"/>
        <item x="533"/>
        <item x="48"/>
        <item x="1186"/>
        <item x="988"/>
        <item x="50"/>
        <item x="28"/>
        <item x="1035"/>
        <item x="64"/>
        <item x="421"/>
        <item x="834"/>
        <item x="132"/>
        <item x="71"/>
        <item x="581"/>
        <item x="212"/>
        <item x="155"/>
        <item x="1055"/>
        <item x="661"/>
        <item x="419"/>
        <item x="262"/>
        <item x="794"/>
        <item x="173"/>
        <item x="908"/>
        <item x="495"/>
        <item x="194"/>
        <item x="20"/>
        <item x="1170"/>
        <item x="664"/>
        <item x="987"/>
        <item x="236"/>
        <item x="290"/>
        <item x="226"/>
        <item x="1068"/>
        <item x="490"/>
        <item x="633"/>
        <item x="837"/>
        <item x="1137"/>
        <item x="4"/>
        <item x="926"/>
        <item x="906"/>
        <item x="725"/>
        <item x="1130"/>
        <item x="936"/>
        <item x="1107"/>
        <item x="998"/>
        <item x="566"/>
        <item x="538"/>
        <item x="53"/>
        <item x="313"/>
        <item x="973"/>
        <item x="1036"/>
        <item x="474"/>
        <item x="261"/>
        <item x="550"/>
        <item x="609"/>
        <item x="1166"/>
        <item x="994"/>
        <item x="230"/>
        <item x="624"/>
        <item x="283"/>
        <item x="351"/>
        <item x="714"/>
        <item x="479"/>
        <item x="917"/>
        <item x="791"/>
        <item x="1100"/>
        <item x="175"/>
        <item x="972"/>
        <item x="11"/>
        <item x="1067"/>
        <item x="678"/>
        <item x="589"/>
        <item x="448"/>
        <item x="31"/>
        <item x="469"/>
        <item x="511"/>
        <item x="723"/>
        <item x="789"/>
        <item x="485"/>
        <item x="853"/>
        <item x="42"/>
        <item x="882"/>
        <item x="570"/>
        <item x="296"/>
        <item x="89"/>
        <item x="1180"/>
        <item x="1073"/>
        <item x="418"/>
        <item x="222"/>
        <item x="235"/>
        <item x="1015"/>
        <item x="345"/>
        <item x="486"/>
        <item x="705"/>
        <item x="356"/>
        <item x="940"/>
        <item x="697"/>
        <item x="187"/>
        <item x="969"/>
        <item x="517"/>
        <item x="763"/>
        <item x="22"/>
        <item x="487"/>
        <item x="832"/>
        <item x="67"/>
        <item x="459"/>
        <item x="503"/>
        <item x="335"/>
        <item x="910"/>
        <item x="81"/>
        <item x="464"/>
        <item x="559"/>
        <item x="699"/>
        <item x="390"/>
        <item x="2"/>
        <item x="545"/>
        <item x="985"/>
        <item x="192"/>
        <item x="1027"/>
        <item x="248"/>
        <item x="883"/>
        <item x="836"/>
        <item x="802"/>
        <item x="765"/>
        <item x="1030"/>
        <item x="158"/>
        <item x="571"/>
        <item x="186"/>
        <item x="1150"/>
        <item x="501"/>
        <item x="24"/>
        <item x="1064"/>
        <item x="745"/>
        <item x="703"/>
        <item x="59"/>
        <item x="1007"/>
        <item x="1083"/>
        <item x="339"/>
        <item x="996"/>
        <item x="437"/>
        <item x="1051"/>
        <item x="82"/>
        <item x="207"/>
        <item x="780"/>
        <item x="747"/>
        <item x="1038"/>
        <item x="976"/>
        <item x="846"/>
        <item x="124"/>
        <item x="362"/>
        <item x="266"/>
        <item x="117"/>
        <item x="410"/>
        <item x="329"/>
        <item x="58"/>
        <item x="412"/>
        <item x="776"/>
        <item x="387"/>
        <item x="696"/>
        <item x="795"/>
        <item x="999"/>
        <item x="1191"/>
        <item x="271"/>
        <item x="218"/>
        <item x="508"/>
        <item x="1004"/>
        <item x="1155"/>
        <item x="164"/>
        <item x="494"/>
        <item x="436"/>
        <item x="888"/>
        <item x="110"/>
        <item x="1044"/>
        <item x="293"/>
        <item x="125"/>
        <item x="669"/>
        <item x="303"/>
        <item x="114"/>
        <item x="790"/>
        <item x="513"/>
        <item x="238"/>
        <item x="720"/>
        <item x="70"/>
        <item x="649"/>
        <item x="845"/>
        <item x="685"/>
        <item x="342"/>
        <item x="386"/>
        <item x="831"/>
        <item x="787"/>
        <item x="704"/>
        <item x="482"/>
        <item x="948"/>
        <item x="183"/>
        <item x="854"/>
        <item x="580"/>
        <item x="221"/>
        <item x="689"/>
        <item x="586"/>
        <item x="87"/>
        <item x="1090"/>
        <item x="179"/>
        <item x="702"/>
        <item x="607"/>
        <item x="943"/>
        <item x="820"/>
        <item x="811"/>
        <item x="1000"/>
        <item x="1154"/>
        <item x="333"/>
        <item x="592"/>
        <item x="1031"/>
        <item x="864"/>
        <item x="1176"/>
        <item x="578"/>
        <item x="1052"/>
        <item x="861"/>
        <item x="838"/>
        <item x="224"/>
        <item x="98"/>
        <item x="598"/>
        <item x="551"/>
        <item x="409"/>
        <item x="867"/>
        <item x="1009"/>
        <item x="314"/>
        <item x="241"/>
        <item x="810"/>
        <item x="1045"/>
        <item x="541"/>
        <item x="144"/>
        <item x="866"/>
        <item x="206"/>
        <item x="465"/>
        <item x="1173"/>
        <item x="204"/>
        <item x="199"/>
        <item x="18"/>
        <item x="879"/>
        <item x="599"/>
        <item x="475"/>
        <item x="405"/>
        <item x="337"/>
        <item x="897"/>
        <item x="210"/>
        <item x="135"/>
        <item x="695"/>
        <item x="1145"/>
        <item x="1146"/>
        <item x="497"/>
        <item x="14"/>
        <item x="507"/>
        <item x="800"/>
        <item x="721"/>
        <item x="371"/>
        <item x="355"/>
        <item x="1002"/>
        <item x="965"/>
        <item x="1175"/>
        <item x="476"/>
        <item x="370"/>
        <item x="321"/>
        <item x="379"/>
        <item x="1116"/>
        <item x="895"/>
        <item x="1071"/>
        <item x="520"/>
        <item x="122"/>
        <item x="970"/>
        <item x="1139"/>
        <item x="1121"/>
        <item x="1174"/>
        <item x="57"/>
        <item x="445"/>
        <item x="237"/>
        <item x="569"/>
        <item x="384"/>
        <item x="406"/>
        <item x="225"/>
        <item x="772"/>
        <item x="755"/>
        <item x="663"/>
        <item x="957"/>
        <item x="45"/>
        <item x="584"/>
        <item x="1182"/>
        <item x="618"/>
        <item x="253"/>
        <item x="860"/>
        <item x="174"/>
        <item x="267"/>
        <item x="369"/>
        <item x="37"/>
        <item x="904"/>
        <item x="182"/>
        <item x="463"/>
        <item x="259"/>
        <item x="850"/>
        <item x="522"/>
        <item x="833"/>
        <item x="813"/>
        <item x="66"/>
        <item x="381"/>
        <item x="623"/>
        <item x="915"/>
        <item x="916"/>
        <item x="744"/>
        <item x="160"/>
        <item x="955"/>
        <item x="652"/>
        <item x="1012"/>
        <item x="899"/>
        <item x="595"/>
        <item x="746"/>
        <item x="918"/>
        <item x="17"/>
        <item x="295"/>
        <item x="402"/>
        <item x="143"/>
        <item x="839"/>
        <item x="682"/>
        <item x="134"/>
        <item x="654"/>
        <item x="954"/>
        <item x="715"/>
        <item x="616"/>
        <item x="433"/>
        <item x="169"/>
        <item x="404"/>
        <item x="1197"/>
        <item x="1135"/>
        <item x="1078"/>
        <item x="33"/>
        <item x="343"/>
        <item x="893"/>
        <item x="213"/>
        <item x="246"/>
        <item x="353"/>
        <item x="382"/>
        <item x="450"/>
        <item x="1020"/>
        <item x="392"/>
        <item x="480"/>
        <item x="751"/>
        <item x="428"/>
        <item x="341"/>
        <item x="330"/>
        <item x="1097"/>
        <item x="952"/>
        <item x="939"/>
        <item x="1112"/>
        <item x="981"/>
        <item x="462"/>
        <item x="152"/>
        <item x="1048"/>
        <item x="1161"/>
        <item x="483"/>
        <item x="43"/>
        <item x="346"/>
        <item x="767"/>
        <item x="373"/>
        <item x="0"/>
        <item x="984"/>
        <item x="505"/>
        <item x="1086"/>
        <item x="585"/>
        <item x="181"/>
        <item x="1114"/>
        <item x="1198"/>
        <item x="809"/>
        <item x="643"/>
        <item x="635"/>
        <item x="1101"/>
        <item x="962"/>
        <item x="947"/>
        <item x="62"/>
        <item x="658"/>
        <item x="783"/>
        <item x="441"/>
        <item x="769"/>
        <item x="622"/>
        <item x="766"/>
        <item x="1131"/>
        <item x="601"/>
        <item x="6"/>
        <item x="121"/>
        <item x="349"/>
        <item x="1042"/>
        <item x="921"/>
        <item x="378"/>
        <item x="526"/>
        <item x="656"/>
        <item x="764"/>
        <item x="336"/>
        <item x="231"/>
        <item x="716"/>
        <item x="257"/>
        <item x="600"/>
        <item x="388"/>
        <item x="1034"/>
        <item x="1033"/>
        <item x="1061"/>
        <item x="51"/>
        <item x="959"/>
        <item x="822"/>
        <item x="472"/>
        <item x="385"/>
        <item x="1189"/>
        <item x="26"/>
        <item x="15"/>
        <item x="52"/>
        <item x="123"/>
        <item x="432"/>
        <item x="439"/>
        <item x="1187"/>
        <item x="411"/>
        <item x="923"/>
        <item x="422"/>
        <item x="280"/>
        <item x="170"/>
        <item x="1001"/>
        <item x="1149"/>
        <item x="151"/>
        <item x="1049"/>
        <item x="340"/>
        <item x="640"/>
        <item x="380"/>
        <item x="145"/>
        <item x="1026"/>
        <item x="1158"/>
        <item x="892"/>
        <item x="896"/>
        <item x="250"/>
        <item x="366"/>
        <item x="528"/>
        <item x="113"/>
        <item x="1093"/>
        <item x="529"/>
        <item x="426"/>
        <item x="119"/>
        <item x="189"/>
        <item x="354"/>
        <item x="368"/>
        <item x="1024"/>
        <item x="565"/>
        <item x="1128"/>
        <item x="540"/>
        <item x="347"/>
        <item x="63"/>
        <item x="709"/>
        <item x="242"/>
        <item t="default"/>
      </items>
    </pivotField>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axis="axisRow" compact="0" outline="0" showAll="0">
      <items count="3">
        <item x="1"/>
        <item x="0"/>
        <item t="default"/>
      </items>
    </pivotField>
    <pivotField compact="0" outline="0" showAll="0"/>
    <pivotField compact="0" outline="0" showAll="0">
      <items count="3">
        <item x="1"/>
        <item x="0"/>
        <item t="default"/>
      </items>
    </pivotField>
    <pivotField compact="0" numFmtId="9" outline="0" showAll="0"/>
  </pivotFields>
  <rowFields count="1">
    <field x="14"/>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B6C696-D291-42EB-8C38-05A2FCA3DFD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B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4"/>
  </rowFields>
  <rowItems count="5">
    <i>
      <x v="2"/>
    </i>
    <i>
      <x v="3"/>
    </i>
    <i>
      <x v="1"/>
    </i>
    <i>
      <x/>
    </i>
    <i t="grand">
      <x/>
    </i>
  </rowItems>
  <colItems count="1">
    <i/>
  </colItems>
  <dataFields count="1">
    <dataField name="Sum of Sales" fld="9" baseField="0" baseItem="0" numFmtId="165"/>
  </dataFields>
  <formats count="2">
    <format dxfId="7">
      <pivotArea outline="0" collapsedLevelsAreSubtotals="1" fieldPosition="0"/>
    </format>
    <format dxfId="6">
      <pivotArea dataOnly="0" labelOnly="1" outline="0" axis="axisValues" fieldPosition="0"/>
    </format>
  </format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16E7AE-82C3-4D54-A9B0-4BB924FC789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P2:Q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12"/>
  </rowFields>
  <rowItems count="3">
    <i>
      <x/>
    </i>
    <i>
      <x v="1"/>
    </i>
    <i t="grand">
      <x/>
    </i>
  </rowItems>
  <colItems count="1">
    <i/>
  </colItems>
  <dataFields count="1">
    <dataField name="Sum of Sales" fld="9" baseField="0" baseItem="0" numFmtId="165"/>
  </dataFields>
  <formats count="2">
    <format dxfId="9">
      <pivotArea outline="0" collapsedLevelsAreSubtotals="1" fieldPosition="0"/>
    </format>
    <format dxfId="8">
      <pivotArea dataOnly="0" labelOnly="1" outline="0" axis="axisValues"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2" count="1" selected="0">
            <x v="0"/>
          </reference>
        </references>
      </pivotArea>
    </chartFormat>
    <chartFormat chart="7" format="6">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7B049B-F54A-4889-99E0-6896B138B53C}"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M2:N7"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axis="axisRow" compact="0" outline="0"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4" outline="0" showAll="0"/>
    <pivotField compact="0" numFmtId="9" outline="0" showAll="0"/>
    <pivotField compact="0" numFmtId="4" outline="0" showAll="0"/>
    <pivotField compact="0" numFmtId="4" outline="0" showAll="0"/>
    <pivotField dataField="1" compact="0" numFmtId="4"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3">
        <item x="1"/>
        <item x="0"/>
        <item t="default"/>
      </items>
    </pivotField>
    <pivotField compact="0" numFmtId="9" outline="0" showAll="0"/>
  </pivotFields>
  <rowFields count="1">
    <field x="4"/>
  </rowFields>
  <rowItems count="5">
    <i>
      <x v="2"/>
    </i>
    <i>
      <x v="1"/>
    </i>
    <i>
      <x v="3"/>
    </i>
    <i>
      <x/>
    </i>
    <i t="grand">
      <x/>
    </i>
  </rowItems>
  <colItems count="1">
    <i/>
  </colItems>
  <dataFields count="1">
    <dataField name="Sum of Profit" fld="11" baseField="0" baseItem="0" numFmtId="165"/>
  </dataFields>
  <formats count="1">
    <format dxfId="1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D0E66-790C-47B2-AE93-80F556727511}"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B2:AC5" firstHeaderRow="1" firstDataRow="1" firstDataCol="1"/>
  <pivotFields count="18">
    <pivotField compact="0" outline="0" showAll="0"/>
    <pivotField compact="0" numFmtId="164" outline="0" showAll="0"/>
    <pivotField compact="0" outline="0" showAll="0"/>
    <pivotField compact="0" outline="0" showAll="0">
      <items count="12">
        <item x="4"/>
        <item x="9"/>
        <item x="2"/>
        <item x="1"/>
        <item x="6"/>
        <item x="8"/>
        <item x="3"/>
        <item x="7"/>
        <item x="0"/>
        <item x="5"/>
        <item x="10"/>
        <item t="default"/>
      </items>
    </pivotField>
    <pivotField compact="0" outline="0" showAll="0">
      <items count="5">
        <item x="0"/>
        <item x="3"/>
        <item x="1"/>
        <item x="2"/>
        <item t="default"/>
      </items>
    </pivotField>
    <pivotField compact="0" outline="0" showAll="0"/>
    <pivotField compact="0" outline="0" showAll="0"/>
    <pivotField compact="0" numFmtId="4" outline="0" showAll="0"/>
    <pivotField compact="0" numFmtId="9" outline="0" showAll="0"/>
    <pivotField dataField="1" compact="0" numFmtId="4" outline="0" showAll="0"/>
    <pivotField compact="0" numFmtId="4" outline="0" showAll="0"/>
    <pivotField compact="0" numFmtId="4" outline="0" showAll="0"/>
    <pivotField compact="0" outline="0" showAll="0">
      <items count="3">
        <item x="1"/>
        <item x="0"/>
        <item t="default"/>
      </items>
    </pivotField>
    <pivotField compact="0" outline="0" showAll="0"/>
    <pivotField compact="0" outline="0" showAll="0"/>
    <pivotField compact="0" outline="0" showAll="0"/>
    <pivotField axis="axisRow" compact="0" outline="0" showAll="0">
      <items count="3">
        <item x="1"/>
        <item x="0"/>
        <item t="default"/>
      </items>
    </pivotField>
    <pivotField compact="0" numFmtId="9" outline="0" showAll="0"/>
  </pivotFields>
  <rowFields count="1">
    <field x="16"/>
  </rowFields>
  <rowItems count="3">
    <i>
      <x/>
    </i>
    <i>
      <x v="1"/>
    </i>
    <i t="grand">
      <x/>
    </i>
  </rowItems>
  <colItems count="1">
    <i/>
  </colItems>
  <dataFields count="1">
    <dataField name="Sum of Sales" fld="9"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9C89B7E-8A5F-45F8-9D0D-0C6167C573CE}" sourceName="City">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11">
        <i x="4" s="1"/>
        <i x="9" s="1"/>
        <i x="2" s="1"/>
        <i x="1" s="1"/>
        <i x="6" s="1"/>
        <i x="8" s="1"/>
        <i x="3" s="1"/>
        <i x="7" s="1"/>
        <i x="0"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18FEA4-70BF-4E73-A46B-B2CE6A7B478D}" sourceName="Category">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760ACC0-1D14-4F58-8DE8-E79F1D8B32BC}" sourceName="Channel">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FC95056-8042-40C2-A6AF-C06D4CA871DA}" sourceName="Order_Year">
  <pivotTables>
    <pivotTable tabId="5" name="PivotTable4"/>
    <pivotTable tabId="5" name="PivotTable1"/>
    <pivotTable tabId="5" name="PivotTable10"/>
    <pivotTable tabId="5" name="PivotTable2"/>
    <pivotTable tabId="5" name="PivotTable3"/>
    <pivotTable tabId="5" name="PivotTable5"/>
    <pivotTable tabId="5" name="PivotTable6"/>
    <pivotTable tabId="5" name="PivotTable7"/>
    <pivotTable tabId="5" name="PivotTable8"/>
    <pivotTable tabId="5" name="PivotTable9"/>
  </pivotTables>
  <data>
    <tabular pivotCacheId="202741368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19C7C17-F267-4DB2-BF51-E84C7B6E0A2E}" cache="Slicer_City" caption="City" rowHeight="241300"/>
  <slicer name="Category" xr10:uid="{6442CBAC-7676-4E2C-A43C-EC1532CDC5F8}" cache="Slicer_Category" caption="Category" rowHeight="241300"/>
  <slicer name="Channel" xr10:uid="{8959007C-C56C-4255-A628-0DF280F80A35}" cache="Slicer_Channel" caption="Channel" rowHeight="241300"/>
  <slicer name="Order_Year" xr10:uid="{470921CD-94E7-4257-970B-AA67625CA4A6}" cache="Slicer_Order_Year" caption="Order_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EC450-C81D-4DBF-93A0-5F4DABFEF4BB}" name="tblRetailClean" displayName="tblRetailClean" ref="A1:R1201" totalsRowShown="0" headerRowDxfId="36" dataDxfId="35">
  <autoFilter ref="A1:R1201" xr:uid="{42D4457D-22E7-412E-A51F-733FAA501176}"/>
  <tableColumns count="18">
    <tableColumn id="1" xr3:uid="{4D31FAF8-1D8A-4FE4-B7B8-B3131F3AA03D}" name="Order_ID" dataDxfId="34"/>
    <tableColumn id="2" xr3:uid="{B0A6B91F-9CC8-40D7-AFDF-A2B98C2968CC}" name="Order_Date" dataDxfId="33"/>
    <tableColumn id="3" xr3:uid="{243C2A9D-1263-4C4A-8375-9CF34C8B6262}" name="Customer_ID" dataDxfId="32"/>
    <tableColumn id="4" xr3:uid="{8998D7A8-5809-480A-A08A-47E2B7E51B27}" name="City" dataDxfId="31"/>
    <tableColumn id="5" xr3:uid="{67613EA2-5FB4-4841-983A-9DAE55385011}" name="Category" dataDxfId="30"/>
    <tableColumn id="6" xr3:uid="{E5A15EAD-ED68-4C3D-B38C-380A8933CA3E}" name="Product" dataDxfId="29"/>
    <tableColumn id="7" xr3:uid="{9C533C9A-5C98-49F5-B0BF-30D90A74302A}" name="Quantity" dataDxfId="28"/>
    <tableColumn id="8" xr3:uid="{61F132B8-AA48-4F04-9C14-54303C540EE3}" name="Unit_Price" dataDxfId="27"/>
    <tableColumn id="9" xr3:uid="{896682B9-3167-46E3-8B47-EBCAAB62B404}" name="Discount_Pct" dataDxfId="26"/>
    <tableColumn id="10" xr3:uid="{B412D750-C149-4A84-86A1-7CF193B19EA4}" name="Sales" dataDxfId="25"/>
    <tableColumn id="11" xr3:uid="{F11A94BD-063B-4CC3-AE85-088E3D81C84D}" name="Cost" dataDxfId="24"/>
    <tableColumn id="12" xr3:uid="{22FEEBA9-D7CD-48EC-93CC-F3FF7C8066B1}" name="Profit" dataDxfId="23"/>
    <tableColumn id="13" xr3:uid="{7094E307-81A9-4977-8CBC-4976082E1107}" name="Channel" dataDxfId="22"/>
    <tableColumn id="14" xr3:uid="{DFCDF2A8-8015-4602-BB47-8C565E25E4C0}" name="Payment_Mode" dataDxfId="21"/>
    <tableColumn id="15" xr3:uid="{9967A28E-50B6-4790-A2B7-DCA33C4D16DF}" name="Returned" dataDxfId="20"/>
    <tableColumn id="18" xr3:uid="{B47DFE61-9BEB-4C8A-A1E3-2892E3B702F9}" name="Order_Month" dataDxfId="19">
      <calculatedColumnFormula>TEXT(B2,"mmm")</calculatedColumnFormula>
    </tableColumn>
    <tableColumn id="19" xr3:uid="{265F6EBE-08E0-490A-9A38-44BFED6620F6}" name="Order_Year" dataDxfId="18">
      <calculatedColumnFormula>YEAR(B2)</calculatedColumnFormula>
    </tableColumn>
    <tableColumn id="20" xr3:uid="{6944CA49-CA6C-40B5-9E53-DE15F4A743FE}" name="Profit_Margin" dataDxfId="17" dataCellStyle="Percent">
      <calculatedColumnFormula>IFERROR(L2/J2,0)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25B5A9-1387-4BA7-9250-7E93F39AE429}" name="Table2" displayName="Table2" ref="A1:C18" totalsRowShown="0" headerRowDxfId="16" dataDxfId="15">
  <autoFilter ref="A1:C18" xr:uid="{1825B5A9-1387-4BA7-9250-7E93F39AE429}"/>
  <tableColumns count="3">
    <tableColumn id="1" xr3:uid="{531B38B4-BE44-46E3-9D91-7FA863ED3E6A}" name="KPI" dataDxfId="14"/>
    <tableColumn id="2" xr3:uid="{464DD021-3617-45D7-B9BB-66720FF21306}" name="Value" dataDxfId="13"/>
    <tableColumn id="3" xr3:uid="{C7E5DB9F-7C8C-4130-B453-40FA1BB91164}" name="." dataDxfId="1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4.25"/>
  <cols>
    <col min="1" max="1" width="24" customWidth="1"/>
    <col min="2" max="2" width="100" customWidth="1"/>
  </cols>
  <sheetData>
    <row r="1" spans="1:2" ht="27.95" customHeight="1">
      <c r="A1" s="1" t="s">
        <v>0</v>
      </c>
      <c r="B1" s="1" t="s">
        <v>1</v>
      </c>
    </row>
    <row r="2" spans="1:2">
      <c r="A2" s="2" t="s">
        <v>2</v>
      </c>
      <c r="B2" s="2" t="s">
        <v>3</v>
      </c>
    </row>
    <row r="3" spans="1:2">
      <c r="A3" s="2" t="s">
        <v>4</v>
      </c>
      <c r="B3" s="2">
        <v>1205</v>
      </c>
    </row>
    <row r="4" spans="1:2">
      <c r="A4" s="2" t="s">
        <v>5</v>
      </c>
      <c r="B4" s="2" t="s">
        <v>6</v>
      </c>
    </row>
    <row r="5" spans="1:2">
      <c r="A5" s="2" t="s">
        <v>7</v>
      </c>
      <c r="B5" s="2" t="s">
        <v>8</v>
      </c>
    </row>
    <row r="6" spans="1:2">
      <c r="A6" s="2" t="s">
        <v>9</v>
      </c>
      <c r="B6" s="2" t="s">
        <v>10</v>
      </c>
    </row>
    <row r="7" spans="1:2">
      <c r="A7" s="2" t="s">
        <v>11</v>
      </c>
      <c r="B7" s="2" t="s">
        <v>12</v>
      </c>
    </row>
    <row r="8" spans="1:2">
      <c r="A8" s="2" t="s">
        <v>13</v>
      </c>
      <c r="B8"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206"/>
  <sheetViews>
    <sheetView topLeftCell="A1168" workbookViewId="0">
      <selection sqref="A1:O1206"/>
    </sheetView>
  </sheetViews>
  <sheetFormatPr defaultRowHeight="14.25"/>
  <cols>
    <col min="1" max="4" width="14" customWidth="1"/>
    <col min="5" max="5" width="16" customWidth="1"/>
    <col min="6" max="6" width="20" customWidth="1"/>
    <col min="7" max="7" width="10" customWidth="1"/>
    <col min="8" max="9" width="13" customWidth="1"/>
    <col min="10" max="12" width="14" customWidth="1"/>
    <col min="13" max="13" width="12" customWidth="1"/>
    <col min="14" max="14" width="15" customWidth="1"/>
    <col min="15" max="15" width="12" customWidth="1"/>
  </cols>
  <sheetData>
    <row r="1" spans="1:15" ht="27.95" customHeight="1">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row>
    <row r="2" spans="1:15">
      <c r="A2" t="s">
        <v>30</v>
      </c>
      <c r="B2" s="3">
        <v>45690</v>
      </c>
      <c r="C2" t="s">
        <v>31</v>
      </c>
      <c r="D2" t="s">
        <v>32</v>
      </c>
      <c r="E2" t="s">
        <v>33</v>
      </c>
      <c r="F2" t="s">
        <v>34</v>
      </c>
      <c r="G2">
        <v>2</v>
      </c>
      <c r="H2" s="5">
        <v>5217.8599999999997</v>
      </c>
      <c r="I2" s="4">
        <v>0.1</v>
      </c>
      <c r="J2" s="5">
        <v>9392.15</v>
      </c>
      <c r="K2" s="5">
        <v>7880.02</v>
      </c>
      <c r="L2" s="5">
        <v>1512.13</v>
      </c>
      <c r="M2" t="s">
        <v>35</v>
      </c>
      <c r="N2" t="s">
        <v>36</v>
      </c>
      <c r="O2" t="s">
        <v>37</v>
      </c>
    </row>
    <row r="3" spans="1:15">
      <c r="A3" t="s">
        <v>38</v>
      </c>
      <c r="B3" s="3">
        <v>45835</v>
      </c>
      <c r="C3" t="s">
        <v>39</v>
      </c>
      <c r="D3" t="s">
        <v>40</v>
      </c>
      <c r="E3" t="s">
        <v>41</v>
      </c>
      <c r="F3" t="s">
        <v>42</v>
      </c>
      <c r="G3">
        <v>2</v>
      </c>
      <c r="H3" s="5">
        <v>5082.03</v>
      </c>
      <c r="I3" s="4">
        <v>0.15</v>
      </c>
      <c r="J3" s="5">
        <v>8639.4500000000007</v>
      </c>
      <c r="K3" s="5">
        <v>4816.51</v>
      </c>
      <c r="L3" s="5">
        <v>3822.94</v>
      </c>
      <c r="M3" t="s">
        <v>35</v>
      </c>
      <c r="N3" t="s">
        <v>43</v>
      </c>
      <c r="O3" t="s">
        <v>44</v>
      </c>
    </row>
    <row r="4" spans="1:15">
      <c r="A4" t="s">
        <v>45</v>
      </c>
      <c r="B4" s="3">
        <v>46014</v>
      </c>
      <c r="C4" t="s">
        <v>46</v>
      </c>
      <c r="D4" t="s">
        <v>47</v>
      </c>
      <c r="E4" t="s">
        <v>48</v>
      </c>
      <c r="F4" t="s">
        <v>49</v>
      </c>
      <c r="G4">
        <v>6</v>
      </c>
      <c r="H4" s="5">
        <v>2053.1799999999998</v>
      </c>
      <c r="I4" s="4">
        <v>0.1</v>
      </c>
      <c r="J4" s="5">
        <v>11087.17</v>
      </c>
      <c r="K4" s="5">
        <v>6103.16</v>
      </c>
      <c r="L4" s="5">
        <v>4984.01</v>
      </c>
      <c r="M4" t="s">
        <v>35</v>
      </c>
      <c r="N4" t="s">
        <v>43</v>
      </c>
      <c r="O4" t="s">
        <v>44</v>
      </c>
    </row>
    <row r="5" spans="1:15">
      <c r="A5" t="s">
        <v>50</v>
      </c>
      <c r="B5" s="3">
        <v>46028</v>
      </c>
      <c r="C5" t="s">
        <v>51</v>
      </c>
      <c r="D5" t="s">
        <v>52</v>
      </c>
      <c r="E5" t="s">
        <v>41</v>
      </c>
      <c r="F5" t="s">
        <v>53</v>
      </c>
      <c r="G5">
        <v>4</v>
      </c>
      <c r="H5" s="5">
        <v>4983.1899999999996</v>
      </c>
      <c r="I5" s="4">
        <v>0.2</v>
      </c>
      <c r="J5" s="5">
        <v>15946.21</v>
      </c>
      <c r="K5" s="5">
        <v>12246.04</v>
      </c>
      <c r="L5" s="5">
        <v>3700.17</v>
      </c>
      <c r="M5" t="s">
        <v>35</v>
      </c>
      <c r="N5" t="s">
        <v>43</v>
      </c>
      <c r="O5" t="s">
        <v>44</v>
      </c>
    </row>
    <row r="6" spans="1:15">
      <c r="A6" t="s">
        <v>54</v>
      </c>
      <c r="B6" s="3">
        <v>46207</v>
      </c>
      <c r="C6" t="s">
        <v>55</v>
      </c>
      <c r="D6" t="s">
        <v>56</v>
      </c>
      <c r="E6" t="s">
        <v>41</v>
      </c>
      <c r="F6" t="s">
        <v>53</v>
      </c>
      <c r="G6">
        <v>5</v>
      </c>
      <c r="H6" s="5">
        <v>2051.83</v>
      </c>
      <c r="I6" s="4">
        <v>0.2</v>
      </c>
      <c r="J6" s="5">
        <v>8207.32</v>
      </c>
      <c r="K6" s="5">
        <v>6877.01</v>
      </c>
      <c r="L6" s="5">
        <v>1330.31</v>
      </c>
      <c r="M6" t="s">
        <v>57</v>
      </c>
      <c r="N6" t="s">
        <v>43</v>
      </c>
      <c r="O6" t="s">
        <v>44</v>
      </c>
    </row>
    <row r="7" spans="1:15">
      <c r="A7" t="s">
        <v>58</v>
      </c>
      <c r="B7" s="3">
        <v>45757</v>
      </c>
      <c r="C7" t="s">
        <v>59</v>
      </c>
      <c r="D7" t="s">
        <v>60</v>
      </c>
      <c r="E7" t="s">
        <v>61</v>
      </c>
      <c r="F7" t="s">
        <v>62</v>
      </c>
      <c r="G7">
        <v>5</v>
      </c>
      <c r="H7" s="5">
        <v>4206.5600000000004</v>
      </c>
      <c r="I7" s="4">
        <v>0</v>
      </c>
      <c r="J7" s="5">
        <v>21032.799999999999</v>
      </c>
      <c r="K7" s="5">
        <v>16501.650000000001</v>
      </c>
      <c r="L7" s="5">
        <v>4531.1499999999996</v>
      </c>
      <c r="M7" t="s">
        <v>57</v>
      </c>
      <c r="N7" t="s">
        <v>63</v>
      </c>
      <c r="O7" t="s">
        <v>44</v>
      </c>
    </row>
    <row r="8" spans="1:15">
      <c r="A8" t="s">
        <v>64</v>
      </c>
      <c r="B8" s="3">
        <v>45922</v>
      </c>
      <c r="C8" t="s">
        <v>65</v>
      </c>
      <c r="D8" t="s">
        <v>66</v>
      </c>
      <c r="E8" t="s">
        <v>33</v>
      </c>
      <c r="F8" t="s">
        <v>67</v>
      </c>
      <c r="G8">
        <v>6</v>
      </c>
      <c r="H8" s="5">
        <v>1565.16</v>
      </c>
      <c r="I8" s="4">
        <v>0</v>
      </c>
      <c r="J8" s="5">
        <v>9390.9599999999991</v>
      </c>
      <c r="K8" s="5">
        <v>7467.25</v>
      </c>
      <c r="L8" s="5">
        <v>1923.71</v>
      </c>
      <c r="M8" t="s">
        <v>57</v>
      </c>
      <c r="N8" t="s">
        <v>63</v>
      </c>
      <c r="O8" t="s">
        <v>44</v>
      </c>
    </row>
    <row r="9" spans="1:15">
      <c r="A9" t="s">
        <v>68</v>
      </c>
      <c r="B9" s="3">
        <v>45803</v>
      </c>
      <c r="C9" t="s">
        <v>69</v>
      </c>
      <c r="D9" t="s">
        <v>56</v>
      </c>
      <c r="E9" t="s">
        <v>48</v>
      </c>
      <c r="F9" t="s">
        <v>70</v>
      </c>
      <c r="G9">
        <v>5</v>
      </c>
      <c r="H9" s="5">
        <v>789.07</v>
      </c>
      <c r="I9" s="4">
        <v>0.1</v>
      </c>
      <c r="J9" s="5">
        <v>3550.82</v>
      </c>
      <c r="K9" s="5">
        <v>2348.8200000000002</v>
      </c>
      <c r="L9" s="5">
        <v>1202</v>
      </c>
      <c r="M9" t="s">
        <v>57</v>
      </c>
      <c r="N9" t="s">
        <v>71</v>
      </c>
      <c r="O9" t="s">
        <v>37</v>
      </c>
    </row>
    <row r="10" spans="1:15">
      <c r="A10" t="s">
        <v>72</v>
      </c>
      <c r="B10" s="3">
        <v>45962</v>
      </c>
      <c r="C10" t="s">
        <v>73</v>
      </c>
      <c r="D10" t="s">
        <v>74</v>
      </c>
      <c r="E10" t="s">
        <v>61</v>
      </c>
      <c r="F10" t="s">
        <v>62</v>
      </c>
      <c r="G10">
        <v>4</v>
      </c>
      <c r="H10" s="5">
        <v>5105.62</v>
      </c>
      <c r="I10" s="4">
        <v>0.1</v>
      </c>
      <c r="J10" s="5">
        <v>18380.23</v>
      </c>
      <c r="K10" s="5">
        <v>11088.51</v>
      </c>
      <c r="L10" s="5">
        <v>7291.72</v>
      </c>
      <c r="M10" t="s">
        <v>35</v>
      </c>
      <c r="N10" t="s">
        <v>63</v>
      </c>
      <c r="O10" t="s">
        <v>44</v>
      </c>
    </row>
    <row r="11" spans="1:15">
      <c r="A11" t="s">
        <v>75</v>
      </c>
      <c r="B11" s="3">
        <v>45676</v>
      </c>
      <c r="C11" t="s">
        <v>76</v>
      </c>
      <c r="D11" t="s">
        <v>60</v>
      </c>
      <c r="E11" t="s">
        <v>33</v>
      </c>
      <c r="F11" t="s">
        <v>34</v>
      </c>
      <c r="G11">
        <v>1</v>
      </c>
      <c r="H11" s="5">
        <v>2653.55</v>
      </c>
      <c r="I11" s="4">
        <v>0.1</v>
      </c>
      <c r="J11" s="5">
        <v>2388.1999999999998</v>
      </c>
      <c r="K11" s="5">
        <v>1761.27</v>
      </c>
      <c r="L11" s="5">
        <v>626.92999999999995</v>
      </c>
      <c r="M11" t="s">
        <v>35</v>
      </c>
      <c r="N11" t="s">
        <v>71</v>
      </c>
      <c r="O11" t="s">
        <v>37</v>
      </c>
    </row>
    <row r="12" spans="1:15">
      <c r="A12" t="s">
        <v>77</v>
      </c>
      <c r="B12" s="3">
        <v>45815</v>
      </c>
      <c r="C12" t="s">
        <v>78</v>
      </c>
      <c r="D12" t="s">
        <v>56</v>
      </c>
      <c r="E12" t="s">
        <v>48</v>
      </c>
      <c r="F12" t="s">
        <v>70</v>
      </c>
      <c r="G12">
        <v>6</v>
      </c>
      <c r="H12" s="5">
        <v>4187.53</v>
      </c>
      <c r="I12" s="4">
        <v>0.05</v>
      </c>
      <c r="J12" s="5">
        <v>23868.92</v>
      </c>
      <c r="K12" s="5">
        <v>20074.740000000002</v>
      </c>
      <c r="L12" s="5">
        <v>3794.18</v>
      </c>
      <c r="M12" t="s">
        <v>35</v>
      </c>
      <c r="N12" t="s">
        <v>71</v>
      </c>
      <c r="O12" t="s">
        <v>44</v>
      </c>
    </row>
    <row r="13" spans="1:15">
      <c r="A13" t="s">
        <v>79</v>
      </c>
      <c r="B13" s="3">
        <v>45810</v>
      </c>
      <c r="C13" t="s">
        <v>80</v>
      </c>
      <c r="D13" t="s">
        <v>56</v>
      </c>
      <c r="E13" t="s">
        <v>61</v>
      </c>
      <c r="F13" t="s">
        <v>81</v>
      </c>
      <c r="G13">
        <v>3</v>
      </c>
      <c r="H13" s="5">
        <v>4164.28</v>
      </c>
      <c r="I13" s="4">
        <v>0</v>
      </c>
      <c r="J13" s="5">
        <v>12492.84</v>
      </c>
      <c r="K13" s="5">
        <v>10464.94</v>
      </c>
      <c r="L13" s="5">
        <v>2027.9</v>
      </c>
      <c r="M13" t="s">
        <v>57</v>
      </c>
      <c r="N13" t="s">
        <v>71</v>
      </c>
      <c r="O13" t="s">
        <v>44</v>
      </c>
    </row>
    <row r="14" spans="1:15">
      <c r="A14" t="s">
        <v>82</v>
      </c>
      <c r="B14" s="3">
        <v>45814</v>
      </c>
      <c r="C14" t="s">
        <v>83</v>
      </c>
      <c r="D14" t="s">
        <v>32</v>
      </c>
      <c r="E14" t="s">
        <v>61</v>
      </c>
      <c r="F14" t="s">
        <v>84</v>
      </c>
      <c r="G14">
        <v>3</v>
      </c>
      <c r="H14" s="5">
        <v>4842.67</v>
      </c>
      <c r="I14" s="4">
        <v>0.15</v>
      </c>
      <c r="J14" s="5">
        <v>12348.81</v>
      </c>
      <c r="K14" s="5">
        <v>8915.91</v>
      </c>
      <c r="L14" s="5">
        <v>3432.9</v>
      </c>
      <c r="M14" t="s">
        <v>57</v>
      </c>
      <c r="N14" t="s">
        <v>43</v>
      </c>
      <c r="O14" t="s">
        <v>44</v>
      </c>
    </row>
    <row r="15" spans="1:15">
      <c r="A15" t="s">
        <v>85</v>
      </c>
      <c r="B15" s="3">
        <v>46227</v>
      </c>
      <c r="C15" t="s">
        <v>86</v>
      </c>
      <c r="D15" t="s">
        <v>74</v>
      </c>
      <c r="E15" t="s">
        <v>61</v>
      </c>
      <c r="F15" t="s">
        <v>62</v>
      </c>
      <c r="G15">
        <v>5</v>
      </c>
      <c r="H15" s="5">
        <v>826.11</v>
      </c>
      <c r="I15" s="4">
        <v>0.15</v>
      </c>
      <c r="J15" s="5">
        <v>3510.97</v>
      </c>
      <c r="K15" s="5">
        <v>2116.2399999999998</v>
      </c>
      <c r="L15" s="5">
        <v>1394.73</v>
      </c>
      <c r="M15" t="s">
        <v>35</v>
      </c>
      <c r="N15" t="s">
        <v>63</v>
      </c>
      <c r="O15" t="s">
        <v>44</v>
      </c>
    </row>
    <row r="16" spans="1:15">
      <c r="A16" t="s">
        <v>87</v>
      </c>
      <c r="B16" s="3">
        <v>45888</v>
      </c>
      <c r="C16" t="s">
        <v>88</v>
      </c>
      <c r="D16" t="s">
        <v>40</v>
      </c>
      <c r="E16" t="s">
        <v>61</v>
      </c>
      <c r="F16" t="s">
        <v>89</v>
      </c>
      <c r="G16">
        <v>1</v>
      </c>
      <c r="H16" s="5">
        <v>5435.62</v>
      </c>
      <c r="I16" s="4">
        <v>0</v>
      </c>
      <c r="J16" s="5">
        <v>5435.62</v>
      </c>
      <c r="K16" s="5">
        <v>3773.77</v>
      </c>
      <c r="L16" s="5">
        <v>1661.85</v>
      </c>
      <c r="M16" t="s">
        <v>35</v>
      </c>
      <c r="N16" t="s">
        <v>43</v>
      </c>
      <c r="O16" t="s">
        <v>37</v>
      </c>
    </row>
    <row r="17" spans="1:15">
      <c r="A17" t="s">
        <v>90</v>
      </c>
      <c r="B17" s="3">
        <v>45886</v>
      </c>
      <c r="C17" t="s">
        <v>91</v>
      </c>
      <c r="D17" t="s">
        <v>56</v>
      </c>
      <c r="E17" t="s">
        <v>33</v>
      </c>
      <c r="F17" t="s">
        <v>92</v>
      </c>
      <c r="G17">
        <v>4</v>
      </c>
      <c r="H17" s="5">
        <v>2886.63</v>
      </c>
      <c r="I17" s="4">
        <v>0.1</v>
      </c>
      <c r="J17" s="5">
        <v>10391.870000000001</v>
      </c>
      <c r="K17" s="5">
        <v>6678.99</v>
      </c>
      <c r="L17" s="5">
        <v>3712.88</v>
      </c>
      <c r="M17" t="s">
        <v>35</v>
      </c>
      <c r="N17" t="s">
        <v>36</v>
      </c>
      <c r="O17" t="s">
        <v>44</v>
      </c>
    </row>
    <row r="18" spans="1:15">
      <c r="A18" t="s">
        <v>93</v>
      </c>
      <c r="B18" s="3">
        <v>45794</v>
      </c>
      <c r="C18" t="s">
        <v>94</v>
      </c>
      <c r="D18" t="s">
        <v>95</v>
      </c>
      <c r="E18" t="s">
        <v>33</v>
      </c>
      <c r="F18" t="s">
        <v>96</v>
      </c>
      <c r="G18">
        <v>3</v>
      </c>
      <c r="H18" s="5">
        <v>4703.0200000000004</v>
      </c>
      <c r="I18" s="4">
        <v>0</v>
      </c>
      <c r="J18" s="5">
        <v>14109.06</v>
      </c>
      <c r="K18" s="5">
        <v>11022.12</v>
      </c>
      <c r="L18" s="5">
        <v>3086.94</v>
      </c>
      <c r="M18" t="s">
        <v>35</v>
      </c>
      <c r="N18" t="s">
        <v>36</v>
      </c>
      <c r="O18" t="s">
        <v>37</v>
      </c>
    </row>
    <row r="19" spans="1:15">
      <c r="A19" t="s">
        <v>97</v>
      </c>
      <c r="B19" s="3">
        <v>46125</v>
      </c>
      <c r="C19" t="s">
        <v>98</v>
      </c>
      <c r="D19" t="s">
        <v>56</v>
      </c>
      <c r="E19" t="s">
        <v>48</v>
      </c>
      <c r="F19" t="s">
        <v>99</v>
      </c>
      <c r="G19">
        <v>5</v>
      </c>
      <c r="H19" s="5">
        <v>1751.75</v>
      </c>
      <c r="I19" s="4">
        <v>0.1</v>
      </c>
      <c r="J19" s="5">
        <v>7882.88</v>
      </c>
      <c r="K19" s="5">
        <v>6503.76</v>
      </c>
      <c r="L19" s="5">
        <v>1379.12</v>
      </c>
      <c r="M19" t="s">
        <v>57</v>
      </c>
      <c r="N19" t="s">
        <v>71</v>
      </c>
      <c r="O19" t="s">
        <v>44</v>
      </c>
    </row>
    <row r="20" spans="1:15">
      <c r="A20" t="s">
        <v>100</v>
      </c>
      <c r="B20" s="3">
        <v>46046</v>
      </c>
      <c r="C20" t="s">
        <v>101</v>
      </c>
      <c r="D20" t="s">
        <v>66</v>
      </c>
      <c r="E20" t="s">
        <v>48</v>
      </c>
      <c r="F20" t="s">
        <v>102</v>
      </c>
      <c r="G20">
        <v>6</v>
      </c>
      <c r="H20" s="5">
        <v>4087.56</v>
      </c>
      <c r="I20" s="4">
        <v>0.1</v>
      </c>
      <c r="J20" s="5">
        <v>22072.82</v>
      </c>
      <c r="K20" s="5">
        <v>18301.07</v>
      </c>
      <c r="L20" s="5">
        <v>3771.75</v>
      </c>
      <c r="M20" t="s">
        <v>57</v>
      </c>
      <c r="N20" t="s">
        <v>63</v>
      </c>
      <c r="O20" t="s">
        <v>37</v>
      </c>
    </row>
    <row r="21" spans="1:15">
      <c r="A21" t="s">
        <v>103</v>
      </c>
      <c r="B21" s="3">
        <v>46257</v>
      </c>
      <c r="C21" t="s">
        <v>104</v>
      </c>
      <c r="D21" t="s">
        <v>40</v>
      </c>
      <c r="E21" t="s">
        <v>61</v>
      </c>
      <c r="F21" t="s">
        <v>84</v>
      </c>
      <c r="G21">
        <v>5</v>
      </c>
      <c r="H21" s="5">
        <v>4829.7</v>
      </c>
      <c r="I21" s="4">
        <v>0.15</v>
      </c>
      <c r="J21" s="5">
        <v>20526.22</v>
      </c>
      <c r="K21" s="5">
        <v>14879.32</v>
      </c>
      <c r="L21" s="5">
        <v>5646.9</v>
      </c>
      <c r="M21" t="s">
        <v>57</v>
      </c>
      <c r="N21" t="s">
        <v>63</v>
      </c>
      <c r="O21" t="s">
        <v>37</v>
      </c>
    </row>
    <row r="22" spans="1:15">
      <c r="A22" t="s">
        <v>105</v>
      </c>
      <c r="B22" s="3">
        <v>45740</v>
      </c>
      <c r="C22" t="s">
        <v>106</v>
      </c>
      <c r="D22" t="s">
        <v>95</v>
      </c>
      <c r="E22" t="s">
        <v>33</v>
      </c>
      <c r="F22" t="s">
        <v>96</v>
      </c>
      <c r="G22">
        <v>3</v>
      </c>
      <c r="H22" s="5">
        <v>372.88</v>
      </c>
      <c r="I22" s="4">
        <v>0.2</v>
      </c>
      <c r="J22" s="5">
        <v>894.91</v>
      </c>
      <c r="K22" s="5">
        <v>639.48</v>
      </c>
      <c r="L22" s="5">
        <v>255.43</v>
      </c>
      <c r="M22" t="s">
        <v>57</v>
      </c>
      <c r="N22" t="s">
        <v>63</v>
      </c>
      <c r="O22" t="s">
        <v>37</v>
      </c>
    </row>
    <row r="23" spans="1:15">
      <c r="A23" t="s">
        <v>107</v>
      </c>
      <c r="B23" s="3">
        <v>45682</v>
      </c>
      <c r="C23" t="s">
        <v>108</v>
      </c>
      <c r="D23" t="s">
        <v>60</v>
      </c>
      <c r="E23" t="s">
        <v>33</v>
      </c>
      <c r="F23" t="s">
        <v>92</v>
      </c>
      <c r="G23">
        <v>3</v>
      </c>
      <c r="H23" s="5">
        <v>3032.19</v>
      </c>
      <c r="I23" s="4">
        <v>0.2</v>
      </c>
      <c r="J23" s="5">
        <v>7277.26</v>
      </c>
      <c r="K23" s="5">
        <v>4780.34</v>
      </c>
      <c r="L23" s="5">
        <v>2496.92</v>
      </c>
      <c r="M23" t="s">
        <v>57</v>
      </c>
      <c r="N23" t="s">
        <v>36</v>
      </c>
      <c r="O23" t="s">
        <v>44</v>
      </c>
    </row>
    <row r="24" spans="1:15">
      <c r="A24" t="s">
        <v>109</v>
      </c>
      <c r="B24" s="3">
        <v>45947</v>
      </c>
      <c r="C24" t="s">
        <v>110</v>
      </c>
      <c r="D24" t="s">
        <v>95</v>
      </c>
      <c r="E24" t="s">
        <v>33</v>
      </c>
      <c r="F24" t="s">
        <v>96</v>
      </c>
      <c r="G24">
        <v>6</v>
      </c>
      <c r="H24" s="5">
        <v>3369.69</v>
      </c>
      <c r="I24" s="4">
        <v>0</v>
      </c>
      <c r="J24" s="5">
        <v>20218.14</v>
      </c>
      <c r="K24" s="5">
        <v>12229.23</v>
      </c>
      <c r="L24" s="5">
        <v>7988.91</v>
      </c>
      <c r="M24" t="s">
        <v>57</v>
      </c>
      <c r="N24" t="s">
        <v>71</v>
      </c>
      <c r="O24" t="s">
        <v>44</v>
      </c>
    </row>
    <row r="25" spans="1:15">
      <c r="A25" t="s">
        <v>111</v>
      </c>
      <c r="B25" s="3">
        <v>45749</v>
      </c>
      <c r="C25" t="s">
        <v>112</v>
      </c>
      <c r="D25" t="s">
        <v>40</v>
      </c>
      <c r="E25" t="s">
        <v>48</v>
      </c>
      <c r="F25" t="s">
        <v>113</v>
      </c>
      <c r="G25">
        <v>2</v>
      </c>
      <c r="H25" s="5">
        <v>2666.89</v>
      </c>
      <c r="I25" s="4">
        <v>0.15</v>
      </c>
      <c r="J25" s="5">
        <v>4533.71</v>
      </c>
      <c r="K25" s="5">
        <v>3296.17</v>
      </c>
      <c r="L25" s="5">
        <v>1237.54</v>
      </c>
      <c r="M25" t="s">
        <v>35</v>
      </c>
      <c r="N25" t="s">
        <v>43</v>
      </c>
      <c r="O25" t="s">
        <v>44</v>
      </c>
    </row>
    <row r="26" spans="1:15">
      <c r="A26" t="s">
        <v>114</v>
      </c>
      <c r="B26" s="3">
        <v>45766</v>
      </c>
      <c r="C26" t="s">
        <v>115</v>
      </c>
      <c r="D26" t="s">
        <v>32</v>
      </c>
      <c r="E26" t="s">
        <v>48</v>
      </c>
      <c r="F26" t="s">
        <v>49</v>
      </c>
      <c r="G26">
        <v>5</v>
      </c>
      <c r="H26" s="5">
        <v>2001.81</v>
      </c>
      <c r="I26" s="4">
        <v>0</v>
      </c>
      <c r="J26" s="5">
        <v>10009.049999999999</v>
      </c>
      <c r="K26" s="5">
        <v>7152.5</v>
      </c>
      <c r="L26" s="5">
        <v>2856.55</v>
      </c>
      <c r="M26" t="s">
        <v>35</v>
      </c>
      <c r="N26" t="s">
        <v>71</v>
      </c>
      <c r="O26" t="s">
        <v>37</v>
      </c>
    </row>
    <row r="27" spans="1:15">
      <c r="A27" t="s">
        <v>116</v>
      </c>
      <c r="B27" s="3">
        <v>45760</v>
      </c>
      <c r="C27" t="s">
        <v>117</v>
      </c>
      <c r="D27" t="s">
        <v>40</v>
      </c>
      <c r="E27" t="s">
        <v>41</v>
      </c>
      <c r="F27" t="s">
        <v>42</v>
      </c>
      <c r="G27">
        <v>6</v>
      </c>
      <c r="H27" s="5">
        <v>3579.33</v>
      </c>
      <c r="I27" s="4">
        <v>0</v>
      </c>
      <c r="J27" s="5">
        <v>21475.98</v>
      </c>
      <c r="K27" s="5">
        <v>15043.22</v>
      </c>
      <c r="L27" s="5">
        <v>6432.76</v>
      </c>
      <c r="M27" t="s">
        <v>35</v>
      </c>
      <c r="N27" t="s">
        <v>71</v>
      </c>
      <c r="O27" t="s">
        <v>44</v>
      </c>
    </row>
    <row r="28" spans="1:15">
      <c r="A28" t="s">
        <v>118</v>
      </c>
      <c r="B28" s="3">
        <v>45693</v>
      </c>
      <c r="C28" t="s">
        <v>112</v>
      </c>
      <c r="D28" t="s">
        <v>40</v>
      </c>
      <c r="E28" t="s">
        <v>41</v>
      </c>
      <c r="F28" t="s">
        <v>119</v>
      </c>
      <c r="G28">
        <v>6</v>
      </c>
      <c r="H28" s="5">
        <v>4548.2299999999996</v>
      </c>
      <c r="I28" s="4">
        <v>0.2</v>
      </c>
      <c r="J28" s="5">
        <v>21831.5</v>
      </c>
      <c r="K28" s="5">
        <v>13150.26</v>
      </c>
      <c r="L28" s="5">
        <v>8681.24</v>
      </c>
      <c r="M28" t="s">
        <v>57</v>
      </c>
      <c r="N28" t="s">
        <v>36</v>
      </c>
      <c r="O28" t="s">
        <v>44</v>
      </c>
    </row>
    <row r="29" spans="1:15">
      <c r="A29" t="s">
        <v>120</v>
      </c>
      <c r="B29" s="3">
        <v>46010</v>
      </c>
      <c r="C29" t="s">
        <v>121</v>
      </c>
      <c r="D29" t="s">
        <v>40</v>
      </c>
      <c r="E29" t="s">
        <v>33</v>
      </c>
      <c r="F29" t="s">
        <v>34</v>
      </c>
      <c r="G29">
        <v>3</v>
      </c>
      <c r="H29" s="5">
        <v>3809.06</v>
      </c>
      <c r="I29" s="4">
        <v>0.1</v>
      </c>
      <c r="J29" s="5">
        <v>10284.459999999999</v>
      </c>
      <c r="K29" s="5">
        <v>6009.63</v>
      </c>
      <c r="L29" s="5">
        <v>4274.83</v>
      </c>
      <c r="M29" t="s">
        <v>35</v>
      </c>
      <c r="N29" t="s">
        <v>43</v>
      </c>
      <c r="O29" t="s">
        <v>37</v>
      </c>
    </row>
    <row r="30" spans="1:15">
      <c r="A30" t="s">
        <v>122</v>
      </c>
      <c r="B30" s="3">
        <v>45677</v>
      </c>
      <c r="C30" t="s">
        <v>123</v>
      </c>
      <c r="D30" t="s">
        <v>52</v>
      </c>
      <c r="E30" t="s">
        <v>41</v>
      </c>
      <c r="F30" t="s">
        <v>124</v>
      </c>
      <c r="G30">
        <v>3</v>
      </c>
      <c r="H30" s="5">
        <v>907.79</v>
      </c>
      <c r="I30" s="4">
        <v>0</v>
      </c>
      <c r="J30" s="5">
        <v>2723.37</v>
      </c>
      <c r="K30" s="5">
        <v>1908.82</v>
      </c>
      <c r="L30" s="5">
        <v>814.55</v>
      </c>
      <c r="M30" t="s">
        <v>35</v>
      </c>
      <c r="N30" t="s">
        <v>71</v>
      </c>
      <c r="O30" t="s">
        <v>37</v>
      </c>
    </row>
    <row r="31" spans="1:15">
      <c r="A31" t="s">
        <v>125</v>
      </c>
      <c r="B31" s="3">
        <v>45856</v>
      </c>
      <c r="C31" t="s">
        <v>123</v>
      </c>
      <c r="D31" t="s">
        <v>66</v>
      </c>
      <c r="E31" t="s">
        <v>48</v>
      </c>
      <c r="F31" t="s">
        <v>49</v>
      </c>
      <c r="G31">
        <v>5</v>
      </c>
      <c r="H31" s="5">
        <v>2821.29</v>
      </c>
      <c r="I31" s="4">
        <v>0</v>
      </c>
      <c r="J31" s="5">
        <v>14106.45</v>
      </c>
      <c r="K31" s="5">
        <v>10700.9</v>
      </c>
      <c r="L31" s="5">
        <v>3405.55</v>
      </c>
      <c r="M31" t="s">
        <v>35</v>
      </c>
      <c r="N31" t="s">
        <v>71</v>
      </c>
      <c r="O31" t="s">
        <v>44</v>
      </c>
    </row>
    <row r="32" spans="1:15">
      <c r="A32" t="s">
        <v>126</v>
      </c>
      <c r="B32" s="3">
        <v>45983</v>
      </c>
      <c r="C32" t="s">
        <v>127</v>
      </c>
      <c r="D32" t="s">
        <v>47</v>
      </c>
      <c r="E32" t="s">
        <v>61</v>
      </c>
      <c r="F32" t="s">
        <v>89</v>
      </c>
      <c r="G32">
        <v>4</v>
      </c>
      <c r="H32" s="5">
        <v>1176.53</v>
      </c>
      <c r="I32" s="4">
        <v>0.2</v>
      </c>
      <c r="J32" s="5">
        <v>3764.9</v>
      </c>
      <c r="K32" s="5">
        <v>2573.9499999999998</v>
      </c>
      <c r="L32" s="5">
        <v>1190.95</v>
      </c>
      <c r="M32" t="s">
        <v>57</v>
      </c>
      <c r="N32" t="s">
        <v>71</v>
      </c>
      <c r="O32" t="s">
        <v>44</v>
      </c>
    </row>
    <row r="33" spans="1:15">
      <c r="A33" t="s">
        <v>128</v>
      </c>
      <c r="B33" s="3">
        <v>45881</v>
      </c>
      <c r="C33" t="s">
        <v>123</v>
      </c>
      <c r="D33" t="s">
        <v>95</v>
      </c>
      <c r="E33" t="s">
        <v>61</v>
      </c>
      <c r="F33" t="s">
        <v>129</v>
      </c>
      <c r="G33">
        <v>2</v>
      </c>
      <c r="H33" s="5">
        <v>2667.87</v>
      </c>
      <c r="I33" s="4">
        <v>0.15</v>
      </c>
      <c r="J33" s="5">
        <v>4535.38</v>
      </c>
      <c r="K33" s="5">
        <v>3695.38</v>
      </c>
      <c r="L33" s="5">
        <v>840</v>
      </c>
      <c r="M33" t="s">
        <v>35</v>
      </c>
      <c r="N33" t="s">
        <v>36</v>
      </c>
      <c r="O33" t="s">
        <v>44</v>
      </c>
    </row>
    <row r="34" spans="1:15">
      <c r="A34" t="s">
        <v>130</v>
      </c>
      <c r="B34" s="3">
        <v>45977</v>
      </c>
      <c r="C34" t="s">
        <v>131</v>
      </c>
      <c r="D34" t="s">
        <v>40</v>
      </c>
      <c r="E34" t="s">
        <v>48</v>
      </c>
      <c r="F34" t="s">
        <v>102</v>
      </c>
      <c r="G34">
        <v>1</v>
      </c>
      <c r="H34" s="5">
        <v>2293.54</v>
      </c>
      <c r="I34" s="4">
        <v>0.05</v>
      </c>
      <c r="J34" s="5">
        <v>2178.86</v>
      </c>
      <c r="K34" s="5">
        <v>1746.43</v>
      </c>
      <c r="L34" s="5">
        <v>432.43</v>
      </c>
      <c r="M34" t="s">
        <v>57</v>
      </c>
      <c r="N34" t="s">
        <v>43</v>
      </c>
      <c r="O34" t="s">
        <v>44</v>
      </c>
    </row>
    <row r="35" spans="1:15">
      <c r="A35" t="s">
        <v>132</v>
      </c>
      <c r="B35" s="3">
        <v>46224</v>
      </c>
      <c r="C35" t="s">
        <v>133</v>
      </c>
      <c r="D35" t="s">
        <v>134</v>
      </c>
      <c r="E35" t="s">
        <v>48</v>
      </c>
      <c r="F35" t="s">
        <v>113</v>
      </c>
      <c r="G35">
        <v>6</v>
      </c>
      <c r="H35" s="5">
        <v>2529.13</v>
      </c>
      <c r="I35" s="4">
        <v>0</v>
      </c>
      <c r="J35" s="5">
        <v>15174.78</v>
      </c>
      <c r="K35" s="5">
        <v>9646.08</v>
      </c>
      <c r="L35" s="5">
        <v>5528.7</v>
      </c>
      <c r="M35" t="s">
        <v>35</v>
      </c>
      <c r="N35" t="s">
        <v>36</v>
      </c>
      <c r="O35" t="s">
        <v>37</v>
      </c>
    </row>
    <row r="36" spans="1:15">
      <c r="A36" t="s">
        <v>135</v>
      </c>
      <c r="B36" s="3">
        <v>45967</v>
      </c>
      <c r="C36" t="s">
        <v>136</v>
      </c>
      <c r="D36" t="s">
        <v>134</v>
      </c>
      <c r="E36" t="s">
        <v>48</v>
      </c>
      <c r="F36" t="s">
        <v>113</v>
      </c>
      <c r="G36">
        <v>3</v>
      </c>
      <c r="H36" s="5">
        <v>2561.75</v>
      </c>
      <c r="I36" s="4">
        <v>0.1</v>
      </c>
      <c r="J36" s="5">
        <v>6916.73</v>
      </c>
      <c r="K36" s="5">
        <v>5555</v>
      </c>
      <c r="L36" s="5">
        <v>1361.73</v>
      </c>
      <c r="M36" t="s">
        <v>57</v>
      </c>
      <c r="N36" t="s">
        <v>71</v>
      </c>
      <c r="O36" t="s">
        <v>44</v>
      </c>
    </row>
    <row r="37" spans="1:15">
      <c r="A37" t="s">
        <v>137</v>
      </c>
      <c r="B37" s="3">
        <v>45885</v>
      </c>
      <c r="C37" t="s">
        <v>138</v>
      </c>
      <c r="D37" t="s">
        <v>60</v>
      </c>
      <c r="E37" t="s">
        <v>48</v>
      </c>
      <c r="F37" t="s">
        <v>99</v>
      </c>
      <c r="G37">
        <v>5</v>
      </c>
      <c r="H37" s="5">
        <v>3974.4</v>
      </c>
      <c r="I37" s="4">
        <v>0.05</v>
      </c>
      <c r="J37" s="5">
        <v>18878.400000000001</v>
      </c>
      <c r="K37" s="5">
        <v>11810.07</v>
      </c>
      <c r="L37" s="5">
        <v>7068.33</v>
      </c>
      <c r="M37" t="s">
        <v>57</v>
      </c>
      <c r="N37" t="s">
        <v>63</v>
      </c>
      <c r="O37" t="s">
        <v>44</v>
      </c>
    </row>
    <row r="38" spans="1:15">
      <c r="A38" t="s">
        <v>139</v>
      </c>
      <c r="B38" s="3">
        <v>45875</v>
      </c>
      <c r="C38" t="s">
        <v>140</v>
      </c>
      <c r="D38" t="s">
        <v>66</v>
      </c>
      <c r="E38" t="s">
        <v>61</v>
      </c>
      <c r="F38" t="s">
        <v>129</v>
      </c>
      <c r="G38">
        <v>4</v>
      </c>
      <c r="H38" s="5">
        <v>5418.72</v>
      </c>
      <c r="I38" s="4">
        <v>0.15</v>
      </c>
      <c r="J38" s="5">
        <v>18423.650000000001</v>
      </c>
      <c r="K38" s="5">
        <v>10608.96</v>
      </c>
      <c r="L38" s="5">
        <v>7814.69</v>
      </c>
      <c r="M38" t="s">
        <v>35</v>
      </c>
      <c r="N38" t="s">
        <v>71</v>
      </c>
      <c r="O38" t="s">
        <v>44</v>
      </c>
    </row>
    <row r="39" spans="1:15">
      <c r="A39" t="s">
        <v>141</v>
      </c>
      <c r="B39" s="3">
        <v>46133</v>
      </c>
      <c r="C39" t="s">
        <v>142</v>
      </c>
      <c r="D39" t="s">
        <v>40</v>
      </c>
      <c r="E39" t="s">
        <v>41</v>
      </c>
      <c r="F39" t="s">
        <v>119</v>
      </c>
      <c r="G39">
        <v>6</v>
      </c>
      <c r="H39" s="5">
        <v>5136.76</v>
      </c>
      <c r="I39" s="4">
        <v>0</v>
      </c>
      <c r="J39" s="5">
        <v>30820.560000000001</v>
      </c>
      <c r="K39" s="5">
        <v>18067.060000000001</v>
      </c>
      <c r="L39" s="5">
        <v>12753.5</v>
      </c>
      <c r="M39" t="s">
        <v>35</v>
      </c>
      <c r="N39" t="s">
        <v>63</v>
      </c>
      <c r="O39" t="s">
        <v>44</v>
      </c>
    </row>
    <row r="40" spans="1:15">
      <c r="A40" t="s">
        <v>143</v>
      </c>
      <c r="B40" s="3">
        <v>45941</v>
      </c>
      <c r="C40" t="s">
        <v>144</v>
      </c>
      <c r="D40" t="s">
        <v>66</v>
      </c>
      <c r="E40" t="s">
        <v>33</v>
      </c>
      <c r="F40" t="s">
        <v>67</v>
      </c>
      <c r="G40">
        <v>2</v>
      </c>
      <c r="H40" s="5">
        <v>3576.69</v>
      </c>
      <c r="I40" s="4">
        <v>0.15</v>
      </c>
      <c r="J40" s="5">
        <v>6080.37</v>
      </c>
      <c r="K40" s="5">
        <v>4755.9399999999996</v>
      </c>
      <c r="L40" s="5">
        <v>1324.43</v>
      </c>
      <c r="M40" t="s">
        <v>57</v>
      </c>
      <c r="N40" t="s">
        <v>63</v>
      </c>
      <c r="O40" t="s">
        <v>37</v>
      </c>
    </row>
    <row r="41" spans="1:15">
      <c r="A41" t="s">
        <v>145</v>
      </c>
      <c r="B41" s="3">
        <v>46150</v>
      </c>
      <c r="C41" t="s">
        <v>146</v>
      </c>
      <c r="D41" t="s">
        <v>56</v>
      </c>
      <c r="E41" t="s">
        <v>61</v>
      </c>
      <c r="F41" t="s">
        <v>89</v>
      </c>
      <c r="G41">
        <v>1</v>
      </c>
      <c r="H41" s="5">
        <v>5068.78</v>
      </c>
      <c r="I41" s="4">
        <v>0</v>
      </c>
      <c r="J41" s="5">
        <v>5068.78</v>
      </c>
      <c r="K41" s="5">
        <v>3003.69</v>
      </c>
      <c r="L41" s="5">
        <v>2065.09</v>
      </c>
      <c r="M41" t="s">
        <v>57</v>
      </c>
      <c r="N41" t="s">
        <v>71</v>
      </c>
      <c r="O41" t="s">
        <v>44</v>
      </c>
    </row>
    <row r="42" spans="1:15">
      <c r="A42" t="s">
        <v>147</v>
      </c>
      <c r="B42" s="3">
        <v>45676</v>
      </c>
      <c r="C42" t="s">
        <v>148</v>
      </c>
      <c r="D42" t="s">
        <v>60</v>
      </c>
      <c r="E42" t="s">
        <v>41</v>
      </c>
      <c r="F42" t="s">
        <v>124</v>
      </c>
      <c r="G42">
        <v>3</v>
      </c>
      <c r="H42" s="5">
        <v>3726.87</v>
      </c>
      <c r="I42" s="4">
        <v>0.15</v>
      </c>
      <c r="J42" s="5">
        <v>9503.52</v>
      </c>
      <c r="K42" s="5">
        <v>6028.16</v>
      </c>
      <c r="L42" s="5">
        <v>3475.36</v>
      </c>
      <c r="M42" t="s">
        <v>57</v>
      </c>
      <c r="N42" t="s">
        <v>71</v>
      </c>
      <c r="O42" t="s">
        <v>44</v>
      </c>
    </row>
    <row r="43" spans="1:15">
      <c r="A43" t="s">
        <v>149</v>
      </c>
      <c r="B43" s="3">
        <v>46176</v>
      </c>
      <c r="C43" t="s">
        <v>150</v>
      </c>
      <c r="D43" t="s">
        <v>52</v>
      </c>
      <c r="E43" t="s">
        <v>41</v>
      </c>
      <c r="F43" t="s">
        <v>53</v>
      </c>
      <c r="G43">
        <v>4</v>
      </c>
      <c r="H43" s="5">
        <v>2077.66</v>
      </c>
      <c r="I43" s="4">
        <v>0.2</v>
      </c>
      <c r="J43" s="5">
        <v>6648.51</v>
      </c>
      <c r="K43" s="5">
        <v>4541.45</v>
      </c>
      <c r="L43" s="5">
        <v>2107.06</v>
      </c>
      <c r="M43" t="s">
        <v>35</v>
      </c>
      <c r="N43" t="s">
        <v>43</v>
      </c>
      <c r="O43" t="s">
        <v>44</v>
      </c>
    </row>
    <row r="44" spans="1:15">
      <c r="A44" t="s">
        <v>151</v>
      </c>
      <c r="B44" s="3">
        <v>45971</v>
      </c>
      <c r="C44" t="s">
        <v>152</v>
      </c>
      <c r="D44" t="s">
        <v>74</v>
      </c>
      <c r="E44" t="s">
        <v>41</v>
      </c>
      <c r="F44" t="s">
        <v>153</v>
      </c>
      <c r="G44">
        <v>3</v>
      </c>
      <c r="H44" s="5">
        <v>1902.85</v>
      </c>
      <c r="I44" s="4">
        <v>0</v>
      </c>
      <c r="J44" s="5">
        <v>5708.55</v>
      </c>
      <c r="K44" s="5">
        <v>3255.08</v>
      </c>
      <c r="L44" s="5">
        <v>2453.4699999999998</v>
      </c>
      <c r="M44" t="s">
        <v>57</v>
      </c>
      <c r="N44" t="s">
        <v>71</v>
      </c>
      <c r="O44" t="s">
        <v>37</v>
      </c>
    </row>
    <row r="45" spans="1:15">
      <c r="A45" t="s">
        <v>154</v>
      </c>
      <c r="B45" s="3">
        <v>45853</v>
      </c>
      <c r="C45" t="s">
        <v>155</v>
      </c>
      <c r="D45" t="s">
        <v>95</v>
      </c>
      <c r="E45" t="s">
        <v>33</v>
      </c>
      <c r="F45" t="s">
        <v>34</v>
      </c>
      <c r="G45">
        <v>1</v>
      </c>
      <c r="H45" s="5">
        <v>1950.59</v>
      </c>
      <c r="I45" s="4">
        <v>0.1</v>
      </c>
      <c r="J45" s="5">
        <v>1755.53</v>
      </c>
      <c r="K45" s="5">
        <v>1303.9000000000001</v>
      </c>
      <c r="L45" s="5">
        <v>451.63</v>
      </c>
      <c r="M45" t="s">
        <v>57</v>
      </c>
      <c r="N45" t="s">
        <v>43</v>
      </c>
      <c r="O45" t="s">
        <v>37</v>
      </c>
    </row>
    <row r="46" spans="1:15">
      <c r="A46" t="s">
        <v>156</v>
      </c>
      <c r="B46" s="3">
        <v>46214</v>
      </c>
      <c r="C46" t="s">
        <v>157</v>
      </c>
      <c r="D46" t="s">
        <v>47</v>
      </c>
      <c r="E46" t="s">
        <v>33</v>
      </c>
      <c r="F46" t="s">
        <v>92</v>
      </c>
      <c r="G46">
        <v>5</v>
      </c>
      <c r="H46" s="5">
        <v>1664.98</v>
      </c>
      <c r="I46" s="4">
        <v>0.2</v>
      </c>
      <c r="J46" s="5">
        <v>6659.92</v>
      </c>
      <c r="K46" s="5">
        <v>4895.45</v>
      </c>
      <c r="L46" s="5">
        <v>1764.47</v>
      </c>
      <c r="M46" t="s">
        <v>35</v>
      </c>
      <c r="N46" t="s">
        <v>43</v>
      </c>
      <c r="O46" t="s">
        <v>44</v>
      </c>
    </row>
    <row r="47" spans="1:15">
      <c r="A47" t="s">
        <v>158</v>
      </c>
      <c r="B47" s="3">
        <v>46242</v>
      </c>
      <c r="C47" t="s">
        <v>159</v>
      </c>
      <c r="D47" t="s">
        <v>74</v>
      </c>
      <c r="E47" t="s">
        <v>61</v>
      </c>
      <c r="F47" t="s">
        <v>81</v>
      </c>
      <c r="G47">
        <v>3</v>
      </c>
      <c r="H47" s="5">
        <v>3108.38</v>
      </c>
      <c r="I47" s="4">
        <v>0</v>
      </c>
      <c r="J47" s="5">
        <v>9325.14</v>
      </c>
      <c r="K47" s="5">
        <v>6012.92</v>
      </c>
      <c r="L47" s="5">
        <v>3312.22</v>
      </c>
      <c r="M47" t="s">
        <v>57</v>
      </c>
      <c r="N47" t="s">
        <v>36</v>
      </c>
      <c r="O47" t="s">
        <v>44</v>
      </c>
    </row>
    <row r="48" spans="1:15">
      <c r="A48" t="s">
        <v>160</v>
      </c>
      <c r="B48" s="3">
        <v>45733</v>
      </c>
      <c r="C48" t="s">
        <v>161</v>
      </c>
      <c r="D48" t="s">
        <v>66</v>
      </c>
      <c r="E48" t="s">
        <v>61</v>
      </c>
      <c r="F48" t="s">
        <v>62</v>
      </c>
      <c r="G48">
        <v>1</v>
      </c>
      <c r="H48" s="5">
        <v>673.16</v>
      </c>
      <c r="I48" s="4">
        <v>0.1</v>
      </c>
      <c r="J48" s="5">
        <v>605.84</v>
      </c>
      <c r="K48" s="5">
        <v>424.3</v>
      </c>
      <c r="L48" s="5">
        <v>181.54</v>
      </c>
      <c r="M48" t="s">
        <v>57</v>
      </c>
      <c r="N48" t="s">
        <v>36</v>
      </c>
      <c r="O48" t="s">
        <v>44</v>
      </c>
    </row>
    <row r="49" spans="1:15">
      <c r="A49" t="s">
        <v>162</v>
      </c>
      <c r="B49" s="3">
        <v>46157</v>
      </c>
      <c r="C49" t="s">
        <v>94</v>
      </c>
      <c r="D49" t="s">
        <v>66</v>
      </c>
      <c r="E49" t="s">
        <v>33</v>
      </c>
      <c r="F49" t="s">
        <v>67</v>
      </c>
      <c r="G49">
        <v>2</v>
      </c>
      <c r="H49" s="5">
        <v>4259.41</v>
      </c>
      <c r="I49" s="4">
        <v>0.05</v>
      </c>
      <c r="J49" s="5">
        <v>8092.88</v>
      </c>
      <c r="K49" s="5">
        <v>6683.47</v>
      </c>
      <c r="L49" s="5">
        <v>1409.41</v>
      </c>
      <c r="M49" t="s">
        <v>57</v>
      </c>
      <c r="N49" t="s">
        <v>36</v>
      </c>
      <c r="O49" t="s">
        <v>44</v>
      </c>
    </row>
    <row r="50" spans="1:15">
      <c r="A50" t="s">
        <v>163</v>
      </c>
      <c r="B50" s="3">
        <v>45939</v>
      </c>
      <c r="C50" t="s">
        <v>164</v>
      </c>
      <c r="D50" t="s">
        <v>95</v>
      </c>
      <c r="E50" t="s">
        <v>33</v>
      </c>
      <c r="F50" t="s">
        <v>92</v>
      </c>
      <c r="G50">
        <v>5</v>
      </c>
      <c r="H50" s="5">
        <v>1463.16</v>
      </c>
      <c r="I50" s="4">
        <v>0</v>
      </c>
      <c r="J50" s="5">
        <v>7315.8</v>
      </c>
      <c r="K50" s="5">
        <v>4469.72</v>
      </c>
      <c r="L50" s="5">
        <v>2846.08</v>
      </c>
      <c r="M50" t="s">
        <v>35</v>
      </c>
      <c r="N50" t="s">
        <v>43</v>
      </c>
      <c r="O50" t="s">
        <v>37</v>
      </c>
    </row>
    <row r="51" spans="1:15">
      <c r="A51" t="s">
        <v>165</v>
      </c>
      <c r="B51" s="3">
        <v>46000</v>
      </c>
      <c r="C51" t="s">
        <v>166</v>
      </c>
      <c r="D51" t="s">
        <v>134</v>
      </c>
      <c r="E51" t="s">
        <v>41</v>
      </c>
      <c r="F51" t="s">
        <v>153</v>
      </c>
      <c r="G51">
        <v>5</v>
      </c>
      <c r="H51" s="5">
        <v>3580.34</v>
      </c>
      <c r="I51" s="4">
        <v>0.05</v>
      </c>
      <c r="J51" s="5">
        <v>17006.62</v>
      </c>
      <c r="K51" s="5">
        <v>9408.42</v>
      </c>
      <c r="L51" s="5">
        <v>7598.2</v>
      </c>
      <c r="M51" t="s">
        <v>35</v>
      </c>
      <c r="N51" t="s">
        <v>36</v>
      </c>
      <c r="O51" t="s">
        <v>44</v>
      </c>
    </row>
    <row r="52" spans="1:15">
      <c r="A52" t="s">
        <v>167</v>
      </c>
      <c r="B52" s="3">
        <v>46177</v>
      </c>
      <c r="C52" t="s">
        <v>168</v>
      </c>
      <c r="D52" t="s">
        <v>56</v>
      </c>
      <c r="E52" t="s">
        <v>48</v>
      </c>
      <c r="F52" t="s">
        <v>70</v>
      </c>
      <c r="G52">
        <v>2</v>
      </c>
      <c r="H52" s="5">
        <v>704.41</v>
      </c>
      <c r="I52" s="4">
        <v>0.05</v>
      </c>
      <c r="J52" s="5">
        <v>1338.38</v>
      </c>
      <c r="K52" s="5">
        <v>1009.79</v>
      </c>
      <c r="L52" s="5">
        <v>328.59</v>
      </c>
      <c r="M52" t="s">
        <v>57</v>
      </c>
      <c r="N52" t="s">
        <v>63</v>
      </c>
      <c r="O52" t="s">
        <v>44</v>
      </c>
    </row>
    <row r="53" spans="1:15">
      <c r="A53" t="s">
        <v>169</v>
      </c>
      <c r="B53" s="3">
        <v>46025</v>
      </c>
      <c r="C53" t="s">
        <v>170</v>
      </c>
      <c r="D53" t="s">
        <v>66</v>
      </c>
      <c r="E53" t="s">
        <v>41</v>
      </c>
      <c r="F53" t="s">
        <v>42</v>
      </c>
      <c r="G53">
        <v>3</v>
      </c>
      <c r="H53" s="5">
        <v>1598.03</v>
      </c>
      <c r="I53" s="4">
        <v>0</v>
      </c>
      <c r="J53" s="5">
        <v>4794.09</v>
      </c>
      <c r="K53" s="5">
        <v>3430.62</v>
      </c>
      <c r="L53" s="5">
        <v>1363.47</v>
      </c>
      <c r="M53" t="s">
        <v>35</v>
      </c>
      <c r="N53" t="s">
        <v>63</v>
      </c>
      <c r="O53" t="s">
        <v>37</v>
      </c>
    </row>
    <row r="54" spans="1:15">
      <c r="A54" t="s">
        <v>171</v>
      </c>
      <c r="B54" s="3">
        <v>45724</v>
      </c>
      <c r="C54" t="s">
        <v>164</v>
      </c>
      <c r="D54" t="s">
        <v>60</v>
      </c>
      <c r="E54" t="s">
        <v>33</v>
      </c>
      <c r="F54" t="s">
        <v>67</v>
      </c>
      <c r="G54">
        <v>5</v>
      </c>
      <c r="H54" s="5">
        <v>608.66999999999996</v>
      </c>
      <c r="I54" s="4">
        <v>0</v>
      </c>
      <c r="J54" s="5">
        <v>3043.35</v>
      </c>
      <c r="K54" s="5">
        <v>1881.83</v>
      </c>
      <c r="L54" s="5">
        <v>1161.52</v>
      </c>
      <c r="M54" t="s">
        <v>57</v>
      </c>
      <c r="N54" t="s">
        <v>36</v>
      </c>
      <c r="O54" t="s">
        <v>44</v>
      </c>
    </row>
    <row r="55" spans="1:15">
      <c r="A55" t="s">
        <v>172</v>
      </c>
      <c r="B55" s="3">
        <v>45745</v>
      </c>
      <c r="C55" t="s">
        <v>173</v>
      </c>
      <c r="D55" t="s">
        <v>56</v>
      </c>
      <c r="E55" t="s">
        <v>61</v>
      </c>
      <c r="F55" t="s">
        <v>89</v>
      </c>
      <c r="G55">
        <v>5</v>
      </c>
      <c r="H55" s="5">
        <v>3776.61</v>
      </c>
      <c r="I55" s="4">
        <v>0</v>
      </c>
      <c r="J55" s="5">
        <v>18883.05</v>
      </c>
      <c r="K55" s="5">
        <v>13549.22</v>
      </c>
      <c r="L55" s="5">
        <v>5333.83</v>
      </c>
      <c r="M55" t="s">
        <v>57</v>
      </c>
      <c r="N55" t="s">
        <v>63</v>
      </c>
      <c r="O55" t="s">
        <v>44</v>
      </c>
    </row>
    <row r="56" spans="1:15">
      <c r="A56" t="s">
        <v>174</v>
      </c>
      <c r="B56" s="3">
        <v>46136</v>
      </c>
      <c r="C56" t="s">
        <v>175</v>
      </c>
      <c r="D56" t="s">
        <v>66</v>
      </c>
      <c r="E56" t="s">
        <v>33</v>
      </c>
      <c r="F56" t="s">
        <v>176</v>
      </c>
      <c r="G56">
        <v>4</v>
      </c>
      <c r="H56" s="5">
        <v>1694.67</v>
      </c>
      <c r="I56" s="4">
        <v>0.1</v>
      </c>
      <c r="J56" s="5">
        <v>6100.81</v>
      </c>
      <c r="K56" s="5">
        <v>4844.3999999999996</v>
      </c>
      <c r="L56" s="5">
        <v>1256.4100000000001</v>
      </c>
      <c r="M56" t="s">
        <v>35</v>
      </c>
      <c r="N56" t="s">
        <v>36</v>
      </c>
      <c r="O56" t="s">
        <v>37</v>
      </c>
    </row>
    <row r="57" spans="1:15">
      <c r="A57" t="s">
        <v>177</v>
      </c>
      <c r="B57" s="3">
        <v>45676</v>
      </c>
      <c r="C57" t="s">
        <v>80</v>
      </c>
      <c r="D57" t="s">
        <v>74</v>
      </c>
      <c r="E57" t="s">
        <v>48</v>
      </c>
      <c r="F57" t="s">
        <v>70</v>
      </c>
      <c r="G57">
        <v>6</v>
      </c>
      <c r="H57" s="5">
        <v>2005.05</v>
      </c>
      <c r="I57" s="4">
        <v>0.15</v>
      </c>
      <c r="J57" s="5">
        <v>10225.75</v>
      </c>
      <c r="K57" s="5">
        <v>7841.07</v>
      </c>
      <c r="L57" s="5">
        <v>2384.6799999999998</v>
      </c>
      <c r="M57" t="s">
        <v>57</v>
      </c>
      <c r="N57" t="s">
        <v>71</v>
      </c>
      <c r="O57" t="s">
        <v>44</v>
      </c>
    </row>
    <row r="58" spans="1:15">
      <c r="A58" t="s">
        <v>178</v>
      </c>
      <c r="B58" s="3">
        <v>46017</v>
      </c>
      <c r="C58" t="s">
        <v>179</v>
      </c>
      <c r="D58" t="s">
        <v>74</v>
      </c>
      <c r="E58" t="s">
        <v>41</v>
      </c>
      <c r="F58" t="s">
        <v>124</v>
      </c>
      <c r="G58">
        <v>5</v>
      </c>
      <c r="H58" s="5">
        <v>1525.67</v>
      </c>
      <c r="I58" s="4">
        <v>0.15</v>
      </c>
      <c r="J58" s="5">
        <v>6484.1</v>
      </c>
      <c r="K58" s="5">
        <v>4550.62</v>
      </c>
      <c r="L58" s="5">
        <v>1933.48</v>
      </c>
      <c r="M58" t="s">
        <v>35</v>
      </c>
      <c r="N58" t="s">
        <v>63</v>
      </c>
      <c r="O58" t="s">
        <v>37</v>
      </c>
    </row>
    <row r="59" spans="1:15">
      <c r="A59" t="s">
        <v>180</v>
      </c>
      <c r="B59" s="3">
        <v>46132</v>
      </c>
      <c r="C59" t="s">
        <v>181</v>
      </c>
      <c r="D59" t="s">
        <v>182</v>
      </c>
      <c r="E59" t="s">
        <v>48</v>
      </c>
      <c r="F59" t="s">
        <v>102</v>
      </c>
      <c r="G59">
        <v>6</v>
      </c>
      <c r="H59" s="5">
        <v>623.85</v>
      </c>
      <c r="I59" s="4">
        <v>0.15</v>
      </c>
      <c r="J59" s="5">
        <v>3181.64</v>
      </c>
      <c r="K59" s="5">
        <v>2399.29</v>
      </c>
      <c r="L59" s="5">
        <v>782.35</v>
      </c>
      <c r="M59" t="s">
        <v>57</v>
      </c>
      <c r="N59" t="s">
        <v>71</v>
      </c>
      <c r="O59" t="s">
        <v>44</v>
      </c>
    </row>
    <row r="60" spans="1:15">
      <c r="A60" t="s">
        <v>183</v>
      </c>
      <c r="B60" s="3">
        <v>45687</v>
      </c>
      <c r="C60" t="s">
        <v>184</v>
      </c>
      <c r="D60" t="s">
        <v>74</v>
      </c>
      <c r="E60" t="s">
        <v>61</v>
      </c>
      <c r="F60" t="s">
        <v>81</v>
      </c>
      <c r="G60">
        <v>5</v>
      </c>
      <c r="H60" s="5">
        <v>3407.65</v>
      </c>
      <c r="I60" s="4">
        <v>0.05</v>
      </c>
      <c r="J60" s="5">
        <v>16186.34</v>
      </c>
      <c r="K60" s="5">
        <v>9094.39</v>
      </c>
      <c r="L60" s="5">
        <v>7091.95</v>
      </c>
      <c r="M60" t="s">
        <v>35</v>
      </c>
      <c r="N60" t="s">
        <v>63</v>
      </c>
      <c r="O60" t="s">
        <v>44</v>
      </c>
    </row>
    <row r="61" spans="1:15">
      <c r="A61" t="s">
        <v>185</v>
      </c>
      <c r="B61" s="3">
        <v>46014</v>
      </c>
      <c r="C61" t="s">
        <v>186</v>
      </c>
      <c r="D61" t="s">
        <v>60</v>
      </c>
      <c r="E61" t="s">
        <v>41</v>
      </c>
      <c r="F61" t="s">
        <v>119</v>
      </c>
      <c r="G61">
        <v>5</v>
      </c>
      <c r="H61" s="5">
        <v>3088.11</v>
      </c>
      <c r="I61" s="4">
        <v>0.05</v>
      </c>
      <c r="J61" s="5">
        <v>14668.52</v>
      </c>
      <c r="K61" s="5">
        <v>8948.7999999999993</v>
      </c>
      <c r="L61" s="5">
        <v>5719.72</v>
      </c>
      <c r="M61" t="s">
        <v>35</v>
      </c>
      <c r="N61" t="s">
        <v>36</v>
      </c>
      <c r="O61" t="s">
        <v>44</v>
      </c>
    </row>
    <row r="62" spans="1:15">
      <c r="A62" t="s">
        <v>187</v>
      </c>
      <c r="B62" s="3">
        <v>46132</v>
      </c>
      <c r="C62" t="s">
        <v>188</v>
      </c>
      <c r="D62" t="s">
        <v>74</v>
      </c>
      <c r="E62" t="s">
        <v>48</v>
      </c>
      <c r="F62" t="s">
        <v>102</v>
      </c>
      <c r="G62">
        <v>1</v>
      </c>
      <c r="H62" s="5">
        <v>5035.8100000000004</v>
      </c>
      <c r="I62" s="4">
        <v>0.1</v>
      </c>
      <c r="J62" s="5">
        <v>4532.2299999999996</v>
      </c>
      <c r="K62" s="5">
        <v>2947.75</v>
      </c>
      <c r="L62" s="5">
        <v>1584.48</v>
      </c>
      <c r="M62" t="s">
        <v>35</v>
      </c>
      <c r="N62" t="s">
        <v>36</v>
      </c>
      <c r="O62" t="s">
        <v>44</v>
      </c>
    </row>
    <row r="63" spans="1:15">
      <c r="A63" t="s">
        <v>189</v>
      </c>
      <c r="B63" s="3">
        <v>45939</v>
      </c>
      <c r="C63" t="s">
        <v>59</v>
      </c>
      <c r="D63" t="s">
        <v>66</v>
      </c>
      <c r="E63" t="s">
        <v>48</v>
      </c>
      <c r="F63" t="s">
        <v>70</v>
      </c>
      <c r="G63">
        <v>4</v>
      </c>
      <c r="H63" s="5">
        <v>1584.11</v>
      </c>
      <c r="I63" s="4">
        <v>0.2</v>
      </c>
      <c r="J63" s="5">
        <v>5069.1499999999996</v>
      </c>
      <c r="K63" s="5">
        <v>3937.63</v>
      </c>
      <c r="L63" s="5">
        <v>1131.52</v>
      </c>
      <c r="M63" t="s">
        <v>35</v>
      </c>
      <c r="N63" t="s">
        <v>71</v>
      </c>
      <c r="O63" t="s">
        <v>44</v>
      </c>
    </row>
    <row r="64" spans="1:15">
      <c r="A64" t="s">
        <v>190</v>
      </c>
      <c r="B64" s="3">
        <v>46257</v>
      </c>
      <c r="C64" t="s">
        <v>191</v>
      </c>
      <c r="D64" t="s">
        <v>40</v>
      </c>
      <c r="E64" t="s">
        <v>41</v>
      </c>
      <c r="F64" t="s">
        <v>119</v>
      </c>
      <c r="G64">
        <v>5</v>
      </c>
      <c r="H64" s="5">
        <v>207.01</v>
      </c>
      <c r="I64" s="4">
        <v>0</v>
      </c>
      <c r="J64" s="5">
        <v>1035.05</v>
      </c>
      <c r="K64" s="5">
        <v>638.48</v>
      </c>
      <c r="L64" s="5">
        <v>396.57</v>
      </c>
      <c r="M64" t="s">
        <v>35</v>
      </c>
      <c r="N64" t="s">
        <v>36</v>
      </c>
      <c r="O64" t="s">
        <v>44</v>
      </c>
    </row>
    <row r="65" spans="1:15">
      <c r="A65" t="s">
        <v>192</v>
      </c>
      <c r="B65" s="3">
        <v>45882</v>
      </c>
      <c r="C65" t="s">
        <v>193</v>
      </c>
      <c r="D65" t="s">
        <v>95</v>
      </c>
      <c r="E65" t="s">
        <v>48</v>
      </c>
      <c r="F65" t="s">
        <v>49</v>
      </c>
      <c r="G65">
        <v>3</v>
      </c>
      <c r="H65" s="5">
        <v>1793.17</v>
      </c>
      <c r="I65" s="4">
        <v>0.1</v>
      </c>
      <c r="J65" s="5">
        <v>4841.5600000000004</v>
      </c>
      <c r="K65" s="5">
        <v>3432.19</v>
      </c>
      <c r="L65" s="5">
        <v>1409.37</v>
      </c>
      <c r="M65" t="s">
        <v>57</v>
      </c>
      <c r="N65" t="s">
        <v>63</v>
      </c>
      <c r="O65" t="s">
        <v>37</v>
      </c>
    </row>
    <row r="66" spans="1:15">
      <c r="A66" t="s">
        <v>194</v>
      </c>
      <c r="B66" s="3">
        <v>46152</v>
      </c>
      <c r="C66" t="s">
        <v>195</v>
      </c>
      <c r="D66" t="s">
        <v>95</v>
      </c>
      <c r="E66" t="s">
        <v>33</v>
      </c>
      <c r="F66" t="s">
        <v>92</v>
      </c>
      <c r="G66">
        <v>1</v>
      </c>
      <c r="H66" s="5">
        <v>2387.2800000000002</v>
      </c>
      <c r="I66" s="4">
        <v>0.05</v>
      </c>
      <c r="J66" s="5">
        <v>2267.92</v>
      </c>
      <c r="K66" s="5">
        <v>1786.51</v>
      </c>
      <c r="L66" s="5">
        <v>481.41</v>
      </c>
      <c r="M66" t="s">
        <v>57</v>
      </c>
      <c r="N66" t="s">
        <v>43</v>
      </c>
      <c r="O66" t="s">
        <v>44</v>
      </c>
    </row>
    <row r="67" spans="1:15">
      <c r="A67" t="s">
        <v>196</v>
      </c>
      <c r="B67" s="3">
        <v>46237</v>
      </c>
      <c r="C67" t="s">
        <v>197</v>
      </c>
      <c r="D67" t="s">
        <v>56</v>
      </c>
      <c r="E67" t="s">
        <v>48</v>
      </c>
      <c r="F67" t="s">
        <v>113</v>
      </c>
      <c r="G67">
        <v>2</v>
      </c>
      <c r="H67" s="5">
        <v>4405.7299999999996</v>
      </c>
      <c r="I67" s="4">
        <v>0.05</v>
      </c>
      <c r="J67" s="5">
        <v>8370.89</v>
      </c>
      <c r="K67" s="5">
        <v>5509.85</v>
      </c>
      <c r="L67" s="5">
        <v>2861.04</v>
      </c>
      <c r="M67" t="s">
        <v>35</v>
      </c>
      <c r="N67" t="s">
        <v>63</v>
      </c>
      <c r="O67" t="s">
        <v>37</v>
      </c>
    </row>
    <row r="68" spans="1:15">
      <c r="A68" t="s">
        <v>198</v>
      </c>
      <c r="B68" s="3">
        <v>45918</v>
      </c>
      <c r="C68" t="s">
        <v>199</v>
      </c>
      <c r="D68" t="s">
        <v>60</v>
      </c>
      <c r="E68" t="s">
        <v>41</v>
      </c>
      <c r="F68" t="s">
        <v>124</v>
      </c>
      <c r="G68">
        <v>6</v>
      </c>
      <c r="H68" s="5">
        <v>892.28</v>
      </c>
      <c r="I68" s="4">
        <v>0.15</v>
      </c>
      <c r="J68" s="5">
        <v>4550.63</v>
      </c>
      <c r="K68" s="5">
        <v>3820.24</v>
      </c>
      <c r="L68" s="5">
        <v>730.39</v>
      </c>
      <c r="M68" t="s">
        <v>35</v>
      </c>
      <c r="N68" t="s">
        <v>63</v>
      </c>
      <c r="O68" t="s">
        <v>44</v>
      </c>
    </row>
    <row r="69" spans="1:15">
      <c r="A69" t="s">
        <v>200</v>
      </c>
      <c r="B69" s="3">
        <v>45892</v>
      </c>
      <c r="C69" t="s">
        <v>201</v>
      </c>
      <c r="D69" t="s">
        <v>32</v>
      </c>
      <c r="E69" t="s">
        <v>61</v>
      </c>
      <c r="F69" t="s">
        <v>84</v>
      </c>
      <c r="G69">
        <v>2</v>
      </c>
      <c r="H69" s="5">
        <v>827.83</v>
      </c>
      <c r="I69" s="4">
        <v>0.1</v>
      </c>
      <c r="J69" s="5">
        <v>1490.09</v>
      </c>
      <c r="K69" s="5">
        <v>1105.53</v>
      </c>
      <c r="L69" s="5">
        <v>384.56</v>
      </c>
      <c r="M69" t="s">
        <v>35</v>
      </c>
      <c r="N69" t="s">
        <v>36</v>
      </c>
      <c r="O69" t="s">
        <v>44</v>
      </c>
    </row>
    <row r="70" spans="1:15">
      <c r="A70" t="s">
        <v>202</v>
      </c>
      <c r="B70" s="3">
        <v>46016</v>
      </c>
      <c r="C70" t="s">
        <v>203</v>
      </c>
      <c r="D70" t="s">
        <v>32</v>
      </c>
      <c r="E70" t="s">
        <v>48</v>
      </c>
      <c r="F70" t="s">
        <v>113</v>
      </c>
      <c r="G70">
        <v>2</v>
      </c>
      <c r="H70" s="5">
        <v>1245.23</v>
      </c>
      <c r="I70" s="4">
        <v>0</v>
      </c>
      <c r="J70" s="5">
        <v>2490.46</v>
      </c>
      <c r="K70" s="5">
        <v>1582.83</v>
      </c>
      <c r="L70" s="5">
        <v>907.63</v>
      </c>
      <c r="M70" t="s">
        <v>57</v>
      </c>
      <c r="N70" t="s">
        <v>36</v>
      </c>
      <c r="O70" t="s">
        <v>44</v>
      </c>
    </row>
    <row r="71" spans="1:15">
      <c r="A71" t="s">
        <v>204</v>
      </c>
      <c r="B71" s="3">
        <v>46084</v>
      </c>
      <c r="C71" t="s">
        <v>205</v>
      </c>
      <c r="D71" t="s">
        <v>66</v>
      </c>
      <c r="E71" t="s">
        <v>61</v>
      </c>
      <c r="F71" t="s">
        <v>89</v>
      </c>
      <c r="G71">
        <v>4</v>
      </c>
      <c r="H71" s="5">
        <v>3302.94</v>
      </c>
      <c r="I71" s="4">
        <v>0</v>
      </c>
      <c r="J71" s="5">
        <v>13211.76</v>
      </c>
      <c r="K71" s="5">
        <v>9886.7999999999993</v>
      </c>
      <c r="L71" s="5">
        <v>3324.96</v>
      </c>
      <c r="M71" t="s">
        <v>57</v>
      </c>
      <c r="N71" t="s">
        <v>63</v>
      </c>
      <c r="O71" t="s">
        <v>37</v>
      </c>
    </row>
    <row r="72" spans="1:15">
      <c r="A72" t="s">
        <v>206</v>
      </c>
      <c r="B72" s="3">
        <v>45879</v>
      </c>
      <c r="C72" t="s">
        <v>207</v>
      </c>
      <c r="D72" t="s">
        <v>52</v>
      </c>
      <c r="E72" t="s">
        <v>48</v>
      </c>
      <c r="F72" t="s">
        <v>102</v>
      </c>
      <c r="G72">
        <v>2</v>
      </c>
      <c r="H72" s="5">
        <v>493.22</v>
      </c>
      <c r="I72" s="4">
        <v>0.05</v>
      </c>
      <c r="J72" s="5">
        <v>937.12</v>
      </c>
      <c r="K72" s="5">
        <v>653.37</v>
      </c>
      <c r="L72" s="5">
        <v>283.75</v>
      </c>
      <c r="M72" t="s">
        <v>35</v>
      </c>
      <c r="N72" t="s">
        <v>36</v>
      </c>
      <c r="O72" t="s">
        <v>44</v>
      </c>
    </row>
    <row r="73" spans="1:15">
      <c r="A73" t="s">
        <v>208</v>
      </c>
      <c r="B73" s="3">
        <v>46233</v>
      </c>
      <c r="C73" t="s">
        <v>209</v>
      </c>
      <c r="D73" t="s">
        <v>60</v>
      </c>
      <c r="E73" t="s">
        <v>33</v>
      </c>
      <c r="F73" t="s">
        <v>96</v>
      </c>
      <c r="G73">
        <v>1</v>
      </c>
      <c r="H73" s="5">
        <v>4283.9399999999996</v>
      </c>
      <c r="I73" s="4">
        <v>0.15</v>
      </c>
      <c r="J73" s="5">
        <v>3641.35</v>
      </c>
      <c r="K73" s="5">
        <v>2340.5</v>
      </c>
      <c r="L73" s="5">
        <v>1300.8499999999999</v>
      </c>
      <c r="M73" t="s">
        <v>35</v>
      </c>
      <c r="N73" t="s">
        <v>63</v>
      </c>
      <c r="O73" t="s">
        <v>37</v>
      </c>
    </row>
    <row r="74" spans="1:15">
      <c r="A74" t="s">
        <v>210</v>
      </c>
      <c r="B74" s="3">
        <v>46202</v>
      </c>
      <c r="C74" t="s">
        <v>211</v>
      </c>
      <c r="D74" t="s">
        <v>95</v>
      </c>
      <c r="E74" t="s">
        <v>61</v>
      </c>
      <c r="F74" t="s">
        <v>89</v>
      </c>
      <c r="G74">
        <v>6</v>
      </c>
      <c r="H74" s="5">
        <v>640.84</v>
      </c>
      <c r="I74" s="4">
        <v>0</v>
      </c>
      <c r="J74" s="5">
        <v>3845.04</v>
      </c>
      <c r="K74" s="5">
        <v>3218.8</v>
      </c>
      <c r="L74" s="5">
        <v>626.24</v>
      </c>
      <c r="M74" t="s">
        <v>35</v>
      </c>
      <c r="N74" t="s">
        <v>43</v>
      </c>
      <c r="O74" t="s">
        <v>44</v>
      </c>
    </row>
    <row r="75" spans="1:15">
      <c r="A75" t="s">
        <v>212</v>
      </c>
      <c r="B75" s="3">
        <v>45678</v>
      </c>
      <c r="C75" t="s">
        <v>213</v>
      </c>
      <c r="D75" t="s">
        <v>134</v>
      </c>
      <c r="E75" t="s">
        <v>41</v>
      </c>
      <c r="F75" t="s">
        <v>153</v>
      </c>
      <c r="G75">
        <v>2</v>
      </c>
      <c r="H75" s="5">
        <v>491.42</v>
      </c>
      <c r="I75" s="4">
        <v>0.05</v>
      </c>
      <c r="J75" s="5">
        <v>933.7</v>
      </c>
      <c r="K75" s="5">
        <v>641.91</v>
      </c>
      <c r="L75" s="5">
        <v>291.79000000000002</v>
      </c>
      <c r="M75" t="s">
        <v>57</v>
      </c>
      <c r="N75" t="s">
        <v>43</v>
      </c>
      <c r="O75" t="s">
        <v>44</v>
      </c>
    </row>
    <row r="76" spans="1:15">
      <c r="A76" t="s">
        <v>214</v>
      </c>
      <c r="B76" s="3">
        <v>45673</v>
      </c>
      <c r="C76" t="s">
        <v>215</v>
      </c>
      <c r="D76" t="s">
        <v>66</v>
      </c>
      <c r="E76" t="s">
        <v>48</v>
      </c>
      <c r="F76" t="s">
        <v>102</v>
      </c>
      <c r="G76">
        <v>6</v>
      </c>
      <c r="H76" s="5">
        <v>1901.1</v>
      </c>
      <c r="I76" s="4">
        <v>0</v>
      </c>
      <c r="J76" s="5">
        <v>11406.6</v>
      </c>
      <c r="K76" s="5">
        <v>7113.88</v>
      </c>
      <c r="L76" s="5">
        <v>4292.72</v>
      </c>
      <c r="M76" t="s">
        <v>35</v>
      </c>
      <c r="N76" t="s">
        <v>43</v>
      </c>
      <c r="O76" t="s">
        <v>37</v>
      </c>
    </row>
    <row r="77" spans="1:15">
      <c r="A77" t="s">
        <v>216</v>
      </c>
      <c r="B77" s="3">
        <v>45660</v>
      </c>
      <c r="C77" t="s">
        <v>217</v>
      </c>
      <c r="D77" t="s">
        <v>218</v>
      </c>
      <c r="E77" t="s">
        <v>48</v>
      </c>
      <c r="F77" t="s">
        <v>113</v>
      </c>
      <c r="G77">
        <v>5</v>
      </c>
      <c r="H77" s="5">
        <v>1847.34</v>
      </c>
      <c r="I77" s="4">
        <v>0</v>
      </c>
      <c r="J77" s="5">
        <v>9236.7000000000007</v>
      </c>
      <c r="K77" s="5">
        <v>5171.6499999999996</v>
      </c>
      <c r="L77" s="5">
        <v>4065.05</v>
      </c>
      <c r="M77" t="s">
        <v>35</v>
      </c>
      <c r="N77" t="s">
        <v>36</v>
      </c>
      <c r="O77" t="s">
        <v>37</v>
      </c>
    </row>
    <row r="78" spans="1:15">
      <c r="A78" t="s">
        <v>219</v>
      </c>
      <c r="B78" s="3">
        <v>45666</v>
      </c>
      <c r="C78" t="s">
        <v>220</v>
      </c>
      <c r="D78" t="s">
        <v>66</v>
      </c>
      <c r="E78" t="s">
        <v>41</v>
      </c>
      <c r="F78" t="s">
        <v>124</v>
      </c>
      <c r="G78">
        <v>3</v>
      </c>
      <c r="H78" s="5">
        <v>3201.25</v>
      </c>
      <c r="I78" s="4">
        <v>0.1</v>
      </c>
      <c r="J78" s="5">
        <v>8643.3799999999992</v>
      </c>
      <c r="K78" s="5">
        <v>7058.61</v>
      </c>
      <c r="L78" s="5">
        <v>1584.77</v>
      </c>
      <c r="M78" t="s">
        <v>35</v>
      </c>
      <c r="N78" t="s">
        <v>36</v>
      </c>
      <c r="O78" t="s">
        <v>44</v>
      </c>
    </row>
    <row r="79" spans="1:15">
      <c r="A79" t="s">
        <v>221</v>
      </c>
      <c r="B79" s="3">
        <v>45838</v>
      </c>
      <c r="C79" t="s">
        <v>222</v>
      </c>
      <c r="D79" t="s">
        <v>32</v>
      </c>
      <c r="E79" t="s">
        <v>61</v>
      </c>
      <c r="F79" t="s">
        <v>84</v>
      </c>
      <c r="G79">
        <v>1</v>
      </c>
      <c r="H79" s="5">
        <v>2661.67</v>
      </c>
      <c r="I79" s="4">
        <v>0.05</v>
      </c>
      <c r="J79" s="5">
        <v>2528.59</v>
      </c>
      <c r="K79" s="5">
        <v>1390.94</v>
      </c>
      <c r="L79" s="5">
        <v>1137.6500000000001</v>
      </c>
      <c r="M79" t="s">
        <v>35</v>
      </c>
      <c r="N79" t="s">
        <v>71</v>
      </c>
      <c r="O79" t="s">
        <v>44</v>
      </c>
    </row>
    <row r="80" spans="1:15">
      <c r="A80" t="s">
        <v>223</v>
      </c>
      <c r="B80" s="3">
        <v>46018</v>
      </c>
      <c r="C80" t="s">
        <v>224</v>
      </c>
      <c r="D80" t="s">
        <v>32</v>
      </c>
      <c r="E80" t="s">
        <v>33</v>
      </c>
      <c r="F80" t="s">
        <v>96</v>
      </c>
      <c r="G80">
        <v>1</v>
      </c>
      <c r="H80" s="5">
        <v>4684.8599999999997</v>
      </c>
      <c r="I80" s="4">
        <v>0.15</v>
      </c>
      <c r="J80" s="5">
        <v>3982.13</v>
      </c>
      <c r="K80" s="5">
        <v>3050.81</v>
      </c>
      <c r="L80" s="5">
        <v>931.32</v>
      </c>
      <c r="M80" t="s">
        <v>35</v>
      </c>
      <c r="N80" t="s">
        <v>43</v>
      </c>
      <c r="O80" t="s">
        <v>44</v>
      </c>
    </row>
    <row r="81" spans="1:15">
      <c r="A81" t="s">
        <v>225</v>
      </c>
      <c r="B81" s="3">
        <v>45962</v>
      </c>
      <c r="C81" t="s">
        <v>226</v>
      </c>
      <c r="D81" t="s">
        <v>95</v>
      </c>
      <c r="E81" t="s">
        <v>33</v>
      </c>
      <c r="F81" t="s">
        <v>34</v>
      </c>
      <c r="G81">
        <v>2</v>
      </c>
      <c r="H81" s="5">
        <v>1983.41</v>
      </c>
      <c r="I81" s="4">
        <v>0</v>
      </c>
      <c r="J81" s="5">
        <v>3966.82</v>
      </c>
      <c r="K81" s="5">
        <v>2998.55</v>
      </c>
      <c r="L81" s="5">
        <v>968.27</v>
      </c>
      <c r="M81" t="s">
        <v>35</v>
      </c>
      <c r="N81" t="s">
        <v>36</v>
      </c>
      <c r="O81" t="s">
        <v>37</v>
      </c>
    </row>
    <row r="82" spans="1:15">
      <c r="A82" t="s">
        <v>227</v>
      </c>
      <c r="B82" s="3">
        <v>45705</v>
      </c>
      <c r="C82" t="s">
        <v>228</v>
      </c>
      <c r="D82" t="s">
        <v>66</v>
      </c>
      <c r="E82" t="s">
        <v>41</v>
      </c>
      <c r="F82" t="s">
        <v>124</v>
      </c>
      <c r="G82">
        <v>5</v>
      </c>
      <c r="H82" s="5">
        <v>2376.7199999999998</v>
      </c>
      <c r="I82" s="4">
        <v>0.15</v>
      </c>
      <c r="J82" s="5">
        <v>10101.06</v>
      </c>
      <c r="K82" s="5">
        <v>7964.25</v>
      </c>
      <c r="L82" s="5">
        <v>2136.81</v>
      </c>
      <c r="M82" t="s">
        <v>57</v>
      </c>
      <c r="N82" t="s">
        <v>71</v>
      </c>
      <c r="O82" t="s">
        <v>44</v>
      </c>
    </row>
    <row r="83" spans="1:15">
      <c r="A83" t="s">
        <v>229</v>
      </c>
      <c r="B83" s="3">
        <v>45755</v>
      </c>
      <c r="C83" t="s">
        <v>230</v>
      </c>
      <c r="D83" t="s">
        <v>95</v>
      </c>
      <c r="E83" t="s">
        <v>41</v>
      </c>
      <c r="F83" t="s">
        <v>119</v>
      </c>
      <c r="G83">
        <v>2</v>
      </c>
      <c r="H83" s="5">
        <v>235.14</v>
      </c>
      <c r="I83" s="4">
        <v>0.2</v>
      </c>
      <c r="J83" s="5">
        <v>376.22</v>
      </c>
      <c r="K83" s="5">
        <v>220.12</v>
      </c>
      <c r="L83" s="5">
        <v>156.1</v>
      </c>
      <c r="M83" t="s">
        <v>57</v>
      </c>
      <c r="N83" t="s">
        <v>63</v>
      </c>
      <c r="O83" t="s">
        <v>44</v>
      </c>
    </row>
    <row r="84" spans="1:15">
      <c r="A84" t="s">
        <v>231</v>
      </c>
      <c r="B84" s="3">
        <v>45794</v>
      </c>
      <c r="C84" t="s">
        <v>232</v>
      </c>
      <c r="D84" t="s">
        <v>32</v>
      </c>
      <c r="E84" t="s">
        <v>33</v>
      </c>
      <c r="F84" t="s">
        <v>92</v>
      </c>
      <c r="G84">
        <v>3</v>
      </c>
      <c r="H84" s="5">
        <v>2801.11</v>
      </c>
      <c r="I84" s="4">
        <v>0</v>
      </c>
      <c r="J84" s="5">
        <v>8403.33</v>
      </c>
      <c r="K84" s="5">
        <v>6852.59</v>
      </c>
      <c r="L84" s="5">
        <v>1550.74</v>
      </c>
      <c r="M84" t="s">
        <v>57</v>
      </c>
      <c r="N84" t="s">
        <v>36</v>
      </c>
      <c r="O84" t="s">
        <v>44</v>
      </c>
    </row>
    <row r="85" spans="1:15">
      <c r="A85" t="s">
        <v>233</v>
      </c>
      <c r="B85" s="3">
        <v>46175</v>
      </c>
      <c r="C85" t="s">
        <v>234</v>
      </c>
      <c r="D85" t="s">
        <v>32</v>
      </c>
      <c r="E85" t="s">
        <v>61</v>
      </c>
      <c r="F85" t="s">
        <v>62</v>
      </c>
      <c r="G85">
        <v>1</v>
      </c>
      <c r="H85" s="5">
        <v>4059.47</v>
      </c>
      <c r="I85" s="4">
        <v>0</v>
      </c>
      <c r="J85" s="5">
        <v>4059.47</v>
      </c>
      <c r="K85" s="5">
        <v>2977.32</v>
      </c>
      <c r="L85" s="5">
        <v>1082.1500000000001</v>
      </c>
      <c r="M85" t="s">
        <v>57</v>
      </c>
      <c r="N85" t="s">
        <v>43</v>
      </c>
      <c r="O85" t="s">
        <v>44</v>
      </c>
    </row>
    <row r="86" spans="1:15">
      <c r="A86" t="s">
        <v>235</v>
      </c>
      <c r="B86" s="3">
        <v>45743</v>
      </c>
      <c r="C86" t="s">
        <v>236</v>
      </c>
      <c r="D86" t="s">
        <v>74</v>
      </c>
      <c r="E86" t="s">
        <v>33</v>
      </c>
      <c r="F86" t="s">
        <v>176</v>
      </c>
      <c r="G86">
        <v>4</v>
      </c>
      <c r="H86" s="5">
        <v>3620.75</v>
      </c>
      <c r="I86" s="4">
        <v>0.1</v>
      </c>
      <c r="J86" s="5">
        <v>13034.7</v>
      </c>
      <c r="K86" s="5">
        <v>10029.379999999999</v>
      </c>
      <c r="L86" s="5">
        <v>3005.32</v>
      </c>
      <c r="M86" t="s">
        <v>35</v>
      </c>
      <c r="N86" t="s">
        <v>71</v>
      </c>
      <c r="O86" t="s">
        <v>44</v>
      </c>
    </row>
    <row r="87" spans="1:15">
      <c r="A87" t="s">
        <v>237</v>
      </c>
      <c r="B87" s="3">
        <v>46065</v>
      </c>
      <c r="C87" t="s">
        <v>211</v>
      </c>
      <c r="D87" t="s">
        <v>56</v>
      </c>
      <c r="E87" t="s">
        <v>33</v>
      </c>
      <c r="F87" t="s">
        <v>67</v>
      </c>
      <c r="G87">
        <v>6</v>
      </c>
      <c r="H87" s="5">
        <v>5011.3999999999996</v>
      </c>
      <c r="I87" s="4">
        <v>0.1</v>
      </c>
      <c r="J87" s="5">
        <v>27061.56</v>
      </c>
      <c r="K87" s="5">
        <v>18833.849999999999</v>
      </c>
      <c r="L87" s="5">
        <v>8227.7099999999991</v>
      </c>
      <c r="M87" t="s">
        <v>57</v>
      </c>
      <c r="N87" t="s">
        <v>63</v>
      </c>
      <c r="O87" t="s">
        <v>44</v>
      </c>
    </row>
    <row r="88" spans="1:15">
      <c r="A88" t="s">
        <v>238</v>
      </c>
      <c r="B88" s="3">
        <v>46217</v>
      </c>
      <c r="C88" t="s">
        <v>239</v>
      </c>
      <c r="D88" t="s">
        <v>134</v>
      </c>
      <c r="E88" t="s">
        <v>41</v>
      </c>
      <c r="F88" t="s">
        <v>153</v>
      </c>
      <c r="G88">
        <v>2</v>
      </c>
      <c r="H88" s="5">
        <v>689.85</v>
      </c>
      <c r="I88" s="4">
        <v>0.2</v>
      </c>
      <c r="J88" s="5">
        <v>1103.76</v>
      </c>
      <c r="K88" s="5">
        <v>665.26</v>
      </c>
      <c r="L88" s="5">
        <v>438.5</v>
      </c>
      <c r="M88" t="s">
        <v>35</v>
      </c>
      <c r="N88" t="s">
        <v>71</v>
      </c>
      <c r="O88" t="s">
        <v>44</v>
      </c>
    </row>
    <row r="89" spans="1:15">
      <c r="A89" t="s">
        <v>240</v>
      </c>
      <c r="B89" s="3">
        <v>46094</v>
      </c>
      <c r="C89" t="s">
        <v>241</v>
      </c>
      <c r="D89" t="s">
        <v>47</v>
      </c>
      <c r="E89" t="s">
        <v>48</v>
      </c>
      <c r="F89" t="s">
        <v>102</v>
      </c>
      <c r="G89">
        <v>5</v>
      </c>
      <c r="H89" s="5">
        <v>1646.66</v>
      </c>
      <c r="I89" s="4">
        <v>0</v>
      </c>
      <c r="J89" s="5">
        <v>8233.2999999999993</v>
      </c>
      <c r="K89" s="5">
        <v>5023.17</v>
      </c>
      <c r="L89" s="5">
        <v>3210.13</v>
      </c>
      <c r="M89" t="s">
        <v>35</v>
      </c>
      <c r="N89" t="s">
        <v>43</v>
      </c>
      <c r="O89" t="s">
        <v>44</v>
      </c>
    </row>
    <row r="90" spans="1:15">
      <c r="A90" t="s">
        <v>242</v>
      </c>
      <c r="B90" s="3">
        <v>45987</v>
      </c>
      <c r="C90" t="s">
        <v>243</v>
      </c>
      <c r="D90" t="s">
        <v>32</v>
      </c>
      <c r="E90" t="s">
        <v>41</v>
      </c>
      <c r="F90" t="s">
        <v>119</v>
      </c>
      <c r="G90">
        <v>3</v>
      </c>
      <c r="H90" s="5">
        <v>1056.52</v>
      </c>
      <c r="I90" s="4">
        <v>0.05</v>
      </c>
      <c r="J90" s="5">
        <v>3011.08</v>
      </c>
      <c r="K90" s="5">
        <v>2180.41</v>
      </c>
      <c r="L90" s="5">
        <v>830.67</v>
      </c>
      <c r="M90" t="s">
        <v>57</v>
      </c>
      <c r="N90" t="s">
        <v>36</v>
      </c>
      <c r="O90" t="s">
        <v>44</v>
      </c>
    </row>
    <row r="91" spans="1:15">
      <c r="A91" t="s">
        <v>244</v>
      </c>
      <c r="B91" s="3">
        <v>46152</v>
      </c>
      <c r="C91" t="s">
        <v>245</v>
      </c>
      <c r="D91" t="s">
        <v>40</v>
      </c>
      <c r="E91" t="s">
        <v>61</v>
      </c>
      <c r="F91" t="s">
        <v>84</v>
      </c>
      <c r="G91">
        <v>4</v>
      </c>
      <c r="H91" s="5">
        <v>1314.56</v>
      </c>
      <c r="I91" s="4">
        <v>0.2</v>
      </c>
      <c r="J91" s="5">
        <v>4206.59</v>
      </c>
      <c r="K91" s="5">
        <v>3096.1</v>
      </c>
      <c r="L91" s="5">
        <v>1110.49</v>
      </c>
      <c r="M91" t="s">
        <v>35</v>
      </c>
      <c r="N91" t="s">
        <v>36</v>
      </c>
      <c r="O91" t="s">
        <v>44</v>
      </c>
    </row>
    <row r="92" spans="1:15">
      <c r="A92" t="s">
        <v>246</v>
      </c>
      <c r="B92" s="3">
        <v>45921</v>
      </c>
      <c r="C92" t="s">
        <v>152</v>
      </c>
      <c r="D92" t="s">
        <v>66</v>
      </c>
      <c r="E92" t="s">
        <v>61</v>
      </c>
      <c r="F92" t="s">
        <v>129</v>
      </c>
      <c r="G92">
        <v>6</v>
      </c>
      <c r="H92" s="5">
        <v>5030.32</v>
      </c>
      <c r="I92" s="4">
        <v>0.15</v>
      </c>
      <c r="J92" s="5">
        <v>25654.63</v>
      </c>
      <c r="K92" s="5">
        <v>20895.689999999999</v>
      </c>
      <c r="L92" s="5">
        <v>4758.9399999999996</v>
      </c>
      <c r="M92" t="s">
        <v>57</v>
      </c>
      <c r="N92" t="s">
        <v>63</v>
      </c>
      <c r="O92" t="s">
        <v>44</v>
      </c>
    </row>
    <row r="93" spans="1:15">
      <c r="A93" t="s">
        <v>247</v>
      </c>
      <c r="B93" s="3">
        <v>45725</v>
      </c>
      <c r="C93" t="s">
        <v>248</v>
      </c>
      <c r="D93" t="s">
        <v>32</v>
      </c>
      <c r="E93" t="s">
        <v>61</v>
      </c>
      <c r="F93" t="s">
        <v>89</v>
      </c>
      <c r="G93">
        <v>6</v>
      </c>
      <c r="H93" s="5">
        <v>4927.67</v>
      </c>
      <c r="I93" s="4">
        <v>0.2</v>
      </c>
      <c r="J93" s="5">
        <v>23652.82</v>
      </c>
      <c r="K93" s="5">
        <v>13221.6</v>
      </c>
      <c r="L93" s="5">
        <v>10431.219999999999</v>
      </c>
      <c r="M93" t="s">
        <v>57</v>
      </c>
      <c r="N93" t="s">
        <v>36</v>
      </c>
      <c r="O93" t="s">
        <v>44</v>
      </c>
    </row>
    <row r="94" spans="1:15">
      <c r="A94" t="s">
        <v>249</v>
      </c>
      <c r="B94" s="3">
        <v>45691</v>
      </c>
      <c r="C94" t="s">
        <v>250</v>
      </c>
      <c r="D94" t="s">
        <v>52</v>
      </c>
      <c r="E94" t="s">
        <v>48</v>
      </c>
      <c r="F94" t="s">
        <v>99</v>
      </c>
      <c r="G94">
        <v>6</v>
      </c>
      <c r="H94" s="5">
        <v>3277.51</v>
      </c>
      <c r="I94" s="4">
        <v>0.1</v>
      </c>
      <c r="J94" s="5">
        <v>17698.55</v>
      </c>
      <c r="K94" s="5">
        <v>10350.26</v>
      </c>
      <c r="L94" s="5">
        <v>7348.29</v>
      </c>
      <c r="M94" t="s">
        <v>57</v>
      </c>
      <c r="N94" t="s">
        <v>71</v>
      </c>
      <c r="O94" t="s">
        <v>44</v>
      </c>
    </row>
    <row r="95" spans="1:15">
      <c r="A95" t="s">
        <v>251</v>
      </c>
      <c r="B95" s="3">
        <v>46265</v>
      </c>
      <c r="C95" t="s">
        <v>252</v>
      </c>
      <c r="D95" t="s">
        <v>47</v>
      </c>
      <c r="E95" t="s">
        <v>33</v>
      </c>
      <c r="F95" t="s">
        <v>176</v>
      </c>
      <c r="G95">
        <v>4</v>
      </c>
      <c r="H95" s="5">
        <v>3373.84</v>
      </c>
      <c r="I95" s="4">
        <v>0.15</v>
      </c>
      <c r="J95" s="5">
        <v>11471.06</v>
      </c>
      <c r="K95" s="5">
        <v>6381.73</v>
      </c>
      <c r="L95" s="5">
        <v>5089.33</v>
      </c>
      <c r="M95" t="s">
        <v>35</v>
      </c>
      <c r="N95" t="s">
        <v>36</v>
      </c>
      <c r="O95" t="s">
        <v>37</v>
      </c>
    </row>
    <row r="96" spans="1:15">
      <c r="A96" t="s">
        <v>253</v>
      </c>
      <c r="B96" s="3">
        <v>45707</v>
      </c>
      <c r="C96" t="s">
        <v>254</v>
      </c>
      <c r="D96" t="s">
        <v>134</v>
      </c>
      <c r="E96" t="s">
        <v>61</v>
      </c>
      <c r="F96" t="s">
        <v>129</v>
      </c>
      <c r="G96">
        <v>3</v>
      </c>
      <c r="H96" s="5">
        <v>5328.02</v>
      </c>
      <c r="I96" s="4">
        <v>0.1</v>
      </c>
      <c r="J96" s="5">
        <v>14385.65</v>
      </c>
      <c r="K96" s="5">
        <v>8386.9599999999991</v>
      </c>
      <c r="L96" s="5">
        <v>5998.69</v>
      </c>
      <c r="M96" t="s">
        <v>57</v>
      </c>
      <c r="N96" t="s">
        <v>43</v>
      </c>
      <c r="O96" t="s">
        <v>37</v>
      </c>
    </row>
    <row r="97" spans="1:15">
      <c r="A97" t="s">
        <v>255</v>
      </c>
      <c r="B97" s="3">
        <v>45813</v>
      </c>
      <c r="C97" t="s">
        <v>256</v>
      </c>
      <c r="D97" t="s">
        <v>32</v>
      </c>
      <c r="E97" t="s">
        <v>41</v>
      </c>
      <c r="F97" t="s">
        <v>153</v>
      </c>
      <c r="G97">
        <v>2</v>
      </c>
      <c r="H97" s="5">
        <v>3094.36</v>
      </c>
      <c r="I97" s="4">
        <v>0.05</v>
      </c>
      <c r="J97" s="5">
        <v>5879.28</v>
      </c>
      <c r="K97" s="5">
        <v>4617.26</v>
      </c>
      <c r="L97" s="5">
        <v>1262.02</v>
      </c>
      <c r="M97" t="s">
        <v>35</v>
      </c>
      <c r="N97" t="s">
        <v>43</v>
      </c>
      <c r="O97" t="s">
        <v>44</v>
      </c>
    </row>
    <row r="98" spans="1:15">
      <c r="A98" t="s">
        <v>257</v>
      </c>
      <c r="B98" s="3">
        <v>46190</v>
      </c>
      <c r="C98" t="s">
        <v>211</v>
      </c>
      <c r="D98" t="s">
        <v>74</v>
      </c>
      <c r="E98" t="s">
        <v>33</v>
      </c>
      <c r="F98" t="s">
        <v>92</v>
      </c>
      <c r="G98">
        <v>6</v>
      </c>
      <c r="H98" s="5">
        <v>2146.98</v>
      </c>
      <c r="I98" s="4">
        <v>0.15</v>
      </c>
      <c r="J98" s="5">
        <v>10949.6</v>
      </c>
      <c r="K98" s="5">
        <v>8209.91</v>
      </c>
      <c r="L98" s="5">
        <v>2739.69</v>
      </c>
      <c r="M98" t="s">
        <v>35</v>
      </c>
      <c r="N98" t="s">
        <v>43</v>
      </c>
      <c r="O98" t="s">
        <v>37</v>
      </c>
    </row>
    <row r="99" spans="1:15">
      <c r="A99" t="s">
        <v>258</v>
      </c>
      <c r="B99" s="3">
        <v>45793</v>
      </c>
      <c r="C99" t="s">
        <v>259</v>
      </c>
      <c r="D99" t="s">
        <v>40</v>
      </c>
      <c r="E99" t="s">
        <v>33</v>
      </c>
      <c r="F99" t="s">
        <v>67</v>
      </c>
      <c r="G99">
        <v>2</v>
      </c>
      <c r="H99" s="5">
        <v>1649.57</v>
      </c>
      <c r="I99" s="4">
        <v>0.1</v>
      </c>
      <c r="J99" s="5">
        <v>2969.23</v>
      </c>
      <c r="K99" s="5">
        <v>2252.96</v>
      </c>
      <c r="L99" s="5">
        <v>716.27</v>
      </c>
      <c r="M99" t="s">
        <v>57</v>
      </c>
      <c r="N99" t="s">
        <v>71</v>
      </c>
      <c r="O99" t="s">
        <v>44</v>
      </c>
    </row>
    <row r="100" spans="1:15">
      <c r="A100" t="s">
        <v>260</v>
      </c>
      <c r="B100" s="3">
        <v>46252</v>
      </c>
      <c r="C100" t="s">
        <v>261</v>
      </c>
      <c r="D100" t="s">
        <v>74</v>
      </c>
      <c r="E100" t="s">
        <v>61</v>
      </c>
      <c r="F100" t="s">
        <v>129</v>
      </c>
      <c r="G100">
        <v>1</v>
      </c>
      <c r="H100" s="5">
        <v>4337.92</v>
      </c>
      <c r="I100" s="4">
        <v>0.1</v>
      </c>
      <c r="J100" s="5">
        <v>3904.13</v>
      </c>
      <c r="K100" s="5">
        <v>2370.14</v>
      </c>
      <c r="L100" s="5">
        <v>1533.99</v>
      </c>
      <c r="M100" t="s">
        <v>57</v>
      </c>
      <c r="N100" t="s">
        <v>36</v>
      </c>
      <c r="O100" t="s">
        <v>37</v>
      </c>
    </row>
    <row r="101" spans="1:15">
      <c r="A101" t="s">
        <v>262</v>
      </c>
      <c r="B101" s="3">
        <v>46175</v>
      </c>
      <c r="C101" t="s">
        <v>127</v>
      </c>
      <c r="D101" t="s">
        <v>56</v>
      </c>
      <c r="E101" t="s">
        <v>33</v>
      </c>
      <c r="F101" t="s">
        <v>67</v>
      </c>
      <c r="G101">
        <v>4</v>
      </c>
      <c r="H101" s="5">
        <v>2620.3000000000002</v>
      </c>
      <c r="I101" s="4">
        <v>0.05</v>
      </c>
      <c r="J101" s="5">
        <v>9957.14</v>
      </c>
      <c r="K101" s="5">
        <v>7937.07</v>
      </c>
      <c r="L101" s="5">
        <v>2020.07</v>
      </c>
      <c r="M101" t="s">
        <v>35</v>
      </c>
      <c r="N101" t="s">
        <v>36</v>
      </c>
      <c r="O101" t="s">
        <v>44</v>
      </c>
    </row>
    <row r="102" spans="1:15">
      <c r="A102" t="s">
        <v>263</v>
      </c>
      <c r="B102" s="3">
        <v>45931</v>
      </c>
      <c r="C102" t="s">
        <v>264</v>
      </c>
      <c r="D102" t="s">
        <v>265</v>
      </c>
      <c r="E102" t="s">
        <v>48</v>
      </c>
      <c r="F102" t="s">
        <v>102</v>
      </c>
      <c r="G102">
        <v>3</v>
      </c>
      <c r="H102" s="5">
        <v>1098.8499999999999</v>
      </c>
      <c r="I102" s="4">
        <v>0.05</v>
      </c>
      <c r="J102" s="5">
        <v>3131.72</v>
      </c>
      <c r="K102" s="5">
        <v>2655.78</v>
      </c>
      <c r="L102" s="5">
        <v>475.94</v>
      </c>
      <c r="M102" t="s">
        <v>35</v>
      </c>
      <c r="N102" t="s">
        <v>71</v>
      </c>
      <c r="O102" t="s">
        <v>44</v>
      </c>
    </row>
    <row r="103" spans="1:15">
      <c r="A103" t="s">
        <v>266</v>
      </c>
      <c r="B103" s="3">
        <v>45797</v>
      </c>
      <c r="C103" t="s">
        <v>267</v>
      </c>
      <c r="D103" t="s">
        <v>32</v>
      </c>
      <c r="E103" t="s">
        <v>61</v>
      </c>
      <c r="F103" t="s">
        <v>129</v>
      </c>
      <c r="G103">
        <v>5</v>
      </c>
      <c r="H103" s="5">
        <v>3613.23</v>
      </c>
      <c r="I103" s="4">
        <v>0</v>
      </c>
      <c r="J103" s="5">
        <v>18066.150000000001</v>
      </c>
      <c r="K103" s="5">
        <v>11075.6</v>
      </c>
      <c r="L103" s="5">
        <v>6990.55</v>
      </c>
      <c r="M103" t="s">
        <v>35</v>
      </c>
      <c r="N103" t="s">
        <v>36</v>
      </c>
      <c r="O103" t="s">
        <v>44</v>
      </c>
    </row>
    <row r="104" spans="1:15">
      <c r="A104" t="s">
        <v>268</v>
      </c>
      <c r="B104" s="3">
        <v>45659</v>
      </c>
      <c r="C104" t="s">
        <v>269</v>
      </c>
      <c r="D104" t="s">
        <v>56</v>
      </c>
      <c r="E104" t="s">
        <v>48</v>
      </c>
      <c r="F104" t="s">
        <v>99</v>
      </c>
      <c r="G104">
        <v>3</v>
      </c>
      <c r="H104" s="5">
        <v>1599.25</v>
      </c>
      <c r="I104" s="4">
        <v>0</v>
      </c>
      <c r="J104" s="5">
        <v>4797.75</v>
      </c>
      <c r="K104" s="5">
        <v>2919.04</v>
      </c>
      <c r="L104" s="5">
        <v>1878.71</v>
      </c>
      <c r="M104" t="s">
        <v>35</v>
      </c>
      <c r="N104" t="s">
        <v>71</v>
      </c>
      <c r="O104" t="s">
        <v>37</v>
      </c>
    </row>
    <row r="105" spans="1:15">
      <c r="A105" t="s">
        <v>270</v>
      </c>
      <c r="B105" s="3">
        <v>45973</v>
      </c>
      <c r="C105" t="s">
        <v>271</v>
      </c>
      <c r="D105" t="s">
        <v>32</v>
      </c>
      <c r="E105" t="s">
        <v>41</v>
      </c>
      <c r="F105" t="s">
        <v>42</v>
      </c>
      <c r="G105">
        <v>4</v>
      </c>
      <c r="H105" s="5">
        <v>3516.15</v>
      </c>
      <c r="I105" s="4">
        <v>0.2</v>
      </c>
      <c r="J105" s="5">
        <v>11251.68</v>
      </c>
      <c r="K105" s="5">
        <v>9311.66</v>
      </c>
      <c r="L105" s="5">
        <v>1940.02</v>
      </c>
      <c r="M105" t="s">
        <v>57</v>
      </c>
      <c r="N105" t="s">
        <v>36</v>
      </c>
      <c r="O105" t="s">
        <v>44</v>
      </c>
    </row>
    <row r="106" spans="1:15">
      <c r="A106" t="s">
        <v>272</v>
      </c>
      <c r="B106" s="3">
        <v>45854</v>
      </c>
      <c r="C106" t="s">
        <v>273</v>
      </c>
      <c r="D106" t="s">
        <v>52</v>
      </c>
      <c r="E106" t="s">
        <v>41</v>
      </c>
      <c r="F106" t="s">
        <v>153</v>
      </c>
      <c r="G106">
        <v>2</v>
      </c>
      <c r="H106" s="5">
        <v>2318.2600000000002</v>
      </c>
      <c r="I106" s="4">
        <v>0</v>
      </c>
      <c r="J106" s="5">
        <v>4636.5200000000004</v>
      </c>
      <c r="K106" s="5">
        <v>3566.5</v>
      </c>
      <c r="L106" s="5">
        <v>1070.02</v>
      </c>
      <c r="M106" t="s">
        <v>35</v>
      </c>
      <c r="N106" t="s">
        <v>43</v>
      </c>
      <c r="O106" t="s">
        <v>37</v>
      </c>
    </row>
    <row r="107" spans="1:15">
      <c r="A107" t="s">
        <v>274</v>
      </c>
      <c r="B107" s="3">
        <v>45992</v>
      </c>
      <c r="C107" t="s">
        <v>123</v>
      </c>
      <c r="D107" t="s">
        <v>40</v>
      </c>
      <c r="E107" t="s">
        <v>33</v>
      </c>
      <c r="F107" t="s">
        <v>67</v>
      </c>
      <c r="G107">
        <v>1</v>
      </c>
      <c r="H107" s="5">
        <v>2526.02</v>
      </c>
      <c r="I107" s="4">
        <v>0.2</v>
      </c>
      <c r="J107" s="5">
        <v>2020.82</v>
      </c>
      <c r="K107" s="5">
        <v>1529.53</v>
      </c>
      <c r="L107" s="5">
        <v>491.29</v>
      </c>
      <c r="M107" t="s">
        <v>57</v>
      </c>
      <c r="N107" t="s">
        <v>71</v>
      </c>
      <c r="O107" t="s">
        <v>44</v>
      </c>
    </row>
    <row r="108" spans="1:15">
      <c r="A108" t="s">
        <v>275</v>
      </c>
      <c r="B108" s="3">
        <v>46145</v>
      </c>
      <c r="C108" t="s">
        <v>276</v>
      </c>
      <c r="D108" t="s">
        <v>56</v>
      </c>
      <c r="E108" t="s">
        <v>33</v>
      </c>
      <c r="F108" t="s">
        <v>96</v>
      </c>
      <c r="G108">
        <v>2</v>
      </c>
      <c r="H108" s="5">
        <v>2903.88</v>
      </c>
      <c r="I108" s="4">
        <v>0.1</v>
      </c>
      <c r="J108" s="5">
        <v>5226.9799999999996</v>
      </c>
      <c r="K108" s="5">
        <v>3435.87</v>
      </c>
      <c r="L108" s="5">
        <v>1791.11</v>
      </c>
      <c r="M108" t="s">
        <v>57</v>
      </c>
      <c r="N108" t="s">
        <v>63</v>
      </c>
      <c r="O108" t="s">
        <v>44</v>
      </c>
    </row>
    <row r="109" spans="1:15">
      <c r="A109" t="s">
        <v>277</v>
      </c>
      <c r="B109" s="3">
        <v>45665</v>
      </c>
      <c r="C109" t="s">
        <v>159</v>
      </c>
      <c r="D109" t="s">
        <v>52</v>
      </c>
      <c r="E109" t="s">
        <v>48</v>
      </c>
      <c r="F109" t="s">
        <v>70</v>
      </c>
      <c r="G109">
        <v>4</v>
      </c>
      <c r="H109" s="5">
        <v>5048.96</v>
      </c>
      <c r="I109" s="4">
        <v>0.15</v>
      </c>
      <c r="J109" s="5">
        <v>17166.46</v>
      </c>
      <c r="K109" s="5">
        <v>12576.42</v>
      </c>
      <c r="L109" s="5">
        <v>4590.04</v>
      </c>
      <c r="M109" t="s">
        <v>35</v>
      </c>
      <c r="N109" t="s">
        <v>63</v>
      </c>
      <c r="O109" t="s">
        <v>37</v>
      </c>
    </row>
    <row r="110" spans="1:15">
      <c r="A110" t="s">
        <v>278</v>
      </c>
      <c r="B110" s="3">
        <v>45922</v>
      </c>
      <c r="C110" t="s">
        <v>279</v>
      </c>
      <c r="D110" t="s">
        <v>66</v>
      </c>
      <c r="E110" t="s">
        <v>48</v>
      </c>
      <c r="F110" t="s">
        <v>113</v>
      </c>
      <c r="G110">
        <v>6</v>
      </c>
      <c r="H110" s="5">
        <v>5138.99</v>
      </c>
      <c r="I110" s="4">
        <v>0.15</v>
      </c>
      <c r="J110" s="5">
        <v>26208.85</v>
      </c>
      <c r="K110" s="5">
        <v>14891.25</v>
      </c>
      <c r="L110" s="5">
        <v>11317.6</v>
      </c>
      <c r="M110" t="s">
        <v>57</v>
      </c>
      <c r="N110" t="s">
        <v>36</v>
      </c>
      <c r="O110" t="s">
        <v>37</v>
      </c>
    </row>
    <row r="111" spans="1:15">
      <c r="A111" t="s">
        <v>280</v>
      </c>
      <c r="B111" s="3">
        <v>45853</v>
      </c>
      <c r="C111" t="s">
        <v>281</v>
      </c>
      <c r="D111" t="s">
        <v>47</v>
      </c>
      <c r="E111" t="s">
        <v>41</v>
      </c>
      <c r="F111" t="s">
        <v>124</v>
      </c>
      <c r="G111">
        <v>6</v>
      </c>
      <c r="H111" s="5">
        <v>4482.5200000000004</v>
      </c>
      <c r="I111" s="4">
        <v>0.15</v>
      </c>
      <c r="J111" s="5">
        <v>22860.85</v>
      </c>
      <c r="K111" s="5">
        <v>17298.02</v>
      </c>
      <c r="L111" s="5">
        <v>5562.83</v>
      </c>
      <c r="M111" t="s">
        <v>35</v>
      </c>
      <c r="N111" t="s">
        <v>36</v>
      </c>
      <c r="O111" t="s">
        <v>44</v>
      </c>
    </row>
    <row r="112" spans="1:15">
      <c r="A112" t="s">
        <v>282</v>
      </c>
      <c r="B112" s="3">
        <v>46018</v>
      </c>
      <c r="C112" t="s">
        <v>108</v>
      </c>
      <c r="D112" t="s">
        <v>52</v>
      </c>
      <c r="E112" t="s">
        <v>41</v>
      </c>
      <c r="F112" t="s">
        <v>53</v>
      </c>
      <c r="G112">
        <v>4</v>
      </c>
      <c r="H112" s="5">
        <v>2473.81</v>
      </c>
      <c r="I112" s="4">
        <v>0.1</v>
      </c>
      <c r="J112" s="5">
        <v>8905.7199999999993</v>
      </c>
      <c r="K112" s="5">
        <v>6630.27</v>
      </c>
      <c r="L112" s="5">
        <v>2275.4499999999998</v>
      </c>
      <c r="M112" t="s">
        <v>57</v>
      </c>
      <c r="N112" t="s">
        <v>63</v>
      </c>
      <c r="O112" t="s">
        <v>37</v>
      </c>
    </row>
    <row r="113" spans="1:15">
      <c r="A113" t="s">
        <v>283</v>
      </c>
      <c r="B113" s="3">
        <v>45821</v>
      </c>
      <c r="C113" t="s">
        <v>284</v>
      </c>
      <c r="D113" t="s">
        <v>95</v>
      </c>
      <c r="E113" t="s">
        <v>33</v>
      </c>
      <c r="F113" t="s">
        <v>96</v>
      </c>
      <c r="G113">
        <v>6</v>
      </c>
      <c r="H113" s="5">
        <v>319.70999999999998</v>
      </c>
      <c r="I113" s="4">
        <v>0.05</v>
      </c>
      <c r="J113" s="5">
        <v>1822.35</v>
      </c>
      <c r="K113" s="5">
        <v>1506.68</v>
      </c>
      <c r="L113" s="5">
        <v>315.67</v>
      </c>
      <c r="M113" t="s">
        <v>57</v>
      </c>
      <c r="N113" t="s">
        <v>36</v>
      </c>
      <c r="O113" t="s">
        <v>44</v>
      </c>
    </row>
    <row r="114" spans="1:15">
      <c r="A114" t="s">
        <v>285</v>
      </c>
      <c r="B114" s="3">
        <v>46053</v>
      </c>
      <c r="C114" t="s">
        <v>286</v>
      </c>
      <c r="D114" t="s">
        <v>56</v>
      </c>
      <c r="E114" t="s">
        <v>41</v>
      </c>
      <c r="F114" t="s">
        <v>42</v>
      </c>
      <c r="G114">
        <v>3</v>
      </c>
      <c r="H114" s="5">
        <v>1765.45</v>
      </c>
      <c r="I114" s="4">
        <v>0.1</v>
      </c>
      <c r="J114" s="5">
        <v>4766.72</v>
      </c>
      <c r="K114" s="5">
        <v>2769.13</v>
      </c>
      <c r="L114" s="5">
        <v>1997.59</v>
      </c>
      <c r="M114" t="s">
        <v>35</v>
      </c>
      <c r="N114" t="s">
        <v>43</v>
      </c>
      <c r="O114" t="s">
        <v>37</v>
      </c>
    </row>
    <row r="115" spans="1:15">
      <c r="A115" t="s">
        <v>287</v>
      </c>
      <c r="B115" s="3">
        <v>46143</v>
      </c>
      <c r="C115" t="s">
        <v>288</v>
      </c>
      <c r="D115" t="s">
        <v>60</v>
      </c>
      <c r="E115" t="s">
        <v>61</v>
      </c>
      <c r="F115" t="s">
        <v>89</v>
      </c>
      <c r="G115">
        <v>6</v>
      </c>
      <c r="H115" s="5">
        <v>4535.54</v>
      </c>
      <c r="I115" s="4">
        <v>0.1</v>
      </c>
      <c r="J115" s="5">
        <v>24491.919999999998</v>
      </c>
      <c r="K115" s="5">
        <v>14050.67</v>
      </c>
      <c r="L115" s="5">
        <v>10441.25</v>
      </c>
      <c r="M115" t="s">
        <v>57</v>
      </c>
      <c r="N115" t="s">
        <v>36</v>
      </c>
      <c r="O115" t="s">
        <v>44</v>
      </c>
    </row>
    <row r="116" spans="1:15">
      <c r="A116" t="s">
        <v>289</v>
      </c>
      <c r="B116" s="3">
        <v>45848</v>
      </c>
      <c r="C116" t="s">
        <v>290</v>
      </c>
      <c r="D116" t="s">
        <v>74</v>
      </c>
      <c r="E116" t="s">
        <v>48</v>
      </c>
      <c r="F116" t="s">
        <v>99</v>
      </c>
      <c r="G116">
        <v>3</v>
      </c>
      <c r="H116" s="5">
        <v>5094.63</v>
      </c>
      <c r="I116" s="4">
        <v>0.05</v>
      </c>
      <c r="J116" s="5">
        <v>14519.7</v>
      </c>
      <c r="K116" s="5">
        <v>8484.61</v>
      </c>
      <c r="L116" s="5">
        <v>6035.09</v>
      </c>
      <c r="M116" t="s">
        <v>35</v>
      </c>
      <c r="N116" t="s">
        <v>36</v>
      </c>
      <c r="O116" t="s">
        <v>44</v>
      </c>
    </row>
    <row r="117" spans="1:15">
      <c r="A117" t="s">
        <v>291</v>
      </c>
      <c r="B117" s="3">
        <v>45785</v>
      </c>
      <c r="C117" t="s">
        <v>292</v>
      </c>
      <c r="D117" t="s">
        <v>60</v>
      </c>
      <c r="E117" t="s">
        <v>33</v>
      </c>
      <c r="F117" t="s">
        <v>34</v>
      </c>
      <c r="G117">
        <v>3</v>
      </c>
      <c r="H117" s="5">
        <v>3612.32</v>
      </c>
      <c r="I117" s="4">
        <v>0</v>
      </c>
      <c r="J117" s="5">
        <v>10836.96</v>
      </c>
      <c r="K117" s="5">
        <v>8145.27</v>
      </c>
      <c r="L117" s="5">
        <v>2691.69</v>
      </c>
      <c r="M117" t="s">
        <v>57</v>
      </c>
      <c r="N117" t="s">
        <v>43</v>
      </c>
      <c r="O117" t="s">
        <v>37</v>
      </c>
    </row>
    <row r="118" spans="1:15">
      <c r="A118" t="s">
        <v>293</v>
      </c>
      <c r="B118" s="3">
        <v>45755</v>
      </c>
      <c r="C118" t="s">
        <v>294</v>
      </c>
      <c r="D118" t="s">
        <v>60</v>
      </c>
      <c r="E118" t="s">
        <v>33</v>
      </c>
      <c r="F118" t="s">
        <v>92</v>
      </c>
      <c r="G118">
        <v>3</v>
      </c>
      <c r="H118" s="5">
        <v>5297.78</v>
      </c>
      <c r="I118" s="4">
        <v>0.1</v>
      </c>
      <c r="J118" s="5">
        <v>14304.01</v>
      </c>
      <c r="K118" s="5">
        <v>11024.7</v>
      </c>
      <c r="L118" s="5">
        <v>3279.31</v>
      </c>
      <c r="M118" t="s">
        <v>57</v>
      </c>
      <c r="N118" t="s">
        <v>36</v>
      </c>
      <c r="O118" t="s">
        <v>44</v>
      </c>
    </row>
    <row r="119" spans="1:15">
      <c r="A119" t="s">
        <v>295</v>
      </c>
      <c r="B119" s="3">
        <v>45970</v>
      </c>
      <c r="C119" t="s">
        <v>296</v>
      </c>
      <c r="D119" t="s">
        <v>32</v>
      </c>
      <c r="E119" t="s">
        <v>48</v>
      </c>
      <c r="F119" t="s">
        <v>99</v>
      </c>
      <c r="G119">
        <v>5</v>
      </c>
      <c r="H119" s="5">
        <v>4506.37</v>
      </c>
      <c r="I119" s="4">
        <v>0.05</v>
      </c>
      <c r="J119" s="5">
        <v>21405.26</v>
      </c>
      <c r="K119" s="5">
        <v>16951.72</v>
      </c>
      <c r="L119" s="5">
        <v>4453.54</v>
      </c>
      <c r="M119" t="s">
        <v>35</v>
      </c>
      <c r="N119" t="s">
        <v>36</v>
      </c>
      <c r="O119" t="s">
        <v>44</v>
      </c>
    </row>
    <row r="120" spans="1:15">
      <c r="A120" t="s">
        <v>297</v>
      </c>
      <c r="B120" s="3">
        <v>46220</v>
      </c>
      <c r="C120" t="s">
        <v>286</v>
      </c>
      <c r="D120" t="s">
        <v>52</v>
      </c>
      <c r="E120" t="s">
        <v>41</v>
      </c>
      <c r="F120" t="s">
        <v>124</v>
      </c>
      <c r="G120">
        <v>4</v>
      </c>
      <c r="H120" s="5">
        <v>506.86</v>
      </c>
      <c r="I120" s="4">
        <v>0</v>
      </c>
      <c r="J120" s="5">
        <v>2027.44</v>
      </c>
      <c r="K120" s="5">
        <v>1635.53</v>
      </c>
      <c r="L120" s="5">
        <v>391.91</v>
      </c>
      <c r="M120" t="s">
        <v>57</v>
      </c>
      <c r="N120" t="s">
        <v>63</v>
      </c>
      <c r="O120" t="s">
        <v>37</v>
      </c>
    </row>
    <row r="121" spans="1:15">
      <c r="A121" t="s">
        <v>298</v>
      </c>
      <c r="B121" s="3">
        <v>46144</v>
      </c>
      <c r="C121" t="s">
        <v>173</v>
      </c>
      <c r="D121" t="s">
        <v>95</v>
      </c>
      <c r="E121" t="s">
        <v>33</v>
      </c>
      <c r="F121" t="s">
        <v>176</v>
      </c>
      <c r="G121">
        <v>3</v>
      </c>
      <c r="H121" s="5">
        <v>4807.8900000000003</v>
      </c>
      <c r="I121" s="4">
        <v>0.1</v>
      </c>
      <c r="J121" s="5">
        <v>12981.3</v>
      </c>
      <c r="K121" s="5">
        <v>7424</v>
      </c>
      <c r="L121" s="5">
        <v>5557.3</v>
      </c>
      <c r="M121" t="s">
        <v>57</v>
      </c>
      <c r="N121" t="s">
        <v>36</v>
      </c>
      <c r="O121" t="s">
        <v>44</v>
      </c>
    </row>
    <row r="122" spans="1:15">
      <c r="A122" t="s">
        <v>299</v>
      </c>
      <c r="B122" s="3">
        <v>46046</v>
      </c>
      <c r="C122" t="s">
        <v>300</v>
      </c>
      <c r="D122" t="s">
        <v>66</v>
      </c>
      <c r="E122" t="s">
        <v>33</v>
      </c>
      <c r="F122" t="s">
        <v>92</v>
      </c>
      <c r="G122">
        <v>4</v>
      </c>
      <c r="H122" s="5">
        <v>4125.57</v>
      </c>
      <c r="I122" s="4">
        <v>0.05</v>
      </c>
      <c r="J122" s="5">
        <v>15677.17</v>
      </c>
      <c r="K122" s="5">
        <v>8891.4699999999993</v>
      </c>
      <c r="L122" s="5">
        <v>6785.7</v>
      </c>
      <c r="M122" t="s">
        <v>57</v>
      </c>
      <c r="N122" t="s">
        <v>36</v>
      </c>
      <c r="O122" t="s">
        <v>44</v>
      </c>
    </row>
    <row r="123" spans="1:15">
      <c r="A123" t="s">
        <v>301</v>
      </c>
      <c r="B123" s="3">
        <v>46030</v>
      </c>
      <c r="C123" t="s">
        <v>302</v>
      </c>
      <c r="D123" t="s">
        <v>95</v>
      </c>
      <c r="E123" t="s">
        <v>33</v>
      </c>
      <c r="F123" t="s">
        <v>34</v>
      </c>
      <c r="G123">
        <v>4</v>
      </c>
      <c r="H123" s="5">
        <v>2834.26</v>
      </c>
      <c r="I123" s="4">
        <v>0.15</v>
      </c>
      <c r="J123" s="5">
        <v>9636.48</v>
      </c>
      <c r="K123" s="5">
        <v>6720.78</v>
      </c>
      <c r="L123" s="5">
        <v>2915.7</v>
      </c>
      <c r="M123" t="s">
        <v>35</v>
      </c>
      <c r="N123" t="s">
        <v>36</v>
      </c>
      <c r="O123" t="s">
        <v>44</v>
      </c>
    </row>
    <row r="124" spans="1:15">
      <c r="A124" t="s">
        <v>303</v>
      </c>
      <c r="B124" s="3">
        <v>46138</v>
      </c>
      <c r="C124" t="s">
        <v>304</v>
      </c>
      <c r="D124" t="s">
        <v>32</v>
      </c>
      <c r="E124" t="s">
        <v>48</v>
      </c>
      <c r="F124" t="s">
        <v>113</v>
      </c>
      <c r="G124">
        <v>2</v>
      </c>
      <c r="H124" s="5">
        <v>340.87</v>
      </c>
      <c r="I124" s="4">
        <v>0.15</v>
      </c>
      <c r="J124" s="5">
        <v>579.48</v>
      </c>
      <c r="K124" s="5">
        <v>384.98</v>
      </c>
      <c r="L124" s="5">
        <v>194.5</v>
      </c>
      <c r="M124" t="s">
        <v>35</v>
      </c>
      <c r="N124" t="s">
        <v>43</v>
      </c>
      <c r="O124" t="s">
        <v>37</v>
      </c>
    </row>
    <row r="125" spans="1:15">
      <c r="A125" t="s">
        <v>305</v>
      </c>
      <c r="B125" s="3">
        <v>45955</v>
      </c>
      <c r="C125" t="s">
        <v>306</v>
      </c>
      <c r="D125" t="s">
        <v>32</v>
      </c>
      <c r="E125" t="s">
        <v>48</v>
      </c>
      <c r="F125" t="s">
        <v>49</v>
      </c>
      <c r="G125">
        <v>3</v>
      </c>
      <c r="H125" s="5">
        <v>4487.09</v>
      </c>
      <c r="I125" s="4">
        <v>0</v>
      </c>
      <c r="J125" s="5">
        <v>13461.27</v>
      </c>
      <c r="K125" s="5">
        <v>10222.370000000001</v>
      </c>
      <c r="L125" s="5">
        <v>3238.9</v>
      </c>
      <c r="M125" t="s">
        <v>35</v>
      </c>
      <c r="N125" t="s">
        <v>63</v>
      </c>
      <c r="O125" t="s">
        <v>37</v>
      </c>
    </row>
    <row r="126" spans="1:15">
      <c r="A126" t="s">
        <v>307</v>
      </c>
      <c r="B126" s="3">
        <v>45660</v>
      </c>
      <c r="C126" t="s">
        <v>308</v>
      </c>
      <c r="D126" t="s">
        <v>40</v>
      </c>
      <c r="E126" t="s">
        <v>48</v>
      </c>
      <c r="F126" t="s">
        <v>49</v>
      </c>
      <c r="G126">
        <v>4</v>
      </c>
      <c r="H126" s="5">
        <v>2637.57</v>
      </c>
      <c r="I126" s="4">
        <v>0.1</v>
      </c>
      <c r="J126" s="5">
        <v>9495.25</v>
      </c>
      <c r="K126" s="5">
        <v>7506.27</v>
      </c>
      <c r="L126" s="5">
        <v>1988.98</v>
      </c>
      <c r="M126" t="s">
        <v>35</v>
      </c>
      <c r="N126" t="s">
        <v>63</v>
      </c>
      <c r="O126" t="s">
        <v>44</v>
      </c>
    </row>
    <row r="127" spans="1:15">
      <c r="A127" t="s">
        <v>309</v>
      </c>
      <c r="B127" s="3">
        <v>46079</v>
      </c>
      <c r="C127" t="s">
        <v>310</v>
      </c>
      <c r="D127" t="s">
        <v>95</v>
      </c>
      <c r="E127" t="s">
        <v>61</v>
      </c>
      <c r="F127" t="s">
        <v>62</v>
      </c>
      <c r="G127">
        <v>2</v>
      </c>
      <c r="H127" s="5">
        <v>1970.68</v>
      </c>
      <c r="I127" s="4">
        <v>0.2</v>
      </c>
      <c r="J127" s="5">
        <v>3153.09</v>
      </c>
      <c r="K127" s="5">
        <v>1896.57</v>
      </c>
      <c r="L127" s="5">
        <v>1256.52</v>
      </c>
      <c r="M127" t="s">
        <v>57</v>
      </c>
      <c r="N127" t="s">
        <v>36</v>
      </c>
      <c r="O127" t="s">
        <v>44</v>
      </c>
    </row>
    <row r="128" spans="1:15">
      <c r="A128" t="s">
        <v>311</v>
      </c>
      <c r="B128" s="3">
        <v>46153</v>
      </c>
      <c r="C128" t="s">
        <v>312</v>
      </c>
      <c r="D128" t="s">
        <v>40</v>
      </c>
      <c r="E128" t="s">
        <v>61</v>
      </c>
      <c r="F128" t="s">
        <v>62</v>
      </c>
      <c r="G128">
        <v>1</v>
      </c>
      <c r="H128" s="5">
        <v>4267.5200000000004</v>
      </c>
      <c r="I128" s="4">
        <v>0</v>
      </c>
      <c r="J128" s="5">
        <v>4267.5200000000004</v>
      </c>
      <c r="K128" s="5">
        <v>2939.3</v>
      </c>
      <c r="L128" s="5">
        <v>1328.22</v>
      </c>
      <c r="M128" t="s">
        <v>57</v>
      </c>
      <c r="N128" t="s">
        <v>36</v>
      </c>
      <c r="O128" t="s">
        <v>44</v>
      </c>
    </row>
    <row r="129" spans="1:15">
      <c r="A129" t="s">
        <v>313</v>
      </c>
      <c r="B129" s="3">
        <v>46065</v>
      </c>
      <c r="C129" t="s">
        <v>314</v>
      </c>
      <c r="D129" t="s">
        <v>32</v>
      </c>
      <c r="E129" t="s">
        <v>61</v>
      </c>
      <c r="F129" t="s">
        <v>62</v>
      </c>
      <c r="G129">
        <v>5</v>
      </c>
      <c r="H129" s="5">
        <v>2443.2399999999998</v>
      </c>
      <c r="I129" s="4">
        <v>0</v>
      </c>
      <c r="J129" s="5">
        <v>12216.2</v>
      </c>
      <c r="K129" s="5">
        <v>8284.2099999999991</v>
      </c>
      <c r="L129" s="5">
        <v>3931.99</v>
      </c>
      <c r="M129" t="s">
        <v>57</v>
      </c>
      <c r="N129" t="s">
        <v>43</v>
      </c>
      <c r="O129" t="s">
        <v>37</v>
      </c>
    </row>
    <row r="130" spans="1:15">
      <c r="A130" t="s">
        <v>315</v>
      </c>
      <c r="B130" s="3">
        <v>46009</v>
      </c>
      <c r="C130" t="s">
        <v>316</v>
      </c>
      <c r="D130" t="s">
        <v>56</v>
      </c>
      <c r="E130" t="s">
        <v>61</v>
      </c>
      <c r="F130" t="s">
        <v>129</v>
      </c>
      <c r="G130">
        <v>6</v>
      </c>
      <c r="H130" s="5">
        <v>5316.19</v>
      </c>
      <c r="I130" s="4">
        <v>0.2</v>
      </c>
      <c r="J130" s="5">
        <v>25517.71</v>
      </c>
      <c r="K130" s="5">
        <v>21106.79</v>
      </c>
      <c r="L130" s="5">
        <v>4410.92</v>
      </c>
      <c r="M130" t="s">
        <v>57</v>
      </c>
      <c r="N130" t="s">
        <v>71</v>
      </c>
      <c r="O130" t="s">
        <v>44</v>
      </c>
    </row>
    <row r="131" spans="1:15">
      <c r="A131" t="s">
        <v>317</v>
      </c>
      <c r="B131" s="3">
        <v>45956</v>
      </c>
      <c r="C131" t="s">
        <v>318</v>
      </c>
      <c r="D131" t="s">
        <v>74</v>
      </c>
      <c r="E131" t="s">
        <v>41</v>
      </c>
      <c r="F131" t="s">
        <v>42</v>
      </c>
      <c r="G131">
        <v>4</v>
      </c>
      <c r="H131" s="5">
        <v>821.69</v>
      </c>
      <c r="I131" s="4">
        <v>0</v>
      </c>
      <c r="J131" s="5">
        <v>3286.76</v>
      </c>
      <c r="K131" s="5">
        <v>2298.71</v>
      </c>
      <c r="L131" s="5">
        <v>988.05</v>
      </c>
      <c r="M131" t="s">
        <v>35</v>
      </c>
      <c r="N131" t="s">
        <v>63</v>
      </c>
      <c r="O131" t="s">
        <v>44</v>
      </c>
    </row>
    <row r="132" spans="1:15">
      <c r="A132" t="s">
        <v>319</v>
      </c>
      <c r="B132" s="3">
        <v>45679</v>
      </c>
      <c r="C132" t="s">
        <v>320</v>
      </c>
      <c r="D132" t="s">
        <v>60</v>
      </c>
      <c r="E132" t="s">
        <v>48</v>
      </c>
      <c r="F132" t="s">
        <v>102</v>
      </c>
      <c r="G132">
        <v>2</v>
      </c>
      <c r="H132" s="5">
        <v>853.98</v>
      </c>
      <c r="I132" s="4">
        <v>0</v>
      </c>
      <c r="J132" s="5">
        <v>1707.96</v>
      </c>
      <c r="K132" s="5">
        <v>1238.69</v>
      </c>
      <c r="L132" s="5">
        <v>469.27</v>
      </c>
      <c r="M132" t="s">
        <v>57</v>
      </c>
      <c r="N132" t="s">
        <v>36</v>
      </c>
      <c r="O132" t="s">
        <v>37</v>
      </c>
    </row>
    <row r="133" spans="1:15">
      <c r="A133" t="s">
        <v>321</v>
      </c>
      <c r="B133" s="3">
        <v>46216</v>
      </c>
      <c r="C133" t="s">
        <v>322</v>
      </c>
      <c r="D133" t="s">
        <v>56</v>
      </c>
      <c r="E133" t="s">
        <v>61</v>
      </c>
      <c r="F133" t="s">
        <v>84</v>
      </c>
      <c r="G133">
        <v>4</v>
      </c>
      <c r="H133" s="5">
        <v>2095.58</v>
      </c>
      <c r="I133" s="4">
        <v>0.05</v>
      </c>
      <c r="J133" s="5">
        <v>7963.2</v>
      </c>
      <c r="K133" s="5">
        <v>6489.46</v>
      </c>
      <c r="L133" s="5">
        <v>1473.74</v>
      </c>
      <c r="M133" t="s">
        <v>57</v>
      </c>
      <c r="N133" t="s">
        <v>63</v>
      </c>
      <c r="O133" t="s">
        <v>44</v>
      </c>
    </row>
    <row r="134" spans="1:15">
      <c r="A134" t="s">
        <v>323</v>
      </c>
      <c r="B134" s="3">
        <v>46217</v>
      </c>
      <c r="C134" t="s">
        <v>164</v>
      </c>
      <c r="D134" t="s">
        <v>56</v>
      </c>
      <c r="E134" t="s">
        <v>48</v>
      </c>
      <c r="F134" t="s">
        <v>70</v>
      </c>
      <c r="G134">
        <v>5</v>
      </c>
      <c r="H134" s="5">
        <v>4089.26</v>
      </c>
      <c r="I134" s="4">
        <v>0</v>
      </c>
      <c r="J134" s="5">
        <v>20446.3</v>
      </c>
      <c r="K134" s="5">
        <v>15177.42</v>
      </c>
      <c r="L134" s="5">
        <v>5268.88</v>
      </c>
      <c r="M134" t="s">
        <v>57</v>
      </c>
      <c r="N134" t="s">
        <v>36</v>
      </c>
      <c r="O134" t="s">
        <v>44</v>
      </c>
    </row>
    <row r="135" spans="1:15">
      <c r="A135" t="s">
        <v>324</v>
      </c>
      <c r="B135" s="3">
        <v>45838</v>
      </c>
      <c r="C135" t="s">
        <v>269</v>
      </c>
      <c r="D135" t="s">
        <v>32</v>
      </c>
      <c r="E135" t="s">
        <v>61</v>
      </c>
      <c r="F135" t="s">
        <v>81</v>
      </c>
      <c r="G135">
        <v>4</v>
      </c>
      <c r="H135" s="5">
        <v>658.49</v>
      </c>
      <c r="I135" s="4">
        <v>0</v>
      </c>
      <c r="J135" s="5">
        <v>2633.96</v>
      </c>
      <c r="K135" s="5">
        <v>1471.08</v>
      </c>
      <c r="L135" s="5">
        <v>1162.8800000000001</v>
      </c>
      <c r="M135" t="s">
        <v>35</v>
      </c>
      <c r="N135" t="s">
        <v>63</v>
      </c>
      <c r="O135" t="s">
        <v>44</v>
      </c>
    </row>
    <row r="136" spans="1:15">
      <c r="A136" t="s">
        <v>325</v>
      </c>
      <c r="B136" s="3">
        <v>45808</v>
      </c>
      <c r="C136" t="s">
        <v>326</v>
      </c>
      <c r="D136" t="s">
        <v>52</v>
      </c>
      <c r="E136" t="s">
        <v>33</v>
      </c>
      <c r="F136" t="s">
        <v>34</v>
      </c>
      <c r="G136">
        <v>1</v>
      </c>
      <c r="H136" s="5">
        <v>1370.14</v>
      </c>
      <c r="I136" s="4">
        <v>0.05</v>
      </c>
      <c r="J136" s="5">
        <v>1301.6300000000001</v>
      </c>
      <c r="K136" s="5">
        <v>954.09</v>
      </c>
      <c r="L136" s="5">
        <v>347.54</v>
      </c>
      <c r="M136" t="s">
        <v>35</v>
      </c>
      <c r="N136" t="s">
        <v>63</v>
      </c>
      <c r="O136" t="s">
        <v>44</v>
      </c>
    </row>
    <row r="137" spans="1:15">
      <c r="A137" t="s">
        <v>327</v>
      </c>
      <c r="B137" s="3">
        <v>45781</v>
      </c>
      <c r="C137" t="s">
        <v>328</v>
      </c>
      <c r="D137" t="s">
        <v>134</v>
      </c>
      <c r="E137" t="s">
        <v>33</v>
      </c>
      <c r="F137" t="s">
        <v>176</v>
      </c>
      <c r="G137">
        <v>4</v>
      </c>
      <c r="H137" s="5">
        <v>545.64</v>
      </c>
      <c r="I137" s="4">
        <v>0.2</v>
      </c>
      <c r="J137" s="5">
        <v>1746.05</v>
      </c>
      <c r="K137" s="5">
        <v>1268.51</v>
      </c>
      <c r="L137" s="5">
        <v>477.54</v>
      </c>
      <c r="M137" t="s">
        <v>35</v>
      </c>
      <c r="N137" t="s">
        <v>36</v>
      </c>
      <c r="O137" t="s">
        <v>44</v>
      </c>
    </row>
    <row r="138" spans="1:15">
      <c r="A138" t="s">
        <v>329</v>
      </c>
      <c r="B138" s="3">
        <v>46218</v>
      </c>
      <c r="C138" t="s">
        <v>330</v>
      </c>
      <c r="D138" t="s">
        <v>56</v>
      </c>
      <c r="E138" t="s">
        <v>41</v>
      </c>
      <c r="F138" t="s">
        <v>124</v>
      </c>
      <c r="G138">
        <v>3</v>
      </c>
      <c r="H138" s="5">
        <v>4690.8599999999997</v>
      </c>
      <c r="I138" s="4">
        <v>0.05</v>
      </c>
      <c r="J138" s="5">
        <v>13368.95</v>
      </c>
      <c r="K138" s="5">
        <v>7582.01</v>
      </c>
      <c r="L138" s="5">
        <v>5786.94</v>
      </c>
      <c r="M138" t="s">
        <v>35</v>
      </c>
      <c r="N138" t="s">
        <v>71</v>
      </c>
      <c r="O138" t="s">
        <v>44</v>
      </c>
    </row>
    <row r="139" spans="1:15">
      <c r="A139" t="s">
        <v>331</v>
      </c>
      <c r="B139" s="3">
        <v>45933</v>
      </c>
      <c r="C139" t="s">
        <v>332</v>
      </c>
      <c r="D139" t="s">
        <v>134</v>
      </c>
      <c r="E139" t="s">
        <v>48</v>
      </c>
      <c r="F139" t="s">
        <v>113</v>
      </c>
      <c r="G139">
        <v>6</v>
      </c>
      <c r="H139" s="5">
        <v>605.09</v>
      </c>
      <c r="I139" s="4">
        <v>0.15</v>
      </c>
      <c r="J139" s="5">
        <v>3085.96</v>
      </c>
      <c r="K139" s="5">
        <v>2003.61</v>
      </c>
      <c r="L139" s="5">
        <v>1082.3499999999999</v>
      </c>
      <c r="M139" t="s">
        <v>35</v>
      </c>
      <c r="N139" t="s">
        <v>63</v>
      </c>
      <c r="O139" t="s">
        <v>44</v>
      </c>
    </row>
    <row r="140" spans="1:15">
      <c r="A140" t="s">
        <v>333</v>
      </c>
      <c r="B140" s="3">
        <v>46035</v>
      </c>
      <c r="C140" t="s">
        <v>94</v>
      </c>
      <c r="D140" t="s">
        <v>74</v>
      </c>
      <c r="E140" t="s">
        <v>48</v>
      </c>
      <c r="F140" t="s">
        <v>102</v>
      </c>
      <c r="G140">
        <v>3</v>
      </c>
      <c r="H140" s="5">
        <v>1304.32</v>
      </c>
      <c r="I140" s="4">
        <v>0.1</v>
      </c>
      <c r="J140" s="5">
        <v>3521.66</v>
      </c>
      <c r="K140" s="5">
        <v>2063.1799999999998</v>
      </c>
      <c r="L140" s="5">
        <v>1458.48</v>
      </c>
      <c r="M140" t="s">
        <v>57</v>
      </c>
      <c r="N140" t="s">
        <v>36</v>
      </c>
      <c r="O140" t="s">
        <v>44</v>
      </c>
    </row>
    <row r="141" spans="1:15">
      <c r="A141" t="s">
        <v>334</v>
      </c>
      <c r="B141" s="3">
        <v>45994</v>
      </c>
      <c r="C141" t="s">
        <v>335</v>
      </c>
      <c r="D141" t="s">
        <v>47</v>
      </c>
      <c r="E141" t="s">
        <v>61</v>
      </c>
      <c r="F141" t="s">
        <v>81</v>
      </c>
      <c r="G141">
        <v>4</v>
      </c>
      <c r="H141" s="5">
        <v>4538.24</v>
      </c>
      <c r="I141" s="4">
        <v>0.2</v>
      </c>
      <c r="J141" s="5">
        <v>14522.37</v>
      </c>
      <c r="K141" s="5">
        <v>9355.0300000000007</v>
      </c>
      <c r="L141" s="5">
        <v>5167.34</v>
      </c>
      <c r="M141" t="s">
        <v>35</v>
      </c>
      <c r="N141" t="s">
        <v>71</v>
      </c>
      <c r="O141" t="s">
        <v>44</v>
      </c>
    </row>
    <row r="142" spans="1:15">
      <c r="A142" t="s">
        <v>336</v>
      </c>
      <c r="B142" s="3">
        <v>46034</v>
      </c>
      <c r="C142" t="s">
        <v>337</v>
      </c>
      <c r="D142" t="s">
        <v>74</v>
      </c>
      <c r="E142" t="s">
        <v>41</v>
      </c>
      <c r="F142" t="s">
        <v>42</v>
      </c>
      <c r="G142">
        <v>1</v>
      </c>
      <c r="H142" s="5">
        <v>3181.58</v>
      </c>
      <c r="I142" s="4">
        <v>0.05</v>
      </c>
      <c r="J142" s="5">
        <v>3022.5</v>
      </c>
      <c r="K142" s="5">
        <v>2046.34</v>
      </c>
      <c r="L142" s="5">
        <v>976.16</v>
      </c>
      <c r="M142" t="s">
        <v>35</v>
      </c>
      <c r="N142" t="s">
        <v>71</v>
      </c>
      <c r="O142" t="s">
        <v>44</v>
      </c>
    </row>
    <row r="143" spans="1:15">
      <c r="A143" t="s">
        <v>338</v>
      </c>
      <c r="B143" s="3">
        <v>45796</v>
      </c>
      <c r="C143" t="s">
        <v>339</v>
      </c>
      <c r="D143" t="s">
        <v>66</v>
      </c>
      <c r="E143" t="s">
        <v>33</v>
      </c>
      <c r="F143" t="s">
        <v>34</v>
      </c>
      <c r="G143">
        <v>1</v>
      </c>
      <c r="H143" s="5">
        <v>1023.75</v>
      </c>
      <c r="I143" s="4">
        <v>0.15</v>
      </c>
      <c r="J143" s="5">
        <v>870.19</v>
      </c>
      <c r="K143" s="5">
        <v>586.96</v>
      </c>
      <c r="L143" s="5">
        <v>283.23</v>
      </c>
      <c r="M143" t="s">
        <v>35</v>
      </c>
      <c r="N143" t="s">
        <v>71</v>
      </c>
      <c r="O143" t="s">
        <v>37</v>
      </c>
    </row>
    <row r="144" spans="1:15">
      <c r="A144" t="s">
        <v>340</v>
      </c>
      <c r="B144" s="3">
        <v>45694</v>
      </c>
      <c r="C144" t="s">
        <v>341</v>
      </c>
      <c r="D144" t="s">
        <v>47</v>
      </c>
      <c r="E144" t="s">
        <v>48</v>
      </c>
      <c r="F144" t="s">
        <v>49</v>
      </c>
      <c r="G144">
        <v>5</v>
      </c>
      <c r="H144" s="5">
        <v>4948.6499999999996</v>
      </c>
      <c r="I144" s="4">
        <v>0</v>
      </c>
      <c r="J144" s="5">
        <v>24743.25</v>
      </c>
      <c r="K144" s="5">
        <v>15570.55</v>
      </c>
      <c r="L144" s="5">
        <v>9172.7000000000007</v>
      </c>
      <c r="M144" t="s">
        <v>35</v>
      </c>
      <c r="N144" t="s">
        <v>36</v>
      </c>
      <c r="O144" t="s">
        <v>44</v>
      </c>
    </row>
    <row r="145" spans="1:15">
      <c r="A145" t="s">
        <v>342</v>
      </c>
      <c r="B145" s="3">
        <v>45710</v>
      </c>
      <c r="C145" t="s">
        <v>281</v>
      </c>
      <c r="D145" t="s">
        <v>66</v>
      </c>
      <c r="E145" t="s">
        <v>41</v>
      </c>
      <c r="F145" t="s">
        <v>153</v>
      </c>
      <c r="G145">
        <v>2</v>
      </c>
      <c r="H145" s="5">
        <v>3129.74</v>
      </c>
      <c r="I145" s="4">
        <v>0.15</v>
      </c>
      <c r="J145" s="5">
        <v>5320.56</v>
      </c>
      <c r="K145" s="5">
        <v>3525.06</v>
      </c>
      <c r="L145" s="5">
        <v>1795.5</v>
      </c>
      <c r="M145" t="s">
        <v>57</v>
      </c>
      <c r="N145" t="s">
        <v>36</v>
      </c>
      <c r="O145" t="s">
        <v>44</v>
      </c>
    </row>
    <row r="146" spans="1:15">
      <c r="A146" t="s">
        <v>343</v>
      </c>
      <c r="B146" s="3">
        <v>46187</v>
      </c>
      <c r="C146" t="s">
        <v>344</v>
      </c>
      <c r="D146" t="s">
        <v>52</v>
      </c>
      <c r="E146" t="s">
        <v>61</v>
      </c>
      <c r="F146" t="s">
        <v>84</v>
      </c>
      <c r="G146">
        <v>2</v>
      </c>
      <c r="H146" s="5">
        <v>4424.87</v>
      </c>
      <c r="I146" s="4">
        <v>0.15</v>
      </c>
      <c r="J146" s="5">
        <v>7522.28</v>
      </c>
      <c r="K146" s="5">
        <v>4536.16</v>
      </c>
      <c r="L146" s="5">
        <v>2986.12</v>
      </c>
      <c r="M146" t="s">
        <v>35</v>
      </c>
      <c r="N146" t="s">
        <v>71</v>
      </c>
      <c r="O146" t="s">
        <v>37</v>
      </c>
    </row>
    <row r="147" spans="1:15">
      <c r="A147" t="s">
        <v>345</v>
      </c>
      <c r="B147" s="3">
        <v>46145</v>
      </c>
      <c r="C147" t="s">
        <v>346</v>
      </c>
      <c r="D147" t="s">
        <v>56</v>
      </c>
      <c r="E147" t="s">
        <v>41</v>
      </c>
      <c r="F147" t="s">
        <v>42</v>
      </c>
      <c r="G147">
        <v>6</v>
      </c>
      <c r="H147" s="5">
        <v>1597.63</v>
      </c>
      <c r="I147" s="4">
        <v>0.2</v>
      </c>
      <c r="J147" s="5">
        <v>7668.62</v>
      </c>
      <c r="K147" s="5">
        <v>5548.71</v>
      </c>
      <c r="L147" s="5">
        <v>2119.91</v>
      </c>
      <c r="M147" t="s">
        <v>35</v>
      </c>
      <c r="N147" t="s">
        <v>63</v>
      </c>
      <c r="O147" t="s">
        <v>44</v>
      </c>
    </row>
    <row r="148" spans="1:15">
      <c r="A148" t="s">
        <v>347</v>
      </c>
      <c r="B148" s="3">
        <v>46226</v>
      </c>
      <c r="C148" t="s">
        <v>348</v>
      </c>
      <c r="D148" t="s">
        <v>52</v>
      </c>
      <c r="E148" t="s">
        <v>41</v>
      </c>
      <c r="F148" t="s">
        <v>42</v>
      </c>
      <c r="G148">
        <v>2</v>
      </c>
      <c r="H148" s="5">
        <v>187.29</v>
      </c>
      <c r="I148" s="4">
        <v>0</v>
      </c>
      <c r="J148" s="5">
        <v>374.58</v>
      </c>
      <c r="K148" s="5">
        <v>283.88</v>
      </c>
      <c r="L148" s="5">
        <v>90.7</v>
      </c>
      <c r="M148" t="s">
        <v>57</v>
      </c>
      <c r="N148" t="s">
        <v>63</v>
      </c>
      <c r="O148" t="s">
        <v>44</v>
      </c>
    </row>
    <row r="149" spans="1:15">
      <c r="A149" t="s">
        <v>349</v>
      </c>
      <c r="B149" s="3">
        <v>46072</v>
      </c>
      <c r="C149" t="s">
        <v>350</v>
      </c>
      <c r="D149" t="s">
        <v>66</v>
      </c>
      <c r="E149" t="s">
        <v>48</v>
      </c>
      <c r="F149" t="s">
        <v>99</v>
      </c>
      <c r="G149">
        <v>5</v>
      </c>
      <c r="H149" s="5">
        <v>3877.89</v>
      </c>
      <c r="I149" s="4">
        <v>0.2</v>
      </c>
      <c r="J149" s="5">
        <v>15511.56</v>
      </c>
      <c r="K149" s="5">
        <v>10749.89</v>
      </c>
      <c r="L149" s="5">
        <v>4761.67</v>
      </c>
      <c r="M149" t="s">
        <v>57</v>
      </c>
      <c r="N149" t="s">
        <v>71</v>
      </c>
      <c r="O149" t="s">
        <v>37</v>
      </c>
    </row>
    <row r="150" spans="1:15">
      <c r="A150" t="s">
        <v>351</v>
      </c>
      <c r="B150" s="3">
        <v>46150</v>
      </c>
      <c r="C150" t="s">
        <v>352</v>
      </c>
      <c r="D150" t="s">
        <v>47</v>
      </c>
      <c r="E150" t="s">
        <v>41</v>
      </c>
      <c r="F150" t="s">
        <v>119</v>
      </c>
      <c r="G150">
        <v>4</v>
      </c>
      <c r="H150" s="5">
        <v>4334.09</v>
      </c>
      <c r="I150" s="4">
        <v>0.15</v>
      </c>
      <c r="J150" s="5">
        <v>14735.91</v>
      </c>
      <c r="K150" s="5">
        <v>8338.9</v>
      </c>
      <c r="L150" s="5">
        <v>6397.01</v>
      </c>
      <c r="M150" t="s">
        <v>57</v>
      </c>
      <c r="N150" t="s">
        <v>43</v>
      </c>
      <c r="O150" t="s">
        <v>44</v>
      </c>
    </row>
    <row r="151" spans="1:15">
      <c r="A151" t="s">
        <v>353</v>
      </c>
      <c r="B151" s="3">
        <v>45869</v>
      </c>
      <c r="C151" t="s">
        <v>354</v>
      </c>
      <c r="D151" t="s">
        <v>66</v>
      </c>
      <c r="E151" t="s">
        <v>48</v>
      </c>
      <c r="F151" t="s">
        <v>102</v>
      </c>
      <c r="G151">
        <v>4</v>
      </c>
      <c r="H151" s="5">
        <v>2515.33</v>
      </c>
      <c r="I151" s="4">
        <v>0.1</v>
      </c>
      <c r="J151" s="5">
        <v>9055.19</v>
      </c>
      <c r="K151" s="5">
        <v>5166.05</v>
      </c>
      <c r="L151" s="5">
        <v>3889.14</v>
      </c>
      <c r="M151" t="s">
        <v>35</v>
      </c>
      <c r="N151" t="s">
        <v>43</v>
      </c>
      <c r="O151" t="s">
        <v>44</v>
      </c>
    </row>
    <row r="152" spans="1:15">
      <c r="A152" t="s">
        <v>355</v>
      </c>
      <c r="B152" s="3">
        <v>45864</v>
      </c>
      <c r="C152" t="s">
        <v>76</v>
      </c>
      <c r="D152" t="s">
        <v>66</v>
      </c>
      <c r="E152" t="s">
        <v>48</v>
      </c>
      <c r="F152" t="s">
        <v>102</v>
      </c>
      <c r="G152">
        <v>5</v>
      </c>
      <c r="H152" s="5">
        <v>2847.18</v>
      </c>
      <c r="I152" s="4">
        <v>0</v>
      </c>
      <c r="J152" s="5">
        <v>14235.9</v>
      </c>
      <c r="K152" s="5">
        <v>10717.74</v>
      </c>
      <c r="L152" s="5">
        <v>3518.16</v>
      </c>
      <c r="M152" t="s">
        <v>35</v>
      </c>
      <c r="N152" t="s">
        <v>43</v>
      </c>
      <c r="O152" t="s">
        <v>44</v>
      </c>
    </row>
    <row r="153" spans="1:15">
      <c r="A153" t="s">
        <v>356</v>
      </c>
      <c r="B153" s="3">
        <v>45755</v>
      </c>
      <c r="C153" t="s">
        <v>245</v>
      </c>
      <c r="D153" t="s">
        <v>52</v>
      </c>
      <c r="E153" t="s">
        <v>61</v>
      </c>
      <c r="F153" t="s">
        <v>62</v>
      </c>
      <c r="G153">
        <v>2</v>
      </c>
      <c r="H153" s="5">
        <v>445.12</v>
      </c>
      <c r="I153" s="4">
        <v>0.1</v>
      </c>
      <c r="J153" s="5">
        <v>801.22</v>
      </c>
      <c r="K153" s="5">
        <v>469.97</v>
      </c>
      <c r="L153" s="5">
        <v>331.25</v>
      </c>
      <c r="M153" t="s">
        <v>57</v>
      </c>
      <c r="N153" t="s">
        <v>63</v>
      </c>
      <c r="O153" t="s">
        <v>44</v>
      </c>
    </row>
    <row r="154" spans="1:15">
      <c r="A154" t="s">
        <v>357</v>
      </c>
      <c r="B154" s="3">
        <v>45659</v>
      </c>
      <c r="C154" t="s">
        <v>358</v>
      </c>
      <c r="D154" t="s">
        <v>74</v>
      </c>
      <c r="E154" t="s">
        <v>33</v>
      </c>
      <c r="F154" t="s">
        <v>92</v>
      </c>
      <c r="G154">
        <v>1</v>
      </c>
      <c r="H154" s="5">
        <v>1537.26</v>
      </c>
      <c r="I154" s="4">
        <v>0.2</v>
      </c>
      <c r="J154" s="5">
        <v>1229.81</v>
      </c>
      <c r="K154" s="5">
        <v>738.64</v>
      </c>
      <c r="L154" s="5">
        <v>491.17</v>
      </c>
      <c r="M154" t="s">
        <v>35</v>
      </c>
      <c r="N154" t="s">
        <v>71</v>
      </c>
      <c r="O154" t="s">
        <v>44</v>
      </c>
    </row>
    <row r="155" spans="1:15">
      <c r="A155" t="s">
        <v>359</v>
      </c>
      <c r="B155" s="3">
        <v>46048</v>
      </c>
      <c r="C155" t="s">
        <v>360</v>
      </c>
      <c r="D155" t="s">
        <v>134</v>
      </c>
      <c r="E155" t="s">
        <v>61</v>
      </c>
      <c r="F155" t="s">
        <v>89</v>
      </c>
      <c r="G155">
        <v>3</v>
      </c>
      <c r="H155" s="5">
        <v>4325.7</v>
      </c>
      <c r="I155" s="4">
        <v>0.15</v>
      </c>
      <c r="J155" s="5">
        <v>11030.53</v>
      </c>
      <c r="K155" s="5">
        <v>8543.8799999999992</v>
      </c>
      <c r="L155" s="5">
        <v>2486.65</v>
      </c>
      <c r="M155" t="s">
        <v>35</v>
      </c>
      <c r="N155" t="s">
        <v>43</v>
      </c>
      <c r="O155" t="s">
        <v>44</v>
      </c>
    </row>
    <row r="156" spans="1:15">
      <c r="A156" t="s">
        <v>361</v>
      </c>
      <c r="B156" s="3">
        <v>45759</v>
      </c>
      <c r="C156" t="s">
        <v>209</v>
      </c>
      <c r="D156" t="s">
        <v>74</v>
      </c>
      <c r="E156" t="s">
        <v>48</v>
      </c>
      <c r="F156" t="s">
        <v>99</v>
      </c>
      <c r="G156">
        <v>4</v>
      </c>
      <c r="H156" s="5">
        <v>1060.43</v>
      </c>
      <c r="I156" s="4">
        <v>0.2</v>
      </c>
      <c r="J156" s="5">
        <v>3393.38</v>
      </c>
      <c r="K156" s="5">
        <v>2036.51</v>
      </c>
      <c r="L156" s="5">
        <v>1356.87</v>
      </c>
      <c r="M156" t="s">
        <v>57</v>
      </c>
      <c r="N156" t="s">
        <v>71</v>
      </c>
      <c r="O156" t="s">
        <v>44</v>
      </c>
    </row>
    <row r="157" spans="1:15">
      <c r="A157" t="s">
        <v>362</v>
      </c>
      <c r="B157" s="3">
        <v>45778</v>
      </c>
      <c r="C157" t="s">
        <v>363</v>
      </c>
      <c r="D157" t="s">
        <v>60</v>
      </c>
      <c r="E157" t="s">
        <v>33</v>
      </c>
      <c r="F157" t="s">
        <v>34</v>
      </c>
      <c r="G157">
        <v>4</v>
      </c>
      <c r="H157" s="5">
        <v>5193.74</v>
      </c>
      <c r="I157" s="4">
        <v>0.05</v>
      </c>
      <c r="J157" s="5">
        <v>19736.21</v>
      </c>
      <c r="K157" s="5">
        <v>14152.79</v>
      </c>
      <c r="L157" s="5">
        <v>5583.42</v>
      </c>
      <c r="M157" t="s">
        <v>35</v>
      </c>
      <c r="N157" t="s">
        <v>36</v>
      </c>
      <c r="O157" t="s">
        <v>44</v>
      </c>
    </row>
    <row r="158" spans="1:15">
      <c r="A158" t="s">
        <v>364</v>
      </c>
      <c r="B158" s="3">
        <v>46005</v>
      </c>
      <c r="C158" t="s">
        <v>121</v>
      </c>
      <c r="D158" t="s">
        <v>66</v>
      </c>
      <c r="E158" t="s">
        <v>61</v>
      </c>
      <c r="F158" t="s">
        <v>129</v>
      </c>
      <c r="G158">
        <v>5</v>
      </c>
      <c r="H158" s="5">
        <v>5244.6</v>
      </c>
      <c r="I158" s="4">
        <v>0</v>
      </c>
      <c r="J158" s="5">
        <v>26223</v>
      </c>
      <c r="K158" s="5">
        <v>15849.58</v>
      </c>
      <c r="L158" s="5">
        <v>10373.42</v>
      </c>
      <c r="M158" t="s">
        <v>35</v>
      </c>
      <c r="N158" t="s">
        <v>36</v>
      </c>
      <c r="O158" t="s">
        <v>44</v>
      </c>
    </row>
    <row r="159" spans="1:15">
      <c r="A159" t="s">
        <v>365</v>
      </c>
      <c r="B159" s="3">
        <v>45994</v>
      </c>
      <c r="C159" t="s">
        <v>366</v>
      </c>
      <c r="D159" t="s">
        <v>60</v>
      </c>
      <c r="E159" t="s">
        <v>61</v>
      </c>
      <c r="F159" t="s">
        <v>89</v>
      </c>
      <c r="G159">
        <v>3</v>
      </c>
      <c r="H159" s="5">
        <v>4857.17</v>
      </c>
      <c r="I159" s="4">
        <v>0.1</v>
      </c>
      <c r="J159" s="5">
        <v>13114.36</v>
      </c>
      <c r="K159" s="5">
        <v>9959.4</v>
      </c>
      <c r="L159" s="5">
        <v>3154.96</v>
      </c>
      <c r="M159" t="s">
        <v>35</v>
      </c>
      <c r="N159" t="s">
        <v>43</v>
      </c>
      <c r="O159" t="s">
        <v>44</v>
      </c>
    </row>
    <row r="160" spans="1:15">
      <c r="A160" t="s">
        <v>367</v>
      </c>
      <c r="B160" s="3">
        <v>46097</v>
      </c>
      <c r="C160" t="s">
        <v>241</v>
      </c>
      <c r="D160" t="s">
        <v>74</v>
      </c>
      <c r="E160" t="s">
        <v>33</v>
      </c>
      <c r="F160" t="s">
        <v>92</v>
      </c>
      <c r="G160">
        <v>4</v>
      </c>
      <c r="H160" s="5">
        <v>3255.65</v>
      </c>
      <c r="I160" s="4">
        <v>0.2</v>
      </c>
      <c r="J160" s="5">
        <v>10418.08</v>
      </c>
      <c r="K160" s="5">
        <v>6048.12</v>
      </c>
      <c r="L160" s="5">
        <v>4369.96</v>
      </c>
      <c r="M160" t="s">
        <v>57</v>
      </c>
      <c r="N160" t="s">
        <v>36</v>
      </c>
      <c r="O160" t="s">
        <v>44</v>
      </c>
    </row>
    <row r="161" spans="1:15">
      <c r="A161" t="s">
        <v>368</v>
      </c>
      <c r="B161" s="3">
        <v>45728</v>
      </c>
      <c r="C161" t="s">
        <v>369</v>
      </c>
      <c r="D161" t="s">
        <v>52</v>
      </c>
      <c r="E161" t="s">
        <v>41</v>
      </c>
      <c r="F161" t="s">
        <v>124</v>
      </c>
      <c r="G161">
        <v>5</v>
      </c>
      <c r="H161" s="5">
        <v>2735.78</v>
      </c>
      <c r="I161" s="4">
        <v>0</v>
      </c>
      <c r="J161" s="5">
        <v>13678.9</v>
      </c>
      <c r="K161" s="5">
        <v>7708.48</v>
      </c>
      <c r="L161" s="5">
        <v>5970.42</v>
      </c>
      <c r="M161" t="s">
        <v>35</v>
      </c>
      <c r="N161" t="s">
        <v>71</v>
      </c>
      <c r="O161" t="s">
        <v>44</v>
      </c>
    </row>
    <row r="162" spans="1:15">
      <c r="A162" t="s">
        <v>370</v>
      </c>
      <c r="B162" s="3">
        <v>46098</v>
      </c>
      <c r="C162" t="s">
        <v>290</v>
      </c>
      <c r="D162" t="s">
        <v>32</v>
      </c>
      <c r="E162" t="s">
        <v>61</v>
      </c>
      <c r="F162" t="s">
        <v>129</v>
      </c>
      <c r="G162">
        <v>5</v>
      </c>
      <c r="H162" s="5">
        <v>283.37</v>
      </c>
      <c r="I162" s="4">
        <v>0.15</v>
      </c>
      <c r="J162" s="5">
        <v>1204.32</v>
      </c>
      <c r="K162" s="5">
        <v>1004.68</v>
      </c>
      <c r="L162" s="5">
        <v>199.64</v>
      </c>
      <c r="M162" t="s">
        <v>35</v>
      </c>
      <c r="N162" t="s">
        <v>63</v>
      </c>
      <c r="O162" t="s">
        <v>44</v>
      </c>
    </row>
    <row r="163" spans="1:15">
      <c r="A163" t="s">
        <v>371</v>
      </c>
      <c r="B163" s="3">
        <v>46130</v>
      </c>
      <c r="C163" t="s">
        <v>372</v>
      </c>
      <c r="D163" t="s">
        <v>60</v>
      </c>
      <c r="E163" t="s">
        <v>33</v>
      </c>
      <c r="F163" t="s">
        <v>96</v>
      </c>
      <c r="G163">
        <v>3</v>
      </c>
      <c r="H163" s="5">
        <v>2815.59</v>
      </c>
      <c r="I163" s="4">
        <v>0.1</v>
      </c>
      <c r="J163" s="5">
        <v>7602.09</v>
      </c>
      <c r="K163" s="5">
        <v>6263.6</v>
      </c>
      <c r="L163" s="5">
        <v>1338.49</v>
      </c>
      <c r="M163" t="s">
        <v>57</v>
      </c>
      <c r="N163" t="s">
        <v>71</v>
      </c>
      <c r="O163" t="s">
        <v>44</v>
      </c>
    </row>
    <row r="164" spans="1:15">
      <c r="A164" t="s">
        <v>373</v>
      </c>
      <c r="B164" s="3">
        <v>45945</v>
      </c>
      <c r="C164" t="s">
        <v>374</v>
      </c>
      <c r="D164" t="s">
        <v>74</v>
      </c>
      <c r="E164" t="s">
        <v>41</v>
      </c>
      <c r="F164" t="s">
        <v>124</v>
      </c>
      <c r="G164">
        <v>4</v>
      </c>
      <c r="H164" s="5">
        <v>3683.49</v>
      </c>
      <c r="I164" s="4">
        <v>0.2</v>
      </c>
      <c r="J164" s="5">
        <v>11787.17</v>
      </c>
      <c r="K164" s="5">
        <v>8781.1</v>
      </c>
      <c r="L164" s="5">
        <v>3006.07</v>
      </c>
      <c r="M164" t="s">
        <v>35</v>
      </c>
      <c r="N164" t="s">
        <v>36</v>
      </c>
      <c r="O164" t="s">
        <v>44</v>
      </c>
    </row>
    <row r="165" spans="1:15">
      <c r="A165" t="s">
        <v>375</v>
      </c>
      <c r="B165" s="3">
        <v>45854</v>
      </c>
      <c r="C165" t="s">
        <v>376</v>
      </c>
      <c r="D165" t="s">
        <v>95</v>
      </c>
      <c r="E165" t="s">
        <v>48</v>
      </c>
      <c r="F165" t="s">
        <v>113</v>
      </c>
      <c r="G165">
        <v>6</v>
      </c>
      <c r="H165" s="5">
        <v>2550.9499999999998</v>
      </c>
      <c r="I165" s="4">
        <v>0.05</v>
      </c>
      <c r="J165" s="5">
        <v>14540.41</v>
      </c>
      <c r="K165" s="5">
        <v>10611.59</v>
      </c>
      <c r="L165" s="5">
        <v>3928.82</v>
      </c>
      <c r="M165" t="s">
        <v>35</v>
      </c>
      <c r="N165" t="s">
        <v>43</v>
      </c>
      <c r="O165" t="s">
        <v>37</v>
      </c>
    </row>
    <row r="166" spans="1:15">
      <c r="A166" t="s">
        <v>377</v>
      </c>
      <c r="B166" s="3">
        <v>45858</v>
      </c>
      <c r="C166" t="s">
        <v>378</v>
      </c>
      <c r="D166" t="s">
        <v>47</v>
      </c>
      <c r="E166" t="s">
        <v>41</v>
      </c>
      <c r="F166" t="s">
        <v>153</v>
      </c>
      <c r="G166">
        <v>2</v>
      </c>
      <c r="H166" s="5">
        <v>5300.96</v>
      </c>
      <c r="I166" s="4">
        <v>0.1</v>
      </c>
      <c r="J166" s="5">
        <v>9541.73</v>
      </c>
      <c r="K166" s="5">
        <v>7744.51</v>
      </c>
      <c r="L166" s="5">
        <v>1797.22</v>
      </c>
      <c r="M166" t="s">
        <v>57</v>
      </c>
      <c r="N166" t="s">
        <v>43</v>
      </c>
      <c r="O166" t="s">
        <v>37</v>
      </c>
    </row>
    <row r="167" spans="1:15">
      <c r="A167" t="s">
        <v>379</v>
      </c>
      <c r="B167" s="3">
        <v>45666</v>
      </c>
      <c r="C167" t="s">
        <v>376</v>
      </c>
      <c r="D167" t="s">
        <v>95</v>
      </c>
      <c r="E167" t="s">
        <v>33</v>
      </c>
      <c r="F167" t="s">
        <v>92</v>
      </c>
      <c r="G167">
        <v>1</v>
      </c>
      <c r="H167" s="5">
        <v>1140.78</v>
      </c>
      <c r="I167" s="4">
        <v>0.05</v>
      </c>
      <c r="J167" s="5">
        <v>1083.74</v>
      </c>
      <c r="K167" s="5">
        <v>769.91</v>
      </c>
      <c r="L167" s="5">
        <v>313.83</v>
      </c>
      <c r="M167" t="s">
        <v>35</v>
      </c>
      <c r="N167" t="s">
        <v>63</v>
      </c>
      <c r="O167" t="s">
        <v>44</v>
      </c>
    </row>
    <row r="168" spans="1:15">
      <c r="A168" t="s">
        <v>380</v>
      </c>
      <c r="B168" s="3">
        <v>46131</v>
      </c>
      <c r="C168" t="s">
        <v>211</v>
      </c>
      <c r="D168" t="s">
        <v>40</v>
      </c>
      <c r="E168" t="s">
        <v>48</v>
      </c>
      <c r="F168" t="s">
        <v>99</v>
      </c>
      <c r="G168">
        <v>6</v>
      </c>
      <c r="H168" s="5">
        <v>3481.5</v>
      </c>
      <c r="I168" s="4">
        <v>0.1</v>
      </c>
      <c r="J168" s="5">
        <v>18800.099999999999</v>
      </c>
      <c r="K168" s="5">
        <v>14914.48</v>
      </c>
      <c r="L168" s="5">
        <v>3885.62</v>
      </c>
      <c r="M168" t="s">
        <v>57</v>
      </c>
      <c r="N168" t="s">
        <v>63</v>
      </c>
      <c r="O168" t="s">
        <v>44</v>
      </c>
    </row>
    <row r="169" spans="1:15">
      <c r="A169" t="s">
        <v>381</v>
      </c>
      <c r="B169" s="3">
        <v>46235</v>
      </c>
      <c r="C169" t="s">
        <v>382</v>
      </c>
      <c r="D169" t="s">
        <v>40</v>
      </c>
      <c r="E169" t="s">
        <v>33</v>
      </c>
      <c r="F169" t="s">
        <v>67</v>
      </c>
      <c r="G169">
        <v>1</v>
      </c>
      <c r="H169" s="5">
        <v>583.07000000000005</v>
      </c>
      <c r="I169" s="4">
        <v>0.15</v>
      </c>
      <c r="J169" s="5">
        <v>495.61</v>
      </c>
      <c r="K169" s="5">
        <v>360.14</v>
      </c>
      <c r="L169" s="5">
        <v>135.47</v>
      </c>
      <c r="M169" t="s">
        <v>35</v>
      </c>
      <c r="N169" t="s">
        <v>71</v>
      </c>
      <c r="O169" t="s">
        <v>37</v>
      </c>
    </row>
    <row r="170" spans="1:15">
      <c r="A170" t="s">
        <v>383</v>
      </c>
      <c r="B170" s="3">
        <v>45725</v>
      </c>
      <c r="C170" t="s">
        <v>112</v>
      </c>
      <c r="D170" t="s">
        <v>52</v>
      </c>
      <c r="E170" t="s">
        <v>33</v>
      </c>
      <c r="F170" t="s">
        <v>67</v>
      </c>
      <c r="G170">
        <v>6</v>
      </c>
      <c r="H170" s="5">
        <v>907.35</v>
      </c>
      <c r="I170" s="4">
        <v>0.05</v>
      </c>
      <c r="J170" s="5">
        <v>5171.8999999999996</v>
      </c>
      <c r="K170" s="5">
        <v>3585.25</v>
      </c>
      <c r="L170" s="5">
        <v>1586.65</v>
      </c>
      <c r="M170" t="s">
        <v>57</v>
      </c>
      <c r="N170" t="s">
        <v>71</v>
      </c>
      <c r="O170" t="s">
        <v>44</v>
      </c>
    </row>
    <row r="171" spans="1:15">
      <c r="A171" t="s">
        <v>384</v>
      </c>
      <c r="B171" s="3">
        <v>45825</v>
      </c>
      <c r="C171" t="s">
        <v>385</v>
      </c>
      <c r="D171" t="s">
        <v>40</v>
      </c>
      <c r="E171" t="s">
        <v>48</v>
      </c>
      <c r="F171" t="s">
        <v>113</v>
      </c>
      <c r="G171">
        <v>1</v>
      </c>
      <c r="H171" s="5">
        <v>3561.82</v>
      </c>
      <c r="I171" s="4">
        <v>0.2</v>
      </c>
      <c r="J171" s="5">
        <v>2849.46</v>
      </c>
      <c r="K171" s="5">
        <v>1928</v>
      </c>
      <c r="L171" s="5">
        <v>921.46</v>
      </c>
      <c r="M171" t="s">
        <v>57</v>
      </c>
      <c r="N171" t="s">
        <v>43</v>
      </c>
      <c r="O171" t="s">
        <v>44</v>
      </c>
    </row>
    <row r="172" spans="1:15">
      <c r="A172" t="s">
        <v>386</v>
      </c>
      <c r="B172" s="3">
        <v>46083</v>
      </c>
      <c r="C172" t="s">
        <v>387</v>
      </c>
      <c r="D172" t="s">
        <v>40</v>
      </c>
      <c r="E172" t="s">
        <v>33</v>
      </c>
      <c r="F172" t="s">
        <v>67</v>
      </c>
      <c r="G172">
        <v>5</v>
      </c>
      <c r="H172" s="5">
        <v>1997.94</v>
      </c>
      <c r="I172" s="4">
        <v>0.05</v>
      </c>
      <c r="J172" s="5">
        <v>9490.2199999999993</v>
      </c>
      <c r="K172" s="5">
        <v>5746.72</v>
      </c>
      <c r="L172" s="5">
        <v>3743.5</v>
      </c>
      <c r="M172" t="s">
        <v>57</v>
      </c>
      <c r="N172" t="s">
        <v>63</v>
      </c>
      <c r="O172" t="s">
        <v>37</v>
      </c>
    </row>
    <row r="173" spans="1:15">
      <c r="A173" t="s">
        <v>388</v>
      </c>
      <c r="B173" s="3">
        <v>46041</v>
      </c>
      <c r="C173" t="s">
        <v>389</v>
      </c>
      <c r="D173" t="s">
        <v>66</v>
      </c>
      <c r="E173" t="s">
        <v>48</v>
      </c>
      <c r="F173" t="s">
        <v>49</v>
      </c>
      <c r="G173">
        <v>3</v>
      </c>
      <c r="H173" s="5">
        <v>4466.71</v>
      </c>
      <c r="I173" s="4">
        <v>0.2</v>
      </c>
      <c r="J173" s="5">
        <v>10720.1</v>
      </c>
      <c r="K173" s="5">
        <v>6539.35</v>
      </c>
      <c r="L173" s="5">
        <v>4180.75</v>
      </c>
      <c r="M173" t="s">
        <v>35</v>
      </c>
      <c r="N173" t="s">
        <v>43</v>
      </c>
      <c r="O173" t="s">
        <v>37</v>
      </c>
    </row>
    <row r="174" spans="1:15">
      <c r="A174" t="s">
        <v>390</v>
      </c>
      <c r="B174" s="3">
        <v>45917</v>
      </c>
      <c r="C174" t="s">
        <v>374</v>
      </c>
      <c r="D174" t="s">
        <v>47</v>
      </c>
      <c r="E174" t="s">
        <v>33</v>
      </c>
      <c r="F174" t="s">
        <v>96</v>
      </c>
      <c r="G174">
        <v>6</v>
      </c>
      <c r="H174" s="5">
        <v>769.95</v>
      </c>
      <c r="I174" s="4">
        <v>0.1</v>
      </c>
      <c r="J174" s="5">
        <v>4157.7299999999996</v>
      </c>
      <c r="K174" s="5">
        <v>3035.38</v>
      </c>
      <c r="L174" s="5">
        <v>1122.3499999999999</v>
      </c>
      <c r="M174" t="s">
        <v>57</v>
      </c>
      <c r="N174" t="s">
        <v>36</v>
      </c>
      <c r="O174" t="s">
        <v>44</v>
      </c>
    </row>
    <row r="175" spans="1:15">
      <c r="A175" t="s">
        <v>391</v>
      </c>
      <c r="B175" s="3">
        <v>46256</v>
      </c>
      <c r="C175" t="s">
        <v>230</v>
      </c>
      <c r="D175" t="s">
        <v>32</v>
      </c>
      <c r="E175" t="s">
        <v>33</v>
      </c>
      <c r="F175" t="s">
        <v>96</v>
      </c>
      <c r="G175">
        <v>6</v>
      </c>
      <c r="H175" s="5">
        <v>1413.38</v>
      </c>
      <c r="I175" s="4">
        <v>0</v>
      </c>
      <c r="J175" s="5">
        <v>8480.2800000000007</v>
      </c>
      <c r="K175" s="5">
        <v>4962.7700000000004</v>
      </c>
      <c r="L175" s="5">
        <v>3517.51</v>
      </c>
      <c r="M175" t="s">
        <v>35</v>
      </c>
      <c r="N175" t="s">
        <v>71</v>
      </c>
      <c r="O175" t="s">
        <v>44</v>
      </c>
    </row>
    <row r="176" spans="1:15">
      <c r="A176" t="s">
        <v>392</v>
      </c>
      <c r="B176" s="3">
        <v>45875</v>
      </c>
      <c r="C176" t="s">
        <v>393</v>
      </c>
      <c r="D176" t="s">
        <v>66</v>
      </c>
      <c r="E176" t="s">
        <v>48</v>
      </c>
      <c r="F176" t="s">
        <v>49</v>
      </c>
      <c r="G176">
        <v>2</v>
      </c>
      <c r="H176" s="5">
        <v>3220.68</v>
      </c>
      <c r="I176" s="4">
        <v>0</v>
      </c>
      <c r="J176" s="5">
        <v>6441.36</v>
      </c>
      <c r="K176" s="5">
        <v>5399.44</v>
      </c>
      <c r="L176" s="5">
        <v>1041.92</v>
      </c>
      <c r="M176" t="s">
        <v>57</v>
      </c>
      <c r="N176" t="s">
        <v>43</v>
      </c>
      <c r="O176" t="s">
        <v>37</v>
      </c>
    </row>
    <row r="177" spans="1:15">
      <c r="A177" t="s">
        <v>394</v>
      </c>
      <c r="B177" s="3">
        <v>46014</v>
      </c>
      <c r="C177" t="s">
        <v>55</v>
      </c>
      <c r="D177" t="s">
        <v>95</v>
      </c>
      <c r="E177" t="s">
        <v>33</v>
      </c>
      <c r="F177" t="s">
        <v>92</v>
      </c>
      <c r="G177">
        <v>2</v>
      </c>
      <c r="H177" s="5">
        <v>2424.4</v>
      </c>
      <c r="I177" s="4">
        <v>0.15</v>
      </c>
      <c r="J177" s="5">
        <v>4121.4799999999996</v>
      </c>
      <c r="K177" s="5">
        <v>2968.23</v>
      </c>
      <c r="L177" s="5">
        <v>1153.25</v>
      </c>
      <c r="M177" t="s">
        <v>35</v>
      </c>
      <c r="N177" t="s">
        <v>71</v>
      </c>
      <c r="O177" t="s">
        <v>44</v>
      </c>
    </row>
    <row r="178" spans="1:15">
      <c r="A178" t="s">
        <v>395</v>
      </c>
      <c r="B178" s="3">
        <v>46057</v>
      </c>
      <c r="C178" t="s">
        <v>205</v>
      </c>
      <c r="D178" t="s">
        <v>66</v>
      </c>
      <c r="E178" t="s">
        <v>41</v>
      </c>
      <c r="F178" t="s">
        <v>119</v>
      </c>
      <c r="G178">
        <v>5</v>
      </c>
      <c r="H178" s="5">
        <v>5379.14</v>
      </c>
      <c r="I178" s="4">
        <v>0.1</v>
      </c>
      <c r="J178" s="5">
        <v>24206.13</v>
      </c>
      <c r="K178" s="5">
        <v>19338.13</v>
      </c>
      <c r="L178" s="5">
        <v>4868</v>
      </c>
      <c r="M178" t="s">
        <v>57</v>
      </c>
      <c r="N178" t="s">
        <v>36</v>
      </c>
      <c r="O178" t="s">
        <v>44</v>
      </c>
    </row>
    <row r="179" spans="1:15">
      <c r="A179" t="s">
        <v>396</v>
      </c>
      <c r="B179" s="3">
        <v>45970</v>
      </c>
      <c r="C179" t="s">
        <v>397</v>
      </c>
      <c r="D179" t="s">
        <v>66</v>
      </c>
      <c r="E179" t="s">
        <v>41</v>
      </c>
      <c r="F179" t="s">
        <v>119</v>
      </c>
      <c r="G179">
        <v>2</v>
      </c>
      <c r="H179" s="5">
        <v>5028.8599999999997</v>
      </c>
      <c r="I179" s="4">
        <v>0.05</v>
      </c>
      <c r="J179" s="5">
        <v>9554.83</v>
      </c>
      <c r="K179" s="5">
        <v>6813.85</v>
      </c>
      <c r="L179" s="5">
        <v>2740.98</v>
      </c>
      <c r="M179" t="s">
        <v>35</v>
      </c>
      <c r="N179" t="s">
        <v>63</v>
      </c>
      <c r="O179" t="s">
        <v>37</v>
      </c>
    </row>
    <row r="180" spans="1:15">
      <c r="A180" t="s">
        <v>398</v>
      </c>
      <c r="B180" s="3">
        <v>46118</v>
      </c>
      <c r="C180" t="s">
        <v>399</v>
      </c>
      <c r="D180" t="s">
        <v>52</v>
      </c>
      <c r="E180" t="s">
        <v>48</v>
      </c>
      <c r="F180" t="s">
        <v>102</v>
      </c>
      <c r="G180">
        <v>4</v>
      </c>
      <c r="H180" s="5">
        <v>3797.82</v>
      </c>
      <c r="I180" s="4">
        <v>0.1</v>
      </c>
      <c r="J180" s="5">
        <v>13672.15</v>
      </c>
      <c r="K180" s="5">
        <v>8434.6</v>
      </c>
      <c r="L180" s="5">
        <v>5237.55</v>
      </c>
      <c r="M180" t="s">
        <v>35</v>
      </c>
      <c r="N180" t="s">
        <v>71</v>
      </c>
      <c r="O180" t="s">
        <v>37</v>
      </c>
    </row>
    <row r="181" spans="1:15">
      <c r="A181" t="s">
        <v>400</v>
      </c>
      <c r="B181" s="3">
        <v>46157</v>
      </c>
      <c r="C181" t="s">
        <v>401</v>
      </c>
      <c r="D181" t="s">
        <v>52</v>
      </c>
      <c r="E181" t="s">
        <v>33</v>
      </c>
      <c r="F181" t="s">
        <v>67</v>
      </c>
      <c r="G181">
        <v>2</v>
      </c>
      <c r="H181" s="5">
        <v>1855.21</v>
      </c>
      <c r="I181" s="4">
        <v>0.2</v>
      </c>
      <c r="J181" s="5">
        <v>2968.34</v>
      </c>
      <c r="K181" s="5">
        <v>2096.44</v>
      </c>
      <c r="L181" s="5">
        <v>871.9</v>
      </c>
      <c r="M181" t="s">
        <v>35</v>
      </c>
      <c r="N181" t="s">
        <v>36</v>
      </c>
      <c r="O181" t="s">
        <v>44</v>
      </c>
    </row>
    <row r="182" spans="1:15">
      <c r="A182" t="s">
        <v>402</v>
      </c>
      <c r="B182" s="3">
        <v>46098</v>
      </c>
      <c r="C182" t="s">
        <v>261</v>
      </c>
      <c r="D182" t="s">
        <v>60</v>
      </c>
      <c r="E182" t="s">
        <v>41</v>
      </c>
      <c r="F182" t="s">
        <v>153</v>
      </c>
      <c r="G182">
        <v>4</v>
      </c>
      <c r="H182" s="5">
        <v>1600.32</v>
      </c>
      <c r="I182" s="4">
        <v>0</v>
      </c>
      <c r="J182" s="5">
        <v>6401.28</v>
      </c>
      <c r="K182" s="5">
        <v>3822.13</v>
      </c>
      <c r="L182" s="5">
        <v>2579.15</v>
      </c>
      <c r="M182" t="s">
        <v>35</v>
      </c>
      <c r="N182" t="s">
        <v>63</v>
      </c>
      <c r="O182" t="s">
        <v>44</v>
      </c>
    </row>
    <row r="183" spans="1:15">
      <c r="A183" t="s">
        <v>403</v>
      </c>
      <c r="B183" s="3">
        <v>45662</v>
      </c>
      <c r="C183" t="s">
        <v>213</v>
      </c>
      <c r="D183" t="s">
        <v>74</v>
      </c>
      <c r="E183" t="s">
        <v>41</v>
      </c>
      <c r="F183" t="s">
        <v>124</v>
      </c>
      <c r="G183">
        <v>3</v>
      </c>
      <c r="H183" s="5">
        <v>2467.96</v>
      </c>
      <c r="I183" s="4">
        <v>0.2</v>
      </c>
      <c r="J183" s="5">
        <v>5923.1</v>
      </c>
      <c r="K183" s="5">
        <v>3676</v>
      </c>
      <c r="L183" s="5">
        <v>2247.1</v>
      </c>
      <c r="M183" t="s">
        <v>57</v>
      </c>
      <c r="N183" t="s">
        <v>63</v>
      </c>
      <c r="O183" t="s">
        <v>44</v>
      </c>
    </row>
    <row r="184" spans="1:15">
      <c r="A184" t="s">
        <v>404</v>
      </c>
      <c r="B184" s="3">
        <v>46128</v>
      </c>
      <c r="C184" t="s">
        <v>405</v>
      </c>
      <c r="D184" t="s">
        <v>95</v>
      </c>
      <c r="E184" t="s">
        <v>41</v>
      </c>
      <c r="F184" t="s">
        <v>119</v>
      </c>
      <c r="G184">
        <v>6</v>
      </c>
      <c r="H184" s="5">
        <v>3475.22</v>
      </c>
      <c r="I184" s="4">
        <v>0.2</v>
      </c>
      <c r="J184" s="5">
        <v>16681.060000000001</v>
      </c>
      <c r="K184" s="5">
        <v>13012.89</v>
      </c>
      <c r="L184" s="5">
        <v>3668.17</v>
      </c>
      <c r="M184" t="s">
        <v>35</v>
      </c>
      <c r="N184" t="s">
        <v>36</v>
      </c>
      <c r="O184" t="s">
        <v>44</v>
      </c>
    </row>
    <row r="185" spans="1:15">
      <c r="A185" t="s">
        <v>406</v>
      </c>
      <c r="B185" s="3">
        <v>46218</v>
      </c>
      <c r="C185" t="s">
        <v>256</v>
      </c>
      <c r="D185" t="s">
        <v>32</v>
      </c>
      <c r="E185" t="s">
        <v>48</v>
      </c>
      <c r="F185" t="s">
        <v>113</v>
      </c>
      <c r="G185">
        <v>6</v>
      </c>
      <c r="H185" s="5">
        <v>1408.58</v>
      </c>
      <c r="I185" s="4">
        <v>0.1</v>
      </c>
      <c r="J185" s="5">
        <v>7606.33</v>
      </c>
      <c r="K185" s="5">
        <v>6194.66</v>
      </c>
      <c r="L185" s="5">
        <v>1411.67</v>
      </c>
      <c r="M185" t="s">
        <v>35</v>
      </c>
      <c r="N185" t="s">
        <v>43</v>
      </c>
      <c r="O185" t="s">
        <v>44</v>
      </c>
    </row>
    <row r="186" spans="1:15">
      <c r="A186" t="s">
        <v>407</v>
      </c>
      <c r="B186" s="3">
        <v>45796</v>
      </c>
      <c r="C186" t="s">
        <v>408</v>
      </c>
      <c r="D186" t="s">
        <v>47</v>
      </c>
      <c r="E186" t="s">
        <v>33</v>
      </c>
      <c r="F186" t="s">
        <v>176</v>
      </c>
      <c r="G186">
        <v>4</v>
      </c>
      <c r="H186" s="5">
        <v>4544.1099999999997</v>
      </c>
      <c r="I186" s="4">
        <v>0</v>
      </c>
      <c r="J186" s="5">
        <v>18176.439999999999</v>
      </c>
      <c r="K186" s="5">
        <v>13505.84</v>
      </c>
      <c r="L186" s="5">
        <v>4670.6000000000004</v>
      </c>
      <c r="M186" t="s">
        <v>35</v>
      </c>
      <c r="N186" t="s">
        <v>71</v>
      </c>
      <c r="O186" t="s">
        <v>44</v>
      </c>
    </row>
    <row r="187" spans="1:15">
      <c r="A187" t="s">
        <v>409</v>
      </c>
      <c r="B187" s="3">
        <v>45727</v>
      </c>
      <c r="C187" t="s">
        <v>352</v>
      </c>
      <c r="D187" t="s">
        <v>134</v>
      </c>
      <c r="E187" t="s">
        <v>33</v>
      </c>
      <c r="F187" t="s">
        <v>96</v>
      </c>
      <c r="G187">
        <v>2</v>
      </c>
      <c r="H187" s="5">
        <v>3485.48</v>
      </c>
      <c r="I187" s="4">
        <v>0.1</v>
      </c>
      <c r="J187" s="5">
        <v>6273.86</v>
      </c>
      <c r="K187" s="5">
        <v>4334.6899999999996</v>
      </c>
      <c r="L187" s="5">
        <v>1939.17</v>
      </c>
      <c r="M187" t="s">
        <v>57</v>
      </c>
      <c r="N187" t="s">
        <v>63</v>
      </c>
      <c r="O187" t="s">
        <v>44</v>
      </c>
    </row>
    <row r="188" spans="1:15">
      <c r="A188" t="s">
        <v>410</v>
      </c>
      <c r="B188" s="3">
        <v>45864</v>
      </c>
      <c r="C188" t="s">
        <v>51</v>
      </c>
      <c r="D188" t="s">
        <v>56</v>
      </c>
      <c r="E188" t="s">
        <v>41</v>
      </c>
      <c r="F188" t="s">
        <v>42</v>
      </c>
      <c r="G188">
        <v>3</v>
      </c>
      <c r="H188" s="5">
        <v>5093.0600000000004</v>
      </c>
      <c r="I188" s="4">
        <v>0</v>
      </c>
      <c r="J188" s="5">
        <v>15279.18</v>
      </c>
      <c r="K188" s="5">
        <v>12215.22</v>
      </c>
      <c r="L188" s="5">
        <v>3063.96</v>
      </c>
      <c r="M188" t="s">
        <v>35</v>
      </c>
      <c r="N188" t="s">
        <v>71</v>
      </c>
      <c r="O188" t="s">
        <v>44</v>
      </c>
    </row>
    <row r="189" spans="1:15">
      <c r="A189" t="s">
        <v>411</v>
      </c>
      <c r="B189" s="3">
        <v>46201</v>
      </c>
      <c r="C189" t="s">
        <v>412</v>
      </c>
      <c r="D189" t="s">
        <v>52</v>
      </c>
      <c r="E189" t="s">
        <v>33</v>
      </c>
      <c r="F189" t="s">
        <v>92</v>
      </c>
      <c r="G189">
        <v>4</v>
      </c>
      <c r="H189" s="5">
        <v>4103.21</v>
      </c>
      <c r="I189" s="4">
        <v>0.05</v>
      </c>
      <c r="J189" s="5">
        <v>15592.2</v>
      </c>
      <c r="K189" s="5">
        <v>8980.2099999999991</v>
      </c>
      <c r="L189" s="5">
        <v>6611.99</v>
      </c>
      <c r="M189" t="s">
        <v>57</v>
      </c>
      <c r="N189" t="s">
        <v>36</v>
      </c>
      <c r="O189" t="s">
        <v>44</v>
      </c>
    </row>
    <row r="190" spans="1:15">
      <c r="A190" t="s">
        <v>413</v>
      </c>
      <c r="B190" s="3">
        <v>46073</v>
      </c>
      <c r="C190" t="s">
        <v>414</v>
      </c>
      <c r="D190" t="s">
        <v>32</v>
      </c>
      <c r="E190" t="s">
        <v>33</v>
      </c>
      <c r="F190" t="s">
        <v>67</v>
      </c>
      <c r="G190">
        <v>5</v>
      </c>
      <c r="H190" s="5">
        <v>1432.43</v>
      </c>
      <c r="I190" s="4">
        <v>0.2</v>
      </c>
      <c r="J190" s="5">
        <v>5729.72</v>
      </c>
      <c r="K190" s="5">
        <v>4081.49</v>
      </c>
      <c r="L190" s="5">
        <v>1648.23</v>
      </c>
      <c r="M190" t="s">
        <v>35</v>
      </c>
      <c r="N190" t="s">
        <v>63</v>
      </c>
      <c r="O190" t="s">
        <v>37</v>
      </c>
    </row>
    <row r="191" spans="1:15">
      <c r="A191" t="s">
        <v>415</v>
      </c>
      <c r="B191" s="3">
        <v>46101</v>
      </c>
      <c r="C191" t="s">
        <v>199</v>
      </c>
      <c r="D191" t="s">
        <v>416</v>
      </c>
      <c r="E191" t="s">
        <v>48</v>
      </c>
      <c r="F191" t="s">
        <v>113</v>
      </c>
      <c r="G191">
        <v>1</v>
      </c>
      <c r="H191" s="5">
        <v>5224.6000000000004</v>
      </c>
      <c r="I191" s="4">
        <v>0.05</v>
      </c>
      <c r="J191" s="5">
        <v>4963.37</v>
      </c>
      <c r="K191" s="5">
        <v>2751.32</v>
      </c>
      <c r="L191" s="5">
        <v>2212.0500000000002</v>
      </c>
      <c r="M191" t="s">
        <v>35</v>
      </c>
      <c r="N191" t="s">
        <v>71</v>
      </c>
      <c r="O191" t="s">
        <v>44</v>
      </c>
    </row>
    <row r="192" spans="1:15">
      <c r="A192" t="s">
        <v>417</v>
      </c>
      <c r="B192" s="3">
        <v>45714</v>
      </c>
      <c r="C192" t="s">
        <v>418</v>
      </c>
      <c r="D192" t="s">
        <v>52</v>
      </c>
      <c r="E192" t="s">
        <v>48</v>
      </c>
      <c r="F192" t="s">
        <v>99</v>
      </c>
      <c r="G192">
        <v>3</v>
      </c>
      <c r="H192" s="5">
        <v>4444.45</v>
      </c>
      <c r="I192" s="4">
        <v>0.2</v>
      </c>
      <c r="J192" s="5">
        <v>10666.68</v>
      </c>
      <c r="K192" s="5">
        <v>8491.14</v>
      </c>
      <c r="L192" s="5">
        <v>2175.54</v>
      </c>
      <c r="M192" t="s">
        <v>57</v>
      </c>
      <c r="N192" t="s">
        <v>63</v>
      </c>
      <c r="O192" t="s">
        <v>44</v>
      </c>
    </row>
    <row r="193" spans="1:15">
      <c r="A193" t="s">
        <v>419</v>
      </c>
      <c r="B193" s="3">
        <v>46183</v>
      </c>
      <c r="C193" t="s">
        <v>420</v>
      </c>
      <c r="D193" t="s">
        <v>56</v>
      </c>
      <c r="E193" t="s">
        <v>61</v>
      </c>
      <c r="F193" t="s">
        <v>89</v>
      </c>
      <c r="G193">
        <v>2</v>
      </c>
      <c r="H193" s="5">
        <v>4510.42</v>
      </c>
      <c r="I193" s="4">
        <v>0</v>
      </c>
      <c r="J193" s="5">
        <v>9020.84</v>
      </c>
      <c r="K193" s="5">
        <v>5988.01</v>
      </c>
      <c r="L193" s="5">
        <v>3032.83</v>
      </c>
      <c r="M193" t="s">
        <v>35</v>
      </c>
      <c r="N193" t="s">
        <v>43</v>
      </c>
      <c r="O193" t="s">
        <v>44</v>
      </c>
    </row>
    <row r="194" spans="1:15">
      <c r="A194" t="s">
        <v>421</v>
      </c>
      <c r="B194" s="3">
        <v>45793</v>
      </c>
      <c r="C194" t="s">
        <v>422</v>
      </c>
      <c r="D194" t="s">
        <v>134</v>
      </c>
      <c r="E194" t="s">
        <v>41</v>
      </c>
      <c r="F194" t="s">
        <v>42</v>
      </c>
      <c r="G194">
        <v>3</v>
      </c>
      <c r="H194" s="5">
        <v>2192.77</v>
      </c>
      <c r="I194" s="4">
        <v>0.15</v>
      </c>
      <c r="J194" s="5">
        <v>5591.56</v>
      </c>
      <c r="K194" s="5">
        <v>3418.17</v>
      </c>
      <c r="L194" s="5">
        <v>2173.39</v>
      </c>
      <c r="M194" t="s">
        <v>35</v>
      </c>
      <c r="N194" t="s">
        <v>63</v>
      </c>
      <c r="O194" t="s">
        <v>37</v>
      </c>
    </row>
    <row r="195" spans="1:15">
      <c r="A195" t="s">
        <v>423</v>
      </c>
      <c r="B195" s="3">
        <v>45709</v>
      </c>
      <c r="C195" t="s">
        <v>424</v>
      </c>
      <c r="D195" t="s">
        <v>74</v>
      </c>
      <c r="E195" t="s">
        <v>41</v>
      </c>
      <c r="F195" t="s">
        <v>124</v>
      </c>
      <c r="G195">
        <v>2</v>
      </c>
      <c r="H195" s="5">
        <v>3663.54</v>
      </c>
      <c r="I195" s="4">
        <v>0</v>
      </c>
      <c r="J195" s="5">
        <v>7327.08</v>
      </c>
      <c r="K195" s="5">
        <v>5688.12</v>
      </c>
      <c r="L195" s="5">
        <v>1638.96</v>
      </c>
      <c r="M195" t="s">
        <v>35</v>
      </c>
      <c r="N195" t="s">
        <v>36</v>
      </c>
      <c r="O195" t="s">
        <v>37</v>
      </c>
    </row>
    <row r="196" spans="1:15">
      <c r="A196" t="s">
        <v>425</v>
      </c>
      <c r="B196" s="3">
        <v>46227</v>
      </c>
      <c r="C196" t="s">
        <v>140</v>
      </c>
      <c r="D196" t="s">
        <v>66</v>
      </c>
      <c r="E196" t="s">
        <v>33</v>
      </c>
      <c r="F196" t="s">
        <v>96</v>
      </c>
      <c r="G196">
        <v>5</v>
      </c>
      <c r="H196" s="5">
        <v>1095.69</v>
      </c>
      <c r="I196" s="4">
        <v>0.1</v>
      </c>
      <c r="J196" s="5">
        <v>4930.6099999999997</v>
      </c>
      <c r="K196" s="5">
        <v>2958.87</v>
      </c>
      <c r="L196" s="5">
        <v>1971.74</v>
      </c>
      <c r="M196" t="s">
        <v>35</v>
      </c>
      <c r="N196" t="s">
        <v>43</v>
      </c>
      <c r="O196" t="s">
        <v>44</v>
      </c>
    </row>
    <row r="197" spans="1:15">
      <c r="A197" t="s">
        <v>426</v>
      </c>
      <c r="B197" s="3">
        <v>45687</v>
      </c>
      <c r="C197" t="s">
        <v>427</v>
      </c>
      <c r="D197" t="s">
        <v>66</v>
      </c>
      <c r="E197" t="s">
        <v>61</v>
      </c>
      <c r="F197" t="s">
        <v>89</v>
      </c>
      <c r="G197">
        <v>3</v>
      </c>
      <c r="H197" s="5">
        <v>4881.3599999999997</v>
      </c>
      <c r="I197" s="4">
        <v>0</v>
      </c>
      <c r="J197" s="5">
        <v>14644.08</v>
      </c>
      <c r="K197" s="5">
        <v>12214.68</v>
      </c>
      <c r="L197" s="5">
        <v>2429.4</v>
      </c>
      <c r="M197" t="s">
        <v>35</v>
      </c>
      <c r="N197" t="s">
        <v>43</v>
      </c>
      <c r="O197" t="s">
        <v>44</v>
      </c>
    </row>
    <row r="198" spans="1:15">
      <c r="A198" t="s">
        <v>428</v>
      </c>
      <c r="B198" s="3">
        <v>45965</v>
      </c>
      <c r="C198" t="s">
        <v>429</v>
      </c>
      <c r="D198" t="s">
        <v>60</v>
      </c>
      <c r="E198" t="s">
        <v>48</v>
      </c>
      <c r="F198" t="s">
        <v>70</v>
      </c>
      <c r="G198">
        <v>3</v>
      </c>
      <c r="H198" s="5">
        <v>3212.48</v>
      </c>
      <c r="I198" s="4">
        <v>0</v>
      </c>
      <c r="J198" s="5">
        <v>9637.44</v>
      </c>
      <c r="K198" s="5">
        <v>7225.89</v>
      </c>
      <c r="L198" s="5">
        <v>2411.5500000000002</v>
      </c>
      <c r="M198" t="s">
        <v>57</v>
      </c>
      <c r="N198" t="s">
        <v>43</v>
      </c>
      <c r="O198" t="s">
        <v>37</v>
      </c>
    </row>
    <row r="199" spans="1:15">
      <c r="A199" t="s">
        <v>430</v>
      </c>
      <c r="B199" s="3">
        <v>46166</v>
      </c>
      <c r="C199" t="s">
        <v>431</v>
      </c>
      <c r="D199" t="s">
        <v>66</v>
      </c>
      <c r="E199" t="s">
        <v>33</v>
      </c>
      <c r="F199" t="s">
        <v>92</v>
      </c>
      <c r="G199">
        <v>2</v>
      </c>
      <c r="H199" s="5">
        <v>1310.42</v>
      </c>
      <c r="I199" s="4">
        <v>0.2</v>
      </c>
      <c r="J199" s="5">
        <v>2096.67</v>
      </c>
      <c r="K199" s="5">
        <v>1275.78</v>
      </c>
      <c r="L199" s="5">
        <v>820.89</v>
      </c>
      <c r="M199" t="s">
        <v>35</v>
      </c>
      <c r="N199" t="s">
        <v>43</v>
      </c>
      <c r="O199" t="s">
        <v>44</v>
      </c>
    </row>
    <row r="200" spans="1:15">
      <c r="A200" t="s">
        <v>432</v>
      </c>
      <c r="B200" s="3">
        <v>45745</v>
      </c>
      <c r="C200" t="s">
        <v>433</v>
      </c>
      <c r="D200" t="s">
        <v>134</v>
      </c>
      <c r="E200" t="s">
        <v>33</v>
      </c>
      <c r="F200" t="s">
        <v>34</v>
      </c>
      <c r="G200">
        <v>3</v>
      </c>
      <c r="H200" s="5">
        <v>4914.47</v>
      </c>
      <c r="I200" s="4">
        <v>0</v>
      </c>
      <c r="J200" s="5">
        <v>14743.41</v>
      </c>
      <c r="K200" s="5">
        <v>9529.7999999999993</v>
      </c>
      <c r="L200" s="5">
        <v>5213.6099999999997</v>
      </c>
      <c r="M200" t="s">
        <v>35</v>
      </c>
      <c r="N200" t="s">
        <v>43</v>
      </c>
      <c r="O200" t="s">
        <v>44</v>
      </c>
    </row>
    <row r="201" spans="1:15">
      <c r="A201" t="s">
        <v>434</v>
      </c>
      <c r="B201" s="3">
        <v>46213</v>
      </c>
      <c r="C201" t="s">
        <v>435</v>
      </c>
      <c r="D201" t="s">
        <v>60</v>
      </c>
      <c r="E201" t="s">
        <v>48</v>
      </c>
      <c r="F201" t="s">
        <v>99</v>
      </c>
      <c r="G201">
        <v>3</v>
      </c>
      <c r="H201" s="5">
        <v>4084.56</v>
      </c>
      <c r="I201" s="4">
        <v>0.1</v>
      </c>
      <c r="J201" s="5">
        <v>11028.31</v>
      </c>
      <c r="K201" s="5">
        <v>8133.67</v>
      </c>
      <c r="L201" s="5">
        <v>2894.64</v>
      </c>
      <c r="M201" t="s">
        <v>57</v>
      </c>
      <c r="N201" t="s">
        <v>63</v>
      </c>
      <c r="O201" t="s">
        <v>44</v>
      </c>
    </row>
    <row r="202" spans="1:15">
      <c r="A202" t="s">
        <v>436</v>
      </c>
      <c r="B202" s="3">
        <v>45863</v>
      </c>
      <c r="C202" t="s">
        <v>437</v>
      </c>
      <c r="D202" t="s">
        <v>74</v>
      </c>
      <c r="E202" t="s">
        <v>33</v>
      </c>
      <c r="F202" t="s">
        <v>34</v>
      </c>
      <c r="G202">
        <v>3</v>
      </c>
      <c r="H202" s="5">
        <v>5086.8599999999997</v>
      </c>
      <c r="I202" s="4">
        <v>0.2</v>
      </c>
      <c r="J202" s="5">
        <v>12208.46</v>
      </c>
      <c r="K202" s="5">
        <v>9203.1</v>
      </c>
      <c r="L202" s="5">
        <v>3005.36</v>
      </c>
      <c r="M202" t="s">
        <v>35</v>
      </c>
      <c r="N202" t="s">
        <v>36</v>
      </c>
      <c r="O202" t="s">
        <v>44</v>
      </c>
    </row>
    <row r="203" spans="1:15">
      <c r="A203" t="s">
        <v>438</v>
      </c>
      <c r="B203" s="3">
        <v>45924</v>
      </c>
      <c r="C203" t="s">
        <v>439</v>
      </c>
      <c r="D203" t="s">
        <v>52</v>
      </c>
      <c r="E203" t="s">
        <v>61</v>
      </c>
      <c r="F203" t="s">
        <v>81</v>
      </c>
      <c r="G203">
        <v>2</v>
      </c>
      <c r="H203" s="5">
        <v>2769.17</v>
      </c>
      <c r="I203" s="4">
        <v>0</v>
      </c>
      <c r="J203" s="5">
        <v>5538.34</v>
      </c>
      <c r="K203" s="5">
        <v>3250.57</v>
      </c>
      <c r="L203" s="5">
        <v>2287.77</v>
      </c>
      <c r="M203" t="s">
        <v>57</v>
      </c>
      <c r="N203" t="s">
        <v>36</v>
      </c>
      <c r="O203" t="s">
        <v>44</v>
      </c>
    </row>
    <row r="204" spans="1:15">
      <c r="A204" t="s">
        <v>440</v>
      </c>
      <c r="B204" s="3">
        <v>45883</v>
      </c>
      <c r="C204" t="s">
        <v>441</v>
      </c>
      <c r="D204" t="s">
        <v>47</v>
      </c>
      <c r="E204" t="s">
        <v>41</v>
      </c>
      <c r="F204" t="s">
        <v>124</v>
      </c>
      <c r="G204">
        <v>6</v>
      </c>
      <c r="H204" s="5">
        <v>4709.26</v>
      </c>
      <c r="I204" s="4">
        <v>0</v>
      </c>
      <c r="J204" s="5">
        <v>28255.56</v>
      </c>
      <c r="K204" s="5">
        <v>17230.12</v>
      </c>
      <c r="L204" s="5">
        <v>11025.44</v>
      </c>
      <c r="M204" t="s">
        <v>35</v>
      </c>
      <c r="N204" t="s">
        <v>36</v>
      </c>
      <c r="O204" t="s">
        <v>44</v>
      </c>
    </row>
    <row r="205" spans="1:15">
      <c r="A205" t="s">
        <v>442</v>
      </c>
      <c r="B205" s="3">
        <v>45728</v>
      </c>
      <c r="C205" t="s">
        <v>443</v>
      </c>
      <c r="D205" t="s">
        <v>60</v>
      </c>
      <c r="E205" t="s">
        <v>41</v>
      </c>
      <c r="F205" t="s">
        <v>124</v>
      </c>
      <c r="G205">
        <v>4</v>
      </c>
      <c r="H205" s="5">
        <v>649.32000000000005</v>
      </c>
      <c r="I205" s="4">
        <v>0.1</v>
      </c>
      <c r="J205" s="5">
        <v>2337.5500000000002</v>
      </c>
      <c r="K205" s="5">
        <v>1312.95</v>
      </c>
      <c r="L205" s="5">
        <v>1024.5999999999999</v>
      </c>
      <c r="M205" t="s">
        <v>35</v>
      </c>
      <c r="N205" t="s">
        <v>36</v>
      </c>
      <c r="O205" t="s">
        <v>44</v>
      </c>
    </row>
    <row r="206" spans="1:15">
      <c r="A206" t="s">
        <v>444</v>
      </c>
      <c r="B206" s="3">
        <v>46144</v>
      </c>
      <c r="C206" t="s">
        <v>445</v>
      </c>
      <c r="D206" t="s">
        <v>134</v>
      </c>
      <c r="E206" t="s">
        <v>48</v>
      </c>
      <c r="F206" t="s">
        <v>99</v>
      </c>
      <c r="G206">
        <v>3</v>
      </c>
      <c r="H206" s="5">
        <v>494.37</v>
      </c>
      <c r="I206" s="4">
        <v>0</v>
      </c>
      <c r="J206" s="5">
        <v>1483.11</v>
      </c>
      <c r="K206" s="5">
        <v>959.2</v>
      </c>
      <c r="L206" s="5">
        <v>523.91</v>
      </c>
      <c r="M206" t="s">
        <v>35</v>
      </c>
      <c r="N206" t="s">
        <v>36</v>
      </c>
      <c r="O206" t="s">
        <v>37</v>
      </c>
    </row>
    <row r="207" spans="1:15">
      <c r="A207" t="s">
        <v>446</v>
      </c>
      <c r="B207" s="3">
        <v>45846</v>
      </c>
      <c r="C207" t="s">
        <v>447</v>
      </c>
      <c r="D207" t="s">
        <v>74</v>
      </c>
      <c r="E207" t="s">
        <v>33</v>
      </c>
      <c r="F207" t="s">
        <v>96</v>
      </c>
      <c r="G207">
        <v>3</v>
      </c>
      <c r="H207" s="5">
        <v>4087.33</v>
      </c>
      <c r="I207" s="4">
        <v>0.2</v>
      </c>
      <c r="J207" s="5">
        <v>9809.59</v>
      </c>
      <c r="K207" s="5">
        <v>6865.69</v>
      </c>
      <c r="L207" s="5">
        <v>2943.9</v>
      </c>
      <c r="M207" t="s">
        <v>35</v>
      </c>
      <c r="N207" t="s">
        <v>36</v>
      </c>
      <c r="O207" t="s">
        <v>44</v>
      </c>
    </row>
    <row r="208" spans="1:15">
      <c r="A208" t="s">
        <v>448</v>
      </c>
      <c r="B208" s="3">
        <v>45782</v>
      </c>
      <c r="C208" t="s">
        <v>449</v>
      </c>
      <c r="D208" t="s">
        <v>95</v>
      </c>
      <c r="E208" t="s">
        <v>61</v>
      </c>
      <c r="F208" t="s">
        <v>81</v>
      </c>
      <c r="G208">
        <v>1</v>
      </c>
      <c r="H208" s="5">
        <v>3583.67</v>
      </c>
      <c r="I208" s="4">
        <v>0</v>
      </c>
      <c r="J208" s="5">
        <v>3583.67</v>
      </c>
      <c r="K208" s="5">
        <v>2338.2800000000002</v>
      </c>
      <c r="L208" s="5">
        <v>1245.3900000000001</v>
      </c>
      <c r="M208" t="s">
        <v>35</v>
      </c>
      <c r="N208" t="s">
        <v>71</v>
      </c>
      <c r="O208" t="s">
        <v>44</v>
      </c>
    </row>
    <row r="209" spans="1:15">
      <c r="A209" t="s">
        <v>450</v>
      </c>
      <c r="B209" s="3">
        <v>45846</v>
      </c>
      <c r="C209" t="s">
        <v>422</v>
      </c>
      <c r="D209" t="s">
        <v>40</v>
      </c>
      <c r="E209" t="s">
        <v>41</v>
      </c>
      <c r="F209" t="s">
        <v>53</v>
      </c>
      <c r="G209">
        <v>4</v>
      </c>
      <c r="H209" s="5">
        <v>1106.24</v>
      </c>
      <c r="I209" s="4">
        <v>0.1</v>
      </c>
      <c r="J209" s="5">
        <v>3982.46</v>
      </c>
      <c r="K209" s="5">
        <v>2904.5</v>
      </c>
      <c r="L209" s="5">
        <v>1077.96</v>
      </c>
      <c r="M209" t="s">
        <v>57</v>
      </c>
      <c r="N209" t="s">
        <v>36</v>
      </c>
      <c r="O209" t="s">
        <v>44</v>
      </c>
    </row>
    <row r="210" spans="1:15">
      <c r="A210" t="s">
        <v>451</v>
      </c>
      <c r="B210" s="3">
        <v>46179</v>
      </c>
      <c r="C210" t="s">
        <v>452</v>
      </c>
      <c r="D210" t="s">
        <v>47</v>
      </c>
      <c r="E210" t="s">
        <v>41</v>
      </c>
      <c r="F210" t="s">
        <v>53</v>
      </c>
      <c r="G210">
        <v>6</v>
      </c>
      <c r="H210" s="5">
        <v>3375</v>
      </c>
      <c r="I210" s="4">
        <v>0</v>
      </c>
      <c r="J210" s="5">
        <v>20250</v>
      </c>
      <c r="K210" s="5">
        <v>15533.24</v>
      </c>
      <c r="L210" s="5">
        <v>4716.76</v>
      </c>
      <c r="M210" t="s">
        <v>35</v>
      </c>
      <c r="N210" t="s">
        <v>63</v>
      </c>
      <c r="O210" t="s">
        <v>37</v>
      </c>
    </row>
    <row r="211" spans="1:15">
      <c r="A211" t="s">
        <v>453</v>
      </c>
      <c r="B211" s="3">
        <v>45868</v>
      </c>
      <c r="C211" t="s">
        <v>454</v>
      </c>
      <c r="D211" t="s">
        <v>32</v>
      </c>
      <c r="E211" t="s">
        <v>61</v>
      </c>
      <c r="F211" t="s">
        <v>81</v>
      </c>
      <c r="G211">
        <v>6</v>
      </c>
      <c r="H211" s="5">
        <v>4544.66</v>
      </c>
      <c r="I211" s="4">
        <v>0.1</v>
      </c>
      <c r="J211" s="5">
        <v>24541.16</v>
      </c>
      <c r="K211" s="5">
        <v>15719.57</v>
      </c>
      <c r="L211" s="5">
        <v>8821.59</v>
      </c>
      <c r="M211" t="s">
        <v>35</v>
      </c>
      <c r="N211" t="s">
        <v>63</v>
      </c>
      <c r="O211" t="s">
        <v>44</v>
      </c>
    </row>
    <row r="212" spans="1:15">
      <c r="A212" t="s">
        <v>455</v>
      </c>
      <c r="B212" s="3">
        <v>45688</v>
      </c>
      <c r="C212" t="s">
        <v>456</v>
      </c>
      <c r="D212" t="s">
        <v>134</v>
      </c>
      <c r="E212" t="s">
        <v>33</v>
      </c>
      <c r="F212" t="s">
        <v>176</v>
      </c>
      <c r="G212">
        <v>1</v>
      </c>
      <c r="H212" s="5">
        <v>2647.62</v>
      </c>
      <c r="I212" s="4">
        <v>0.2</v>
      </c>
      <c r="J212" s="5">
        <v>2118.1</v>
      </c>
      <c r="K212" s="5">
        <v>1740.14</v>
      </c>
      <c r="L212" s="5">
        <v>377.96</v>
      </c>
      <c r="M212" t="s">
        <v>57</v>
      </c>
      <c r="N212" t="s">
        <v>36</v>
      </c>
      <c r="O212" t="s">
        <v>44</v>
      </c>
    </row>
    <row r="213" spans="1:15">
      <c r="A213" t="s">
        <v>457</v>
      </c>
      <c r="B213" s="3">
        <v>45947</v>
      </c>
      <c r="C213" t="s">
        <v>374</v>
      </c>
      <c r="D213" t="s">
        <v>47</v>
      </c>
      <c r="E213" t="s">
        <v>33</v>
      </c>
      <c r="F213" t="s">
        <v>176</v>
      </c>
      <c r="G213">
        <v>5</v>
      </c>
      <c r="H213" s="5">
        <v>3172.36</v>
      </c>
      <c r="I213" s="4">
        <v>0.2</v>
      </c>
      <c r="J213" s="5">
        <v>12689.44</v>
      </c>
      <c r="K213" s="5">
        <v>10221.91</v>
      </c>
      <c r="L213" s="5">
        <v>2467.5300000000002</v>
      </c>
      <c r="M213" t="s">
        <v>57</v>
      </c>
      <c r="N213" t="s">
        <v>63</v>
      </c>
      <c r="O213" t="s">
        <v>37</v>
      </c>
    </row>
    <row r="214" spans="1:15">
      <c r="A214" t="s">
        <v>458</v>
      </c>
      <c r="B214" s="3">
        <v>46052</v>
      </c>
      <c r="C214" t="s">
        <v>459</v>
      </c>
      <c r="D214" t="s">
        <v>66</v>
      </c>
      <c r="E214" t="s">
        <v>61</v>
      </c>
      <c r="F214" t="s">
        <v>81</v>
      </c>
      <c r="G214">
        <v>6</v>
      </c>
      <c r="H214" s="5">
        <v>4021.76</v>
      </c>
      <c r="I214" s="4">
        <v>0.05</v>
      </c>
      <c r="J214" s="5">
        <v>22924.03</v>
      </c>
      <c r="K214" s="5">
        <v>16562.04</v>
      </c>
      <c r="L214" s="5">
        <v>6361.99</v>
      </c>
      <c r="M214" t="s">
        <v>35</v>
      </c>
      <c r="N214" t="s">
        <v>43</v>
      </c>
      <c r="O214" t="s">
        <v>44</v>
      </c>
    </row>
    <row r="215" spans="1:15">
      <c r="A215" t="s">
        <v>460</v>
      </c>
      <c r="B215" s="3">
        <v>46056</v>
      </c>
      <c r="C215" t="s">
        <v>461</v>
      </c>
      <c r="D215" t="s">
        <v>74</v>
      </c>
      <c r="E215" t="s">
        <v>33</v>
      </c>
      <c r="F215" t="s">
        <v>176</v>
      </c>
      <c r="G215">
        <v>1</v>
      </c>
      <c r="H215" s="5">
        <v>1327.51</v>
      </c>
      <c r="I215" s="4">
        <v>0</v>
      </c>
      <c r="J215" s="5">
        <v>1327.51</v>
      </c>
      <c r="K215" s="5">
        <v>753.2</v>
      </c>
      <c r="L215" s="5">
        <v>574.30999999999995</v>
      </c>
      <c r="M215" t="s">
        <v>57</v>
      </c>
      <c r="N215" t="s">
        <v>71</v>
      </c>
      <c r="O215" t="s">
        <v>44</v>
      </c>
    </row>
    <row r="216" spans="1:15">
      <c r="A216" t="s">
        <v>462</v>
      </c>
      <c r="B216" s="3">
        <v>45710</v>
      </c>
      <c r="C216" t="s">
        <v>447</v>
      </c>
      <c r="D216" t="s">
        <v>134</v>
      </c>
      <c r="E216" t="s">
        <v>61</v>
      </c>
      <c r="F216" t="s">
        <v>84</v>
      </c>
      <c r="G216">
        <v>6</v>
      </c>
      <c r="H216" s="5">
        <v>3932.3</v>
      </c>
      <c r="I216" s="4">
        <v>0</v>
      </c>
      <c r="J216" s="5">
        <v>23593.8</v>
      </c>
      <c r="K216" s="5">
        <v>13624.32</v>
      </c>
      <c r="L216" s="5">
        <v>9969.48</v>
      </c>
      <c r="M216" t="s">
        <v>57</v>
      </c>
      <c r="N216" t="s">
        <v>43</v>
      </c>
      <c r="O216" t="s">
        <v>44</v>
      </c>
    </row>
    <row r="217" spans="1:15">
      <c r="A217" t="s">
        <v>463</v>
      </c>
      <c r="B217" s="3">
        <v>46039</v>
      </c>
      <c r="C217" t="s">
        <v>464</v>
      </c>
      <c r="D217" t="s">
        <v>56</v>
      </c>
      <c r="E217" t="s">
        <v>48</v>
      </c>
      <c r="F217" t="s">
        <v>99</v>
      </c>
      <c r="G217">
        <v>4</v>
      </c>
      <c r="H217" s="5">
        <v>3499.2</v>
      </c>
      <c r="I217" s="4">
        <v>0.2</v>
      </c>
      <c r="J217" s="5">
        <v>11197.44</v>
      </c>
      <c r="K217" s="5">
        <v>7408.95</v>
      </c>
      <c r="L217" s="5">
        <v>3788.49</v>
      </c>
      <c r="M217" t="s">
        <v>35</v>
      </c>
      <c r="N217" t="s">
        <v>43</v>
      </c>
      <c r="O217" t="s">
        <v>44</v>
      </c>
    </row>
    <row r="218" spans="1:15">
      <c r="A218" t="s">
        <v>465</v>
      </c>
      <c r="B218" s="3">
        <v>45956</v>
      </c>
      <c r="C218" t="s">
        <v>466</v>
      </c>
      <c r="D218" t="s">
        <v>32</v>
      </c>
      <c r="E218" t="s">
        <v>61</v>
      </c>
      <c r="F218" t="s">
        <v>129</v>
      </c>
      <c r="G218">
        <v>3</v>
      </c>
      <c r="H218" s="5">
        <v>1511.15</v>
      </c>
      <c r="I218" s="4">
        <v>0.15</v>
      </c>
      <c r="J218" s="5">
        <v>3853.43</v>
      </c>
      <c r="K218" s="5">
        <v>3167.59</v>
      </c>
      <c r="L218" s="5">
        <v>685.84</v>
      </c>
      <c r="M218" t="s">
        <v>35</v>
      </c>
      <c r="N218" t="s">
        <v>43</v>
      </c>
      <c r="O218" t="s">
        <v>44</v>
      </c>
    </row>
    <row r="219" spans="1:15">
      <c r="A219" t="s">
        <v>467</v>
      </c>
      <c r="B219" s="3">
        <v>45811</v>
      </c>
      <c r="C219" t="s">
        <v>468</v>
      </c>
      <c r="D219" t="s">
        <v>74</v>
      </c>
      <c r="E219" t="s">
        <v>33</v>
      </c>
      <c r="F219" t="s">
        <v>176</v>
      </c>
      <c r="G219">
        <v>6</v>
      </c>
      <c r="H219" s="5">
        <v>2086.37</v>
      </c>
      <c r="I219" s="4">
        <v>0</v>
      </c>
      <c r="J219" s="5">
        <v>12518.22</v>
      </c>
      <c r="K219" s="5">
        <v>8282.0499999999993</v>
      </c>
      <c r="L219" s="5">
        <v>4236.17</v>
      </c>
      <c r="M219" t="s">
        <v>57</v>
      </c>
      <c r="N219" t="s">
        <v>63</v>
      </c>
      <c r="O219" t="s">
        <v>37</v>
      </c>
    </row>
    <row r="220" spans="1:15">
      <c r="A220" t="s">
        <v>469</v>
      </c>
      <c r="B220" s="3">
        <v>45702</v>
      </c>
      <c r="C220" t="s">
        <v>470</v>
      </c>
      <c r="D220" t="s">
        <v>74</v>
      </c>
      <c r="E220" t="s">
        <v>41</v>
      </c>
      <c r="F220" t="s">
        <v>53</v>
      </c>
      <c r="G220">
        <v>2</v>
      </c>
      <c r="H220" s="5">
        <v>4144.51</v>
      </c>
      <c r="I220" s="4">
        <v>0.1</v>
      </c>
      <c r="J220" s="5">
        <v>7460.12</v>
      </c>
      <c r="K220" s="5">
        <v>4276.16</v>
      </c>
      <c r="L220" s="5">
        <v>3183.96</v>
      </c>
      <c r="M220" t="s">
        <v>35</v>
      </c>
      <c r="N220" t="s">
        <v>43</v>
      </c>
      <c r="O220" t="s">
        <v>44</v>
      </c>
    </row>
    <row r="221" spans="1:15">
      <c r="A221" t="s">
        <v>471</v>
      </c>
      <c r="B221" s="3">
        <v>46071</v>
      </c>
      <c r="C221" t="s">
        <v>472</v>
      </c>
      <c r="D221" t="s">
        <v>32</v>
      </c>
      <c r="E221" t="s">
        <v>61</v>
      </c>
      <c r="F221" t="s">
        <v>81</v>
      </c>
      <c r="G221">
        <v>2</v>
      </c>
      <c r="H221" s="5">
        <v>5068.87</v>
      </c>
      <c r="I221" s="4">
        <v>0</v>
      </c>
      <c r="J221" s="5">
        <v>10137.74</v>
      </c>
      <c r="K221" s="5">
        <v>6000.74</v>
      </c>
      <c r="L221" s="5">
        <v>4137</v>
      </c>
      <c r="M221" t="s">
        <v>35</v>
      </c>
      <c r="N221" t="s">
        <v>36</v>
      </c>
      <c r="O221" t="s">
        <v>37</v>
      </c>
    </row>
    <row r="222" spans="1:15">
      <c r="A222" t="s">
        <v>473</v>
      </c>
      <c r="B222" s="3">
        <v>45915</v>
      </c>
      <c r="C222" t="s">
        <v>474</v>
      </c>
      <c r="D222" t="s">
        <v>52</v>
      </c>
      <c r="E222" t="s">
        <v>61</v>
      </c>
      <c r="F222" t="s">
        <v>84</v>
      </c>
      <c r="G222">
        <v>4</v>
      </c>
      <c r="H222" s="5">
        <v>5069.2700000000004</v>
      </c>
      <c r="I222" s="4">
        <v>0.05</v>
      </c>
      <c r="J222" s="5">
        <v>19263.23</v>
      </c>
      <c r="K222" s="5">
        <v>11750.03</v>
      </c>
      <c r="L222" s="5">
        <v>7513.2</v>
      </c>
      <c r="M222" t="s">
        <v>57</v>
      </c>
      <c r="N222" t="s">
        <v>63</v>
      </c>
      <c r="O222" t="s">
        <v>44</v>
      </c>
    </row>
    <row r="223" spans="1:15">
      <c r="A223" t="s">
        <v>475</v>
      </c>
      <c r="B223" s="3">
        <v>45922</v>
      </c>
      <c r="C223" t="s">
        <v>108</v>
      </c>
      <c r="D223" t="s">
        <v>74</v>
      </c>
      <c r="E223" t="s">
        <v>41</v>
      </c>
      <c r="F223" t="s">
        <v>153</v>
      </c>
      <c r="G223">
        <v>2</v>
      </c>
      <c r="H223" s="5">
        <v>175.25</v>
      </c>
      <c r="I223" s="4">
        <v>0.15</v>
      </c>
      <c r="J223" s="5">
        <v>297.93</v>
      </c>
      <c r="K223" s="5">
        <v>193.54</v>
      </c>
      <c r="L223" s="5">
        <v>104.39</v>
      </c>
      <c r="M223" t="s">
        <v>57</v>
      </c>
      <c r="N223" t="s">
        <v>36</v>
      </c>
      <c r="O223" t="s">
        <v>44</v>
      </c>
    </row>
    <row r="224" spans="1:15">
      <c r="A224" t="s">
        <v>476</v>
      </c>
      <c r="B224" s="3">
        <v>46113</v>
      </c>
      <c r="C224" t="s">
        <v>477</v>
      </c>
      <c r="D224" t="s">
        <v>40</v>
      </c>
      <c r="E224" t="s">
        <v>61</v>
      </c>
      <c r="F224" t="s">
        <v>84</v>
      </c>
      <c r="G224">
        <v>5</v>
      </c>
      <c r="H224" s="5">
        <v>4543.18</v>
      </c>
      <c r="I224" s="4">
        <v>0</v>
      </c>
      <c r="J224" s="5">
        <v>22715.9</v>
      </c>
      <c r="K224" s="5">
        <v>15449.53</v>
      </c>
      <c r="L224" s="5">
        <v>7266.37</v>
      </c>
      <c r="M224" t="s">
        <v>35</v>
      </c>
      <c r="N224" t="s">
        <v>36</v>
      </c>
      <c r="O224" t="s">
        <v>44</v>
      </c>
    </row>
    <row r="225" spans="1:15">
      <c r="A225" t="s">
        <v>478</v>
      </c>
      <c r="B225" s="3">
        <v>45879</v>
      </c>
      <c r="C225" t="s">
        <v>220</v>
      </c>
      <c r="D225" t="s">
        <v>74</v>
      </c>
      <c r="E225" t="s">
        <v>61</v>
      </c>
      <c r="F225" t="s">
        <v>89</v>
      </c>
      <c r="G225">
        <v>1</v>
      </c>
      <c r="H225" s="5">
        <v>434.66</v>
      </c>
      <c r="I225" s="4">
        <v>0.05</v>
      </c>
      <c r="J225" s="5">
        <v>412.93</v>
      </c>
      <c r="K225" s="5">
        <v>344.68</v>
      </c>
      <c r="L225" s="5">
        <v>68.25</v>
      </c>
      <c r="M225" t="s">
        <v>35</v>
      </c>
      <c r="N225" t="s">
        <v>71</v>
      </c>
      <c r="O225" t="s">
        <v>44</v>
      </c>
    </row>
    <row r="226" spans="1:15">
      <c r="A226" t="s">
        <v>479</v>
      </c>
      <c r="B226" s="3">
        <v>45749</v>
      </c>
      <c r="C226" t="s">
        <v>480</v>
      </c>
      <c r="D226" t="s">
        <v>95</v>
      </c>
      <c r="E226" t="s">
        <v>33</v>
      </c>
      <c r="F226" t="s">
        <v>67</v>
      </c>
      <c r="G226">
        <v>6</v>
      </c>
      <c r="H226" s="5">
        <v>3219.01</v>
      </c>
      <c r="I226" s="4">
        <v>0.2</v>
      </c>
      <c r="J226" s="5">
        <v>15451.25</v>
      </c>
      <c r="K226" s="5">
        <v>11349.81</v>
      </c>
      <c r="L226" s="5">
        <v>4101.4399999999996</v>
      </c>
      <c r="M226" t="s">
        <v>35</v>
      </c>
      <c r="N226" t="s">
        <v>63</v>
      </c>
      <c r="O226" t="s">
        <v>44</v>
      </c>
    </row>
    <row r="227" spans="1:15">
      <c r="A227" t="s">
        <v>481</v>
      </c>
      <c r="B227" s="3">
        <v>45679</v>
      </c>
      <c r="C227" t="s">
        <v>482</v>
      </c>
      <c r="D227" t="s">
        <v>416</v>
      </c>
      <c r="E227" t="s">
        <v>41</v>
      </c>
      <c r="F227" t="s">
        <v>42</v>
      </c>
      <c r="G227">
        <v>5</v>
      </c>
      <c r="H227" s="5">
        <v>5318.09</v>
      </c>
      <c r="I227" s="4">
        <v>0.2</v>
      </c>
      <c r="J227" s="5">
        <v>21272.36</v>
      </c>
      <c r="K227" s="5">
        <v>15004.63</v>
      </c>
      <c r="L227" s="5">
        <v>6267.73</v>
      </c>
      <c r="M227" t="s">
        <v>35</v>
      </c>
      <c r="N227" t="s">
        <v>71</v>
      </c>
      <c r="O227" t="s">
        <v>44</v>
      </c>
    </row>
    <row r="228" spans="1:15">
      <c r="A228" t="s">
        <v>483</v>
      </c>
      <c r="B228" s="3">
        <v>45891</v>
      </c>
      <c r="C228" t="s">
        <v>484</v>
      </c>
      <c r="D228" t="s">
        <v>74</v>
      </c>
      <c r="E228" t="s">
        <v>33</v>
      </c>
      <c r="F228" t="s">
        <v>96</v>
      </c>
      <c r="G228">
        <v>6</v>
      </c>
      <c r="H228" s="5">
        <v>2811.82</v>
      </c>
      <c r="I228" s="4">
        <v>0</v>
      </c>
      <c r="J228" s="5">
        <v>16870.919999999998</v>
      </c>
      <c r="K228" s="5">
        <v>11838.73</v>
      </c>
      <c r="L228" s="5">
        <v>5032.1899999999996</v>
      </c>
      <c r="M228" t="s">
        <v>35</v>
      </c>
      <c r="N228" t="s">
        <v>71</v>
      </c>
      <c r="O228" t="s">
        <v>44</v>
      </c>
    </row>
    <row r="229" spans="1:15">
      <c r="A229" t="s">
        <v>485</v>
      </c>
      <c r="B229" s="3">
        <v>45676</v>
      </c>
      <c r="C229" t="s">
        <v>486</v>
      </c>
      <c r="D229" t="s">
        <v>32</v>
      </c>
      <c r="E229" t="s">
        <v>41</v>
      </c>
      <c r="F229" t="s">
        <v>153</v>
      </c>
      <c r="G229">
        <v>5</v>
      </c>
      <c r="H229" s="5">
        <v>2905.27</v>
      </c>
      <c r="I229" s="4">
        <v>0.2</v>
      </c>
      <c r="J229" s="5">
        <v>11621.08</v>
      </c>
      <c r="K229" s="5">
        <v>7472.35</v>
      </c>
      <c r="L229" s="5">
        <v>4148.7299999999996</v>
      </c>
      <c r="M229" t="s">
        <v>57</v>
      </c>
      <c r="N229" t="s">
        <v>63</v>
      </c>
      <c r="O229" t="s">
        <v>44</v>
      </c>
    </row>
    <row r="230" spans="1:15">
      <c r="A230" t="s">
        <v>487</v>
      </c>
      <c r="B230" s="3">
        <v>45853</v>
      </c>
      <c r="C230" t="s">
        <v>464</v>
      </c>
      <c r="D230" t="s">
        <v>60</v>
      </c>
      <c r="E230" t="s">
        <v>33</v>
      </c>
      <c r="F230" t="s">
        <v>34</v>
      </c>
      <c r="G230">
        <v>6</v>
      </c>
      <c r="H230" s="5">
        <v>1880.49</v>
      </c>
      <c r="I230" s="4">
        <v>0</v>
      </c>
      <c r="J230" s="5">
        <v>11282.94</v>
      </c>
      <c r="K230" s="5">
        <v>8076.84</v>
      </c>
      <c r="L230" s="5">
        <v>3206.1</v>
      </c>
      <c r="M230" t="s">
        <v>57</v>
      </c>
      <c r="N230" t="s">
        <v>63</v>
      </c>
      <c r="O230" t="s">
        <v>37</v>
      </c>
    </row>
    <row r="231" spans="1:15">
      <c r="A231" t="s">
        <v>488</v>
      </c>
      <c r="B231" s="3">
        <v>46223</v>
      </c>
      <c r="C231" t="s">
        <v>489</v>
      </c>
      <c r="D231" t="s">
        <v>32</v>
      </c>
      <c r="E231" t="s">
        <v>41</v>
      </c>
      <c r="F231" t="s">
        <v>119</v>
      </c>
      <c r="G231">
        <v>4</v>
      </c>
      <c r="H231" s="5">
        <v>3643.06</v>
      </c>
      <c r="I231" s="4">
        <v>0.2</v>
      </c>
      <c r="J231" s="5">
        <v>11657.79</v>
      </c>
      <c r="K231" s="5">
        <v>8196.5499999999993</v>
      </c>
      <c r="L231" s="5">
        <v>3461.24</v>
      </c>
      <c r="M231" t="s">
        <v>57</v>
      </c>
      <c r="N231" t="s">
        <v>63</v>
      </c>
      <c r="O231" t="s">
        <v>37</v>
      </c>
    </row>
    <row r="232" spans="1:15">
      <c r="A232" t="s">
        <v>490</v>
      </c>
      <c r="B232" s="3">
        <v>46102</v>
      </c>
      <c r="C232" t="s">
        <v>484</v>
      </c>
      <c r="D232" t="s">
        <v>60</v>
      </c>
      <c r="E232" t="s">
        <v>48</v>
      </c>
      <c r="F232" t="s">
        <v>49</v>
      </c>
      <c r="G232">
        <v>5</v>
      </c>
      <c r="H232" s="5">
        <v>448.39</v>
      </c>
      <c r="I232" s="4">
        <v>0.05</v>
      </c>
      <c r="J232" s="5">
        <v>2129.85</v>
      </c>
      <c r="K232" s="5">
        <v>1412.17</v>
      </c>
      <c r="L232" s="5">
        <v>717.68</v>
      </c>
      <c r="M232" t="s">
        <v>35</v>
      </c>
      <c r="N232" t="s">
        <v>36</v>
      </c>
      <c r="O232" t="s">
        <v>44</v>
      </c>
    </row>
    <row r="233" spans="1:15">
      <c r="A233" t="s">
        <v>491</v>
      </c>
      <c r="B233" s="3">
        <v>45903</v>
      </c>
      <c r="C233" t="s">
        <v>292</v>
      </c>
      <c r="D233" t="s">
        <v>74</v>
      </c>
      <c r="E233" t="s">
        <v>33</v>
      </c>
      <c r="F233" t="s">
        <v>34</v>
      </c>
      <c r="G233">
        <v>2</v>
      </c>
      <c r="H233" s="5">
        <v>4769.03</v>
      </c>
      <c r="I233" s="4">
        <v>0.1</v>
      </c>
      <c r="J233" s="5">
        <v>8584.25</v>
      </c>
      <c r="K233" s="5">
        <v>5966.85</v>
      </c>
      <c r="L233" s="5">
        <v>2617.4</v>
      </c>
      <c r="M233" t="s">
        <v>35</v>
      </c>
      <c r="N233" t="s">
        <v>36</v>
      </c>
      <c r="O233" t="s">
        <v>37</v>
      </c>
    </row>
    <row r="234" spans="1:15">
      <c r="A234" t="s">
        <v>492</v>
      </c>
      <c r="B234" s="3">
        <v>45679</v>
      </c>
      <c r="C234" t="s">
        <v>493</v>
      </c>
      <c r="D234" t="s">
        <v>56</v>
      </c>
      <c r="E234" t="s">
        <v>33</v>
      </c>
      <c r="F234" t="s">
        <v>92</v>
      </c>
      <c r="G234">
        <v>5</v>
      </c>
      <c r="H234" s="5">
        <v>3891.32</v>
      </c>
      <c r="I234" s="4">
        <v>0</v>
      </c>
      <c r="J234" s="5">
        <v>19456.599999999999</v>
      </c>
      <c r="K234" s="5">
        <v>12579.58</v>
      </c>
      <c r="L234" s="5">
        <v>6877.02</v>
      </c>
      <c r="M234" t="s">
        <v>35</v>
      </c>
      <c r="N234" t="s">
        <v>71</v>
      </c>
      <c r="O234" t="s">
        <v>44</v>
      </c>
    </row>
    <row r="235" spans="1:15">
      <c r="A235" t="s">
        <v>494</v>
      </c>
      <c r="B235" s="3">
        <v>46189</v>
      </c>
      <c r="C235" t="s">
        <v>186</v>
      </c>
      <c r="D235" t="s">
        <v>95</v>
      </c>
      <c r="E235" t="s">
        <v>33</v>
      </c>
      <c r="F235" t="s">
        <v>96</v>
      </c>
      <c r="G235">
        <v>1</v>
      </c>
      <c r="H235" s="5">
        <v>2924.17</v>
      </c>
      <c r="I235" s="4">
        <v>0.1</v>
      </c>
      <c r="J235" s="5">
        <v>2631.75</v>
      </c>
      <c r="K235" s="5">
        <v>2103.08</v>
      </c>
      <c r="L235" s="5">
        <v>528.66999999999996</v>
      </c>
      <c r="M235" t="s">
        <v>35</v>
      </c>
      <c r="N235" t="s">
        <v>43</v>
      </c>
      <c r="O235" t="s">
        <v>44</v>
      </c>
    </row>
    <row r="236" spans="1:15">
      <c r="A236" t="s">
        <v>495</v>
      </c>
      <c r="B236" s="3">
        <v>46009</v>
      </c>
      <c r="C236" t="s">
        <v>69</v>
      </c>
      <c r="D236" t="s">
        <v>60</v>
      </c>
      <c r="E236" t="s">
        <v>33</v>
      </c>
      <c r="F236" t="s">
        <v>67</v>
      </c>
      <c r="G236">
        <v>6</v>
      </c>
      <c r="H236" s="5">
        <v>2507.5300000000002</v>
      </c>
      <c r="I236" s="4">
        <v>0.1</v>
      </c>
      <c r="J236" s="5">
        <v>13540.66</v>
      </c>
      <c r="K236" s="5">
        <v>8434.07</v>
      </c>
      <c r="L236" s="5">
        <v>5106.59</v>
      </c>
      <c r="M236" t="s">
        <v>35</v>
      </c>
      <c r="N236" t="s">
        <v>71</v>
      </c>
      <c r="O236" t="s">
        <v>44</v>
      </c>
    </row>
    <row r="237" spans="1:15">
      <c r="A237" t="s">
        <v>496</v>
      </c>
      <c r="B237" s="3">
        <v>45796</v>
      </c>
      <c r="C237" t="s">
        <v>497</v>
      </c>
      <c r="D237" t="s">
        <v>47</v>
      </c>
      <c r="E237" t="s">
        <v>33</v>
      </c>
      <c r="F237" t="s">
        <v>34</v>
      </c>
      <c r="G237">
        <v>3</v>
      </c>
      <c r="H237" s="5">
        <v>3016.76</v>
      </c>
      <c r="I237" s="4">
        <v>0</v>
      </c>
      <c r="J237" s="5">
        <v>9050.2800000000007</v>
      </c>
      <c r="K237" s="5">
        <v>5399.34</v>
      </c>
      <c r="L237" s="5">
        <v>3650.94</v>
      </c>
      <c r="M237" t="s">
        <v>57</v>
      </c>
      <c r="N237" t="s">
        <v>71</v>
      </c>
      <c r="O237" t="s">
        <v>37</v>
      </c>
    </row>
    <row r="238" spans="1:15">
      <c r="A238" t="s">
        <v>498</v>
      </c>
      <c r="B238" s="3">
        <v>45930</v>
      </c>
      <c r="C238" t="s">
        <v>499</v>
      </c>
      <c r="D238" t="s">
        <v>60</v>
      </c>
      <c r="E238" t="s">
        <v>41</v>
      </c>
      <c r="F238" t="s">
        <v>42</v>
      </c>
      <c r="G238">
        <v>4</v>
      </c>
      <c r="H238" s="5">
        <v>3635.96</v>
      </c>
      <c r="I238" s="4">
        <v>0.2</v>
      </c>
      <c r="J238" s="5">
        <v>11635.07</v>
      </c>
      <c r="K238" s="5">
        <v>7246.23</v>
      </c>
      <c r="L238" s="5">
        <v>4388.84</v>
      </c>
      <c r="M238" t="s">
        <v>35</v>
      </c>
      <c r="N238" t="s">
        <v>71</v>
      </c>
      <c r="O238" t="s">
        <v>44</v>
      </c>
    </row>
    <row r="239" spans="1:15">
      <c r="A239" t="s">
        <v>500</v>
      </c>
      <c r="B239" s="3">
        <v>46265</v>
      </c>
      <c r="C239" t="s">
        <v>112</v>
      </c>
      <c r="D239" t="s">
        <v>52</v>
      </c>
      <c r="E239" t="s">
        <v>61</v>
      </c>
      <c r="F239" t="s">
        <v>62</v>
      </c>
      <c r="G239">
        <v>3</v>
      </c>
      <c r="H239" s="5">
        <v>1814.19</v>
      </c>
      <c r="I239" s="4">
        <v>0.05</v>
      </c>
      <c r="J239" s="5">
        <v>5170.4399999999996</v>
      </c>
      <c r="K239" s="5">
        <v>3530.77</v>
      </c>
      <c r="L239" s="5">
        <v>1639.67</v>
      </c>
      <c r="M239" t="s">
        <v>57</v>
      </c>
      <c r="N239" t="s">
        <v>36</v>
      </c>
      <c r="O239" t="s">
        <v>44</v>
      </c>
    </row>
    <row r="240" spans="1:15">
      <c r="A240" t="s">
        <v>501</v>
      </c>
      <c r="B240" s="3">
        <v>46016</v>
      </c>
      <c r="C240" t="s">
        <v>502</v>
      </c>
      <c r="D240" t="s">
        <v>56</v>
      </c>
      <c r="E240" t="s">
        <v>33</v>
      </c>
      <c r="F240" t="s">
        <v>92</v>
      </c>
      <c r="G240">
        <v>3</v>
      </c>
      <c r="H240" s="5">
        <v>1518.01</v>
      </c>
      <c r="I240" s="4">
        <v>0.05</v>
      </c>
      <c r="J240" s="5">
        <v>4326.33</v>
      </c>
      <c r="K240" s="5">
        <v>3611.66</v>
      </c>
      <c r="L240" s="5">
        <v>714.67</v>
      </c>
      <c r="M240" t="s">
        <v>35</v>
      </c>
      <c r="N240" t="s">
        <v>63</v>
      </c>
      <c r="O240" t="s">
        <v>37</v>
      </c>
    </row>
    <row r="241" spans="1:15">
      <c r="A241" t="s">
        <v>503</v>
      </c>
      <c r="B241" s="3">
        <v>46122</v>
      </c>
      <c r="C241" t="s">
        <v>504</v>
      </c>
      <c r="D241" t="s">
        <v>40</v>
      </c>
      <c r="E241" t="s">
        <v>33</v>
      </c>
      <c r="F241" t="s">
        <v>34</v>
      </c>
      <c r="G241">
        <v>4</v>
      </c>
      <c r="H241" s="5">
        <v>3568.71</v>
      </c>
      <c r="I241" s="4">
        <v>0.05</v>
      </c>
      <c r="J241" s="5">
        <v>13561.1</v>
      </c>
      <c r="K241" s="5">
        <v>8356.41</v>
      </c>
      <c r="L241" s="5">
        <v>5204.6899999999996</v>
      </c>
      <c r="M241" t="s">
        <v>35</v>
      </c>
      <c r="N241" t="s">
        <v>71</v>
      </c>
      <c r="O241" t="s">
        <v>44</v>
      </c>
    </row>
    <row r="242" spans="1:15">
      <c r="A242" t="s">
        <v>505</v>
      </c>
      <c r="B242" s="3">
        <v>45956</v>
      </c>
      <c r="C242" t="s">
        <v>211</v>
      </c>
      <c r="D242" t="s">
        <v>95</v>
      </c>
      <c r="E242" t="s">
        <v>48</v>
      </c>
      <c r="F242" t="s">
        <v>70</v>
      </c>
      <c r="G242">
        <v>2</v>
      </c>
      <c r="H242" s="5">
        <v>1386.15</v>
      </c>
      <c r="I242" s="4">
        <v>0</v>
      </c>
      <c r="J242" s="5">
        <v>2772.3</v>
      </c>
      <c r="K242" s="5">
        <v>2071.77</v>
      </c>
      <c r="L242" s="5">
        <v>700.53</v>
      </c>
      <c r="M242" t="s">
        <v>35</v>
      </c>
      <c r="N242" t="s">
        <v>36</v>
      </c>
      <c r="O242" t="s">
        <v>44</v>
      </c>
    </row>
    <row r="243" spans="1:15">
      <c r="A243" t="s">
        <v>506</v>
      </c>
      <c r="B243" s="3">
        <v>45674</v>
      </c>
      <c r="C243" t="s">
        <v>507</v>
      </c>
      <c r="D243" t="s">
        <v>56</v>
      </c>
      <c r="E243" t="s">
        <v>61</v>
      </c>
      <c r="F243" t="s">
        <v>89</v>
      </c>
      <c r="G243">
        <v>5</v>
      </c>
      <c r="H243" s="5">
        <v>229.07</v>
      </c>
      <c r="I243" s="4">
        <v>0.15</v>
      </c>
      <c r="J243" s="5">
        <v>973.55</v>
      </c>
      <c r="K243" s="5">
        <v>819.35</v>
      </c>
      <c r="L243" s="5">
        <v>154.19999999999999</v>
      </c>
      <c r="M243" t="s">
        <v>35</v>
      </c>
      <c r="N243" t="s">
        <v>63</v>
      </c>
      <c r="O243" t="s">
        <v>44</v>
      </c>
    </row>
    <row r="244" spans="1:15">
      <c r="A244" t="s">
        <v>508</v>
      </c>
      <c r="B244" s="3">
        <v>46045</v>
      </c>
      <c r="C244" t="s">
        <v>509</v>
      </c>
      <c r="D244" t="s">
        <v>47</v>
      </c>
      <c r="E244" t="s">
        <v>61</v>
      </c>
      <c r="F244" t="s">
        <v>81</v>
      </c>
      <c r="G244">
        <v>2</v>
      </c>
      <c r="H244" s="5">
        <v>2288.08</v>
      </c>
      <c r="I244" s="4">
        <v>0.2</v>
      </c>
      <c r="J244" s="5">
        <v>3660.93</v>
      </c>
      <c r="K244" s="5">
        <v>2339.56</v>
      </c>
      <c r="L244" s="5">
        <v>1321.37</v>
      </c>
      <c r="M244" t="s">
        <v>35</v>
      </c>
      <c r="N244" t="s">
        <v>63</v>
      </c>
      <c r="O244" t="s">
        <v>37</v>
      </c>
    </row>
    <row r="245" spans="1:15">
      <c r="A245" t="s">
        <v>510</v>
      </c>
      <c r="B245" s="3">
        <v>46136</v>
      </c>
      <c r="C245" t="s">
        <v>511</v>
      </c>
      <c r="D245" t="s">
        <v>74</v>
      </c>
      <c r="E245" t="s">
        <v>61</v>
      </c>
      <c r="F245" t="s">
        <v>89</v>
      </c>
      <c r="G245">
        <v>6</v>
      </c>
      <c r="H245" s="5">
        <v>1935.65</v>
      </c>
      <c r="I245" s="4">
        <v>0.05</v>
      </c>
      <c r="J245" s="5">
        <v>11033.21</v>
      </c>
      <c r="K245" s="5">
        <v>8389.91</v>
      </c>
      <c r="L245" s="5">
        <v>2643.3</v>
      </c>
      <c r="M245" t="s">
        <v>57</v>
      </c>
      <c r="N245" t="s">
        <v>63</v>
      </c>
      <c r="O245" t="s">
        <v>44</v>
      </c>
    </row>
    <row r="246" spans="1:15">
      <c r="A246" t="s">
        <v>512</v>
      </c>
      <c r="B246" s="3">
        <v>45816</v>
      </c>
      <c r="C246" t="s">
        <v>513</v>
      </c>
      <c r="D246" t="s">
        <v>52</v>
      </c>
      <c r="E246" t="s">
        <v>33</v>
      </c>
      <c r="F246" t="s">
        <v>67</v>
      </c>
      <c r="G246">
        <v>1</v>
      </c>
      <c r="H246" s="5">
        <v>480.6</v>
      </c>
      <c r="I246" s="4">
        <v>0.15</v>
      </c>
      <c r="J246" s="5">
        <v>408.51</v>
      </c>
      <c r="K246" s="5">
        <v>226</v>
      </c>
      <c r="L246" s="5">
        <v>182.51</v>
      </c>
      <c r="M246" t="s">
        <v>35</v>
      </c>
      <c r="N246" t="s">
        <v>63</v>
      </c>
      <c r="O246" t="s">
        <v>44</v>
      </c>
    </row>
    <row r="247" spans="1:15">
      <c r="A247" t="s">
        <v>514</v>
      </c>
      <c r="B247" s="3">
        <v>45924</v>
      </c>
      <c r="C247" t="s">
        <v>515</v>
      </c>
      <c r="D247" t="s">
        <v>95</v>
      </c>
      <c r="E247" t="s">
        <v>41</v>
      </c>
      <c r="F247" t="s">
        <v>42</v>
      </c>
      <c r="G247">
        <v>3</v>
      </c>
      <c r="H247" s="5">
        <v>831.92</v>
      </c>
      <c r="I247" s="4">
        <v>0</v>
      </c>
      <c r="J247" s="5">
        <v>2495.7600000000002</v>
      </c>
      <c r="K247" s="5">
        <v>1502.36</v>
      </c>
      <c r="L247" s="5">
        <v>993.4</v>
      </c>
      <c r="M247" t="s">
        <v>57</v>
      </c>
      <c r="N247" t="s">
        <v>63</v>
      </c>
      <c r="O247" t="s">
        <v>44</v>
      </c>
    </row>
    <row r="248" spans="1:15">
      <c r="A248" t="s">
        <v>516</v>
      </c>
      <c r="B248" s="3">
        <v>46255</v>
      </c>
      <c r="C248" t="s">
        <v>517</v>
      </c>
      <c r="D248" t="s">
        <v>40</v>
      </c>
      <c r="E248" t="s">
        <v>41</v>
      </c>
      <c r="F248" t="s">
        <v>153</v>
      </c>
      <c r="G248">
        <v>1</v>
      </c>
      <c r="H248" s="5">
        <v>4406.42</v>
      </c>
      <c r="I248" s="4">
        <v>0.1</v>
      </c>
      <c r="J248" s="5">
        <v>3965.78</v>
      </c>
      <c r="K248" s="5">
        <v>2286.77</v>
      </c>
      <c r="L248" s="5">
        <v>1679.01</v>
      </c>
      <c r="M248" t="s">
        <v>35</v>
      </c>
      <c r="N248" t="s">
        <v>63</v>
      </c>
      <c r="O248" t="s">
        <v>44</v>
      </c>
    </row>
    <row r="249" spans="1:15">
      <c r="A249" t="s">
        <v>518</v>
      </c>
      <c r="B249" s="3">
        <v>46210</v>
      </c>
      <c r="C249" t="s">
        <v>519</v>
      </c>
      <c r="D249" t="s">
        <v>40</v>
      </c>
      <c r="E249" t="s">
        <v>33</v>
      </c>
      <c r="F249" t="s">
        <v>96</v>
      </c>
      <c r="G249">
        <v>3</v>
      </c>
      <c r="H249" s="5">
        <v>2811.51</v>
      </c>
      <c r="I249" s="4">
        <v>0.15</v>
      </c>
      <c r="J249" s="5">
        <v>7169.35</v>
      </c>
      <c r="K249" s="5">
        <v>4386.75</v>
      </c>
      <c r="L249" s="5">
        <v>2782.6</v>
      </c>
      <c r="M249" t="s">
        <v>35</v>
      </c>
      <c r="N249" t="s">
        <v>36</v>
      </c>
      <c r="O249" t="s">
        <v>44</v>
      </c>
    </row>
    <row r="250" spans="1:15">
      <c r="A250" t="s">
        <v>520</v>
      </c>
      <c r="B250" s="3">
        <v>45934</v>
      </c>
      <c r="C250" t="s">
        <v>521</v>
      </c>
      <c r="D250" t="s">
        <v>40</v>
      </c>
      <c r="E250" t="s">
        <v>41</v>
      </c>
      <c r="F250" t="s">
        <v>153</v>
      </c>
      <c r="G250">
        <v>4</v>
      </c>
      <c r="H250" s="5">
        <v>4306.05</v>
      </c>
      <c r="I250" s="4">
        <v>0.2</v>
      </c>
      <c r="J250" s="5">
        <v>13779.36</v>
      </c>
      <c r="K250" s="5">
        <v>7595.94</v>
      </c>
      <c r="L250" s="5">
        <v>6183.42</v>
      </c>
      <c r="M250" t="s">
        <v>57</v>
      </c>
      <c r="N250" t="s">
        <v>36</v>
      </c>
      <c r="O250" t="s">
        <v>44</v>
      </c>
    </row>
    <row r="251" spans="1:15">
      <c r="A251" t="s">
        <v>522</v>
      </c>
      <c r="B251" s="3">
        <v>45977</v>
      </c>
      <c r="C251" t="s">
        <v>523</v>
      </c>
      <c r="D251" t="s">
        <v>74</v>
      </c>
      <c r="E251" t="s">
        <v>33</v>
      </c>
      <c r="F251" t="s">
        <v>96</v>
      </c>
      <c r="G251">
        <v>6</v>
      </c>
      <c r="H251" s="5">
        <v>1445.39</v>
      </c>
      <c r="I251" s="4">
        <v>0.2</v>
      </c>
      <c r="J251" s="5">
        <v>6937.87</v>
      </c>
      <c r="K251" s="5">
        <v>4638.8</v>
      </c>
      <c r="L251" s="5">
        <v>2299.0700000000002</v>
      </c>
      <c r="M251" t="s">
        <v>57</v>
      </c>
      <c r="N251" t="s">
        <v>63</v>
      </c>
      <c r="O251" t="s">
        <v>44</v>
      </c>
    </row>
    <row r="252" spans="1:15">
      <c r="A252" t="s">
        <v>524</v>
      </c>
      <c r="B252" s="3">
        <v>46235</v>
      </c>
      <c r="C252" t="s">
        <v>472</v>
      </c>
      <c r="D252" t="s">
        <v>47</v>
      </c>
      <c r="E252" t="s">
        <v>33</v>
      </c>
      <c r="F252" t="s">
        <v>67</v>
      </c>
      <c r="G252">
        <v>3</v>
      </c>
      <c r="H252" s="5">
        <v>927.18</v>
      </c>
      <c r="I252" s="4">
        <v>0</v>
      </c>
      <c r="J252" s="5">
        <v>2781.54</v>
      </c>
      <c r="K252" s="5">
        <v>2170.36</v>
      </c>
      <c r="L252" s="5">
        <v>611.17999999999995</v>
      </c>
      <c r="M252" t="s">
        <v>57</v>
      </c>
      <c r="N252" t="s">
        <v>63</v>
      </c>
      <c r="O252" t="s">
        <v>37</v>
      </c>
    </row>
    <row r="253" spans="1:15">
      <c r="A253" t="s">
        <v>525</v>
      </c>
      <c r="B253" s="3">
        <v>46202</v>
      </c>
      <c r="C253" t="s">
        <v>152</v>
      </c>
      <c r="D253" t="s">
        <v>66</v>
      </c>
      <c r="E253" t="s">
        <v>61</v>
      </c>
      <c r="F253" t="s">
        <v>81</v>
      </c>
      <c r="G253">
        <v>2</v>
      </c>
      <c r="H253" s="5">
        <v>661.53</v>
      </c>
      <c r="I253" s="4">
        <v>0.1</v>
      </c>
      <c r="J253" s="5">
        <v>1190.75</v>
      </c>
      <c r="K253" s="5">
        <v>894.01</v>
      </c>
      <c r="L253" s="5">
        <v>296.74</v>
      </c>
      <c r="M253" t="s">
        <v>35</v>
      </c>
      <c r="N253" t="s">
        <v>43</v>
      </c>
      <c r="O253" t="s">
        <v>37</v>
      </c>
    </row>
    <row r="254" spans="1:15">
      <c r="A254" t="s">
        <v>526</v>
      </c>
      <c r="B254" s="3">
        <v>45920</v>
      </c>
      <c r="C254" t="s">
        <v>527</v>
      </c>
      <c r="D254" t="s">
        <v>52</v>
      </c>
      <c r="E254" t="s">
        <v>33</v>
      </c>
      <c r="F254" t="s">
        <v>96</v>
      </c>
      <c r="G254">
        <v>1</v>
      </c>
      <c r="H254" s="5">
        <v>4892.41</v>
      </c>
      <c r="I254" s="4">
        <v>0</v>
      </c>
      <c r="J254" s="5">
        <v>4892.41</v>
      </c>
      <c r="K254" s="5">
        <v>3688.75</v>
      </c>
      <c r="L254" s="5">
        <v>1203.6600000000001</v>
      </c>
      <c r="M254" t="s">
        <v>57</v>
      </c>
      <c r="N254" t="s">
        <v>36</v>
      </c>
      <c r="O254" t="s">
        <v>44</v>
      </c>
    </row>
    <row r="255" spans="1:15">
      <c r="A255" t="s">
        <v>528</v>
      </c>
      <c r="B255" s="3">
        <v>46154</v>
      </c>
      <c r="C255" t="s">
        <v>529</v>
      </c>
      <c r="D255" t="s">
        <v>52</v>
      </c>
      <c r="E255" t="s">
        <v>61</v>
      </c>
      <c r="F255" t="s">
        <v>84</v>
      </c>
      <c r="G255">
        <v>1</v>
      </c>
      <c r="H255" s="5">
        <v>3772.89</v>
      </c>
      <c r="I255" s="4">
        <v>0.1</v>
      </c>
      <c r="J255" s="5">
        <v>3395.6</v>
      </c>
      <c r="K255" s="5">
        <v>2457.4899999999998</v>
      </c>
      <c r="L255" s="5">
        <v>938.11</v>
      </c>
      <c r="M255" t="s">
        <v>57</v>
      </c>
      <c r="N255" t="s">
        <v>43</v>
      </c>
      <c r="O255" t="s">
        <v>44</v>
      </c>
    </row>
    <row r="256" spans="1:15">
      <c r="A256" t="s">
        <v>530</v>
      </c>
      <c r="B256" s="3">
        <v>46008</v>
      </c>
      <c r="C256" t="s">
        <v>531</v>
      </c>
      <c r="D256" t="s">
        <v>47</v>
      </c>
      <c r="E256" t="s">
        <v>41</v>
      </c>
      <c r="F256" t="s">
        <v>153</v>
      </c>
      <c r="G256">
        <v>5</v>
      </c>
      <c r="H256" s="5">
        <v>5291.64</v>
      </c>
      <c r="I256" s="4">
        <v>0.1</v>
      </c>
      <c r="J256" s="5">
        <v>23812.38</v>
      </c>
      <c r="K256" s="5">
        <v>13153.62</v>
      </c>
      <c r="L256" s="5">
        <v>10658.76</v>
      </c>
      <c r="M256" t="s">
        <v>35</v>
      </c>
      <c r="N256" t="s">
        <v>71</v>
      </c>
      <c r="O256" t="s">
        <v>44</v>
      </c>
    </row>
    <row r="257" spans="1:15">
      <c r="A257" t="s">
        <v>532</v>
      </c>
      <c r="B257" s="3">
        <v>45821</v>
      </c>
      <c r="C257" t="s">
        <v>533</v>
      </c>
      <c r="D257" t="s">
        <v>66</v>
      </c>
      <c r="E257" t="s">
        <v>48</v>
      </c>
      <c r="F257" t="s">
        <v>113</v>
      </c>
      <c r="G257">
        <v>4</v>
      </c>
      <c r="H257" s="5">
        <v>1473.12</v>
      </c>
      <c r="I257" s="4">
        <v>0.1</v>
      </c>
      <c r="J257" s="5">
        <v>5303.23</v>
      </c>
      <c r="K257" s="5">
        <v>3286.64</v>
      </c>
      <c r="L257" s="5">
        <v>2016.59</v>
      </c>
      <c r="M257" t="s">
        <v>57</v>
      </c>
      <c r="N257" t="s">
        <v>43</v>
      </c>
      <c r="O257" t="s">
        <v>44</v>
      </c>
    </row>
    <row r="258" spans="1:15">
      <c r="A258" t="s">
        <v>534</v>
      </c>
      <c r="B258" s="3">
        <v>45676</v>
      </c>
      <c r="C258" t="s">
        <v>55</v>
      </c>
      <c r="D258" t="s">
        <v>40</v>
      </c>
      <c r="E258" t="s">
        <v>33</v>
      </c>
      <c r="F258" t="s">
        <v>96</v>
      </c>
      <c r="G258">
        <v>2</v>
      </c>
      <c r="H258" s="5">
        <v>2329.7199999999998</v>
      </c>
      <c r="I258" s="4">
        <v>0</v>
      </c>
      <c r="J258" s="5">
        <v>4659.4399999999996</v>
      </c>
      <c r="K258" s="5">
        <v>2590.5</v>
      </c>
      <c r="L258" s="5">
        <v>2068.94</v>
      </c>
      <c r="M258" t="s">
        <v>35</v>
      </c>
      <c r="N258" t="s">
        <v>71</v>
      </c>
      <c r="O258" t="s">
        <v>37</v>
      </c>
    </row>
    <row r="259" spans="1:15">
      <c r="A259" t="s">
        <v>535</v>
      </c>
      <c r="B259" s="3">
        <v>45883</v>
      </c>
      <c r="C259" t="s">
        <v>536</v>
      </c>
      <c r="D259" t="s">
        <v>95</v>
      </c>
      <c r="E259" t="s">
        <v>41</v>
      </c>
      <c r="F259" t="s">
        <v>53</v>
      </c>
      <c r="G259">
        <v>4</v>
      </c>
      <c r="H259" s="5">
        <v>4803.8999999999996</v>
      </c>
      <c r="I259" s="4">
        <v>0.05</v>
      </c>
      <c r="J259" s="5">
        <v>18254.82</v>
      </c>
      <c r="K259" s="5">
        <v>11284.55</v>
      </c>
      <c r="L259" s="5">
        <v>6970.27</v>
      </c>
      <c r="M259" t="s">
        <v>35</v>
      </c>
      <c r="N259" t="s">
        <v>71</v>
      </c>
      <c r="O259" t="s">
        <v>44</v>
      </c>
    </row>
    <row r="260" spans="1:15">
      <c r="A260" t="s">
        <v>537</v>
      </c>
      <c r="B260" s="3">
        <v>45663</v>
      </c>
      <c r="C260" t="s">
        <v>538</v>
      </c>
      <c r="D260" t="s">
        <v>47</v>
      </c>
      <c r="E260" t="s">
        <v>41</v>
      </c>
      <c r="F260" t="s">
        <v>153</v>
      </c>
      <c r="G260">
        <v>5</v>
      </c>
      <c r="H260" s="5">
        <v>2343.5100000000002</v>
      </c>
      <c r="I260" s="4">
        <v>0.2</v>
      </c>
      <c r="J260" s="5">
        <v>9374.0400000000009</v>
      </c>
      <c r="K260" s="5">
        <v>7907.25</v>
      </c>
      <c r="L260" s="5">
        <v>1466.79</v>
      </c>
      <c r="M260" t="s">
        <v>35</v>
      </c>
      <c r="N260" t="s">
        <v>71</v>
      </c>
      <c r="O260" t="s">
        <v>44</v>
      </c>
    </row>
    <row r="261" spans="1:15">
      <c r="A261" t="s">
        <v>539</v>
      </c>
      <c r="B261" s="3">
        <v>45696</v>
      </c>
      <c r="C261" t="s">
        <v>540</v>
      </c>
      <c r="D261" t="s">
        <v>47</v>
      </c>
      <c r="E261" t="s">
        <v>33</v>
      </c>
      <c r="F261" t="s">
        <v>176</v>
      </c>
      <c r="G261">
        <v>3</v>
      </c>
      <c r="H261" s="5">
        <v>1578.83</v>
      </c>
      <c r="I261" s="4">
        <v>0.1</v>
      </c>
      <c r="J261" s="5">
        <v>4262.84</v>
      </c>
      <c r="K261" s="5">
        <v>2774.26</v>
      </c>
      <c r="L261" s="5">
        <v>1488.58</v>
      </c>
      <c r="M261" t="s">
        <v>35</v>
      </c>
      <c r="N261" t="s">
        <v>36</v>
      </c>
      <c r="O261" t="s">
        <v>44</v>
      </c>
    </row>
    <row r="262" spans="1:15">
      <c r="A262" t="s">
        <v>541</v>
      </c>
      <c r="B262" s="3">
        <v>45996</v>
      </c>
      <c r="C262" t="s">
        <v>542</v>
      </c>
      <c r="D262" t="s">
        <v>74</v>
      </c>
      <c r="E262" t="s">
        <v>61</v>
      </c>
      <c r="F262" t="s">
        <v>129</v>
      </c>
      <c r="G262">
        <v>5</v>
      </c>
      <c r="H262" s="5">
        <v>2455.7600000000002</v>
      </c>
      <c r="I262" s="4">
        <v>0</v>
      </c>
      <c r="J262" s="5">
        <v>12278.8</v>
      </c>
      <c r="K262" s="5">
        <v>9189.89</v>
      </c>
      <c r="L262" s="5">
        <v>3088.91</v>
      </c>
      <c r="M262" t="s">
        <v>57</v>
      </c>
      <c r="N262" t="s">
        <v>43</v>
      </c>
      <c r="O262" t="s">
        <v>44</v>
      </c>
    </row>
    <row r="263" spans="1:15">
      <c r="A263" t="s">
        <v>543</v>
      </c>
      <c r="B263" s="3">
        <v>46146</v>
      </c>
      <c r="C263" t="s">
        <v>296</v>
      </c>
      <c r="D263" t="s">
        <v>134</v>
      </c>
      <c r="E263" t="s">
        <v>48</v>
      </c>
      <c r="F263" t="s">
        <v>70</v>
      </c>
      <c r="G263">
        <v>4</v>
      </c>
      <c r="H263" s="5">
        <v>4743.79</v>
      </c>
      <c r="I263" s="4">
        <v>0.05</v>
      </c>
      <c r="J263" s="5">
        <v>18026.400000000001</v>
      </c>
      <c r="K263" s="5">
        <v>10988.66</v>
      </c>
      <c r="L263" s="5">
        <v>7037.74</v>
      </c>
      <c r="M263" t="s">
        <v>35</v>
      </c>
      <c r="N263" t="s">
        <v>43</v>
      </c>
      <c r="O263" t="s">
        <v>44</v>
      </c>
    </row>
    <row r="264" spans="1:15">
      <c r="A264" t="s">
        <v>544</v>
      </c>
      <c r="B264" s="3">
        <v>45725</v>
      </c>
      <c r="C264" t="s">
        <v>545</v>
      </c>
      <c r="D264" t="s">
        <v>47</v>
      </c>
      <c r="E264" t="s">
        <v>41</v>
      </c>
      <c r="F264" t="s">
        <v>124</v>
      </c>
      <c r="G264">
        <v>1</v>
      </c>
      <c r="H264" s="5">
        <v>2532.73</v>
      </c>
      <c r="I264" s="4">
        <v>0.1</v>
      </c>
      <c r="J264" s="5">
        <v>2279.46</v>
      </c>
      <c r="K264" s="5">
        <v>1740.85</v>
      </c>
      <c r="L264" s="5">
        <v>538.61</v>
      </c>
      <c r="M264" t="s">
        <v>57</v>
      </c>
      <c r="N264" t="s">
        <v>63</v>
      </c>
      <c r="O264" t="s">
        <v>44</v>
      </c>
    </row>
    <row r="265" spans="1:15">
      <c r="A265" t="s">
        <v>546</v>
      </c>
      <c r="B265" s="3">
        <v>46055</v>
      </c>
      <c r="C265" t="s">
        <v>547</v>
      </c>
      <c r="D265" t="s">
        <v>40</v>
      </c>
      <c r="E265" t="s">
        <v>33</v>
      </c>
      <c r="F265" t="s">
        <v>67</v>
      </c>
      <c r="G265">
        <v>4</v>
      </c>
      <c r="H265" s="5">
        <v>4483.1899999999996</v>
      </c>
      <c r="I265" s="4">
        <v>0.1</v>
      </c>
      <c r="J265" s="5">
        <v>16139.48</v>
      </c>
      <c r="K265" s="5">
        <v>9717.09</v>
      </c>
      <c r="L265" s="5">
        <v>6422.39</v>
      </c>
      <c r="M265" t="s">
        <v>57</v>
      </c>
      <c r="N265" t="s">
        <v>36</v>
      </c>
      <c r="O265" t="s">
        <v>37</v>
      </c>
    </row>
    <row r="266" spans="1:15">
      <c r="A266" t="s">
        <v>548</v>
      </c>
      <c r="B266" s="3">
        <v>46093</v>
      </c>
      <c r="C266" t="s">
        <v>335</v>
      </c>
      <c r="D266" t="s">
        <v>66</v>
      </c>
      <c r="E266" t="s">
        <v>48</v>
      </c>
      <c r="F266" t="s">
        <v>49</v>
      </c>
      <c r="G266">
        <v>1</v>
      </c>
      <c r="H266" s="5">
        <v>2743.88</v>
      </c>
      <c r="I266" s="4">
        <v>0.1</v>
      </c>
      <c r="J266" s="5">
        <v>2469.4899999999998</v>
      </c>
      <c r="K266" s="5">
        <v>1709.99</v>
      </c>
      <c r="L266" s="5">
        <v>759.5</v>
      </c>
      <c r="M266" t="s">
        <v>35</v>
      </c>
      <c r="N266" t="s">
        <v>63</v>
      </c>
      <c r="O266" t="s">
        <v>44</v>
      </c>
    </row>
    <row r="267" spans="1:15">
      <c r="A267" t="s">
        <v>549</v>
      </c>
      <c r="B267" s="3">
        <v>45821</v>
      </c>
      <c r="C267" t="s">
        <v>550</v>
      </c>
      <c r="D267" t="s">
        <v>32</v>
      </c>
      <c r="E267" t="s">
        <v>61</v>
      </c>
      <c r="F267" t="s">
        <v>129</v>
      </c>
      <c r="G267">
        <v>5</v>
      </c>
      <c r="H267" s="5">
        <v>2921.22</v>
      </c>
      <c r="I267" s="4">
        <v>0.05</v>
      </c>
      <c r="J267" s="5">
        <v>13875.79</v>
      </c>
      <c r="K267" s="5">
        <v>8923.7900000000009</v>
      </c>
      <c r="L267" s="5">
        <v>4952</v>
      </c>
      <c r="M267" t="s">
        <v>35</v>
      </c>
      <c r="N267" t="s">
        <v>71</v>
      </c>
      <c r="O267" t="s">
        <v>44</v>
      </c>
    </row>
    <row r="268" spans="1:15">
      <c r="A268" t="s">
        <v>551</v>
      </c>
      <c r="B268" s="3">
        <v>45843</v>
      </c>
      <c r="C268" t="s">
        <v>431</v>
      </c>
      <c r="D268" t="s">
        <v>66</v>
      </c>
      <c r="E268" t="s">
        <v>48</v>
      </c>
      <c r="F268" t="s">
        <v>113</v>
      </c>
      <c r="G268">
        <v>4</v>
      </c>
      <c r="H268" s="5">
        <v>2157.42</v>
      </c>
      <c r="I268" s="4">
        <v>0.1</v>
      </c>
      <c r="J268" s="5">
        <v>7766.71</v>
      </c>
      <c r="K268" s="5">
        <v>6053.68</v>
      </c>
      <c r="L268" s="5">
        <v>1713.03</v>
      </c>
      <c r="M268" t="s">
        <v>57</v>
      </c>
      <c r="N268" t="s">
        <v>36</v>
      </c>
      <c r="O268" t="s">
        <v>44</v>
      </c>
    </row>
    <row r="269" spans="1:15">
      <c r="A269" t="s">
        <v>552</v>
      </c>
      <c r="B269" s="3">
        <v>45863</v>
      </c>
      <c r="C269" t="s">
        <v>553</v>
      </c>
      <c r="D269" t="s">
        <v>52</v>
      </c>
      <c r="E269" t="s">
        <v>41</v>
      </c>
      <c r="F269" t="s">
        <v>153</v>
      </c>
      <c r="G269">
        <v>5</v>
      </c>
      <c r="H269" s="5">
        <v>1433.84</v>
      </c>
      <c r="I269" s="4">
        <v>0.2</v>
      </c>
      <c r="J269" s="5">
        <v>5735.36</v>
      </c>
      <c r="K269" s="5">
        <v>4139.7700000000004</v>
      </c>
      <c r="L269" s="5">
        <v>1595.59</v>
      </c>
      <c r="M269" t="s">
        <v>35</v>
      </c>
      <c r="N269" t="s">
        <v>36</v>
      </c>
      <c r="O269" t="s">
        <v>44</v>
      </c>
    </row>
    <row r="270" spans="1:15">
      <c r="A270" t="s">
        <v>554</v>
      </c>
      <c r="B270" s="3">
        <v>45678</v>
      </c>
      <c r="C270" t="s">
        <v>555</v>
      </c>
      <c r="D270" t="s">
        <v>56</v>
      </c>
      <c r="E270" t="s">
        <v>61</v>
      </c>
      <c r="F270" t="s">
        <v>81</v>
      </c>
      <c r="G270">
        <v>5</v>
      </c>
      <c r="H270" s="5">
        <v>5202.7</v>
      </c>
      <c r="I270" s="4">
        <v>0.2</v>
      </c>
      <c r="J270" s="5">
        <v>20810.8</v>
      </c>
      <c r="K270" s="5">
        <v>15205.34</v>
      </c>
      <c r="L270" s="5">
        <v>5605.46</v>
      </c>
      <c r="M270" t="s">
        <v>57</v>
      </c>
      <c r="N270" t="s">
        <v>71</v>
      </c>
      <c r="O270" t="s">
        <v>44</v>
      </c>
    </row>
    <row r="271" spans="1:15">
      <c r="A271" t="s">
        <v>556</v>
      </c>
      <c r="B271" s="3">
        <v>46131</v>
      </c>
      <c r="C271" t="s">
        <v>557</v>
      </c>
      <c r="D271" t="s">
        <v>134</v>
      </c>
      <c r="E271" t="s">
        <v>48</v>
      </c>
      <c r="F271" t="s">
        <v>113</v>
      </c>
      <c r="G271">
        <v>5</v>
      </c>
      <c r="H271" s="5">
        <v>1367.29</v>
      </c>
      <c r="I271" s="4">
        <v>0.05</v>
      </c>
      <c r="J271" s="5">
        <v>6494.63</v>
      </c>
      <c r="K271" s="5">
        <v>5329.13</v>
      </c>
      <c r="L271" s="5">
        <v>1165.5</v>
      </c>
      <c r="M271" t="s">
        <v>57</v>
      </c>
      <c r="N271" t="s">
        <v>63</v>
      </c>
      <c r="O271" t="s">
        <v>44</v>
      </c>
    </row>
    <row r="272" spans="1:15">
      <c r="A272" t="s">
        <v>558</v>
      </c>
      <c r="B272" s="3">
        <v>45874</v>
      </c>
      <c r="C272" t="s">
        <v>245</v>
      </c>
      <c r="D272" t="s">
        <v>52</v>
      </c>
      <c r="E272" t="s">
        <v>48</v>
      </c>
      <c r="F272" t="s">
        <v>49</v>
      </c>
      <c r="G272">
        <v>3</v>
      </c>
      <c r="H272" s="5">
        <v>2054.83</v>
      </c>
      <c r="I272" s="4">
        <v>0.05</v>
      </c>
      <c r="J272" s="5">
        <v>5856.27</v>
      </c>
      <c r="K272" s="5">
        <v>4052.08</v>
      </c>
      <c r="L272" s="5">
        <v>1804.19</v>
      </c>
      <c r="M272" t="s">
        <v>57</v>
      </c>
      <c r="N272" t="s">
        <v>43</v>
      </c>
      <c r="O272" t="s">
        <v>44</v>
      </c>
    </row>
    <row r="273" spans="1:15">
      <c r="A273" t="s">
        <v>559</v>
      </c>
      <c r="B273" s="3">
        <v>46249</v>
      </c>
      <c r="C273" t="s">
        <v>553</v>
      </c>
      <c r="D273" t="s">
        <v>56</v>
      </c>
      <c r="E273" t="s">
        <v>41</v>
      </c>
      <c r="F273" t="s">
        <v>53</v>
      </c>
      <c r="G273">
        <v>2</v>
      </c>
      <c r="H273" s="5">
        <v>4047.83</v>
      </c>
      <c r="I273" s="4">
        <v>0.15</v>
      </c>
      <c r="J273" s="5">
        <v>6881.31</v>
      </c>
      <c r="K273" s="5">
        <v>4293.8599999999997</v>
      </c>
      <c r="L273" s="5">
        <v>2587.4499999999998</v>
      </c>
      <c r="M273" t="s">
        <v>35</v>
      </c>
      <c r="N273" t="s">
        <v>63</v>
      </c>
      <c r="O273" t="s">
        <v>44</v>
      </c>
    </row>
    <row r="274" spans="1:15">
      <c r="A274" t="s">
        <v>560</v>
      </c>
      <c r="B274" s="3">
        <v>46085</v>
      </c>
      <c r="C274" t="s">
        <v>561</v>
      </c>
      <c r="D274" t="s">
        <v>60</v>
      </c>
      <c r="E274" t="s">
        <v>61</v>
      </c>
      <c r="F274" t="s">
        <v>81</v>
      </c>
      <c r="G274">
        <v>1</v>
      </c>
      <c r="H274" s="5">
        <v>3483.96</v>
      </c>
      <c r="I274" s="4">
        <v>0.1</v>
      </c>
      <c r="J274" s="5">
        <v>3135.56</v>
      </c>
      <c r="K274" s="5">
        <v>1767.53</v>
      </c>
      <c r="L274" s="5">
        <v>1368.03</v>
      </c>
      <c r="M274" t="s">
        <v>57</v>
      </c>
      <c r="N274" t="s">
        <v>63</v>
      </c>
      <c r="O274" t="s">
        <v>44</v>
      </c>
    </row>
    <row r="275" spans="1:15">
      <c r="A275" t="s">
        <v>562</v>
      </c>
      <c r="B275" s="3">
        <v>45904</v>
      </c>
      <c r="C275" t="s">
        <v>127</v>
      </c>
      <c r="D275" t="s">
        <v>60</v>
      </c>
      <c r="E275" t="s">
        <v>48</v>
      </c>
      <c r="F275" t="s">
        <v>70</v>
      </c>
      <c r="G275">
        <v>4</v>
      </c>
      <c r="H275" s="5">
        <v>3787.49</v>
      </c>
      <c r="I275" s="4">
        <v>0</v>
      </c>
      <c r="J275" s="5">
        <v>15149.96</v>
      </c>
      <c r="K275" s="5">
        <v>9798.2900000000009</v>
      </c>
      <c r="L275" s="5">
        <v>5351.67</v>
      </c>
      <c r="M275" t="s">
        <v>35</v>
      </c>
      <c r="N275" t="s">
        <v>36</v>
      </c>
      <c r="O275" t="s">
        <v>44</v>
      </c>
    </row>
    <row r="276" spans="1:15">
      <c r="A276" t="s">
        <v>563</v>
      </c>
      <c r="B276" s="3">
        <v>46200</v>
      </c>
      <c r="C276" t="s">
        <v>564</v>
      </c>
      <c r="D276" t="s">
        <v>66</v>
      </c>
      <c r="E276" t="s">
        <v>48</v>
      </c>
      <c r="F276" t="s">
        <v>99</v>
      </c>
      <c r="G276">
        <v>3</v>
      </c>
      <c r="H276" s="5">
        <v>2828.98</v>
      </c>
      <c r="I276" s="4">
        <v>0.05</v>
      </c>
      <c r="J276" s="5">
        <v>8062.59</v>
      </c>
      <c r="K276" s="5">
        <v>6722.25</v>
      </c>
      <c r="L276" s="5">
        <v>1340.34</v>
      </c>
      <c r="M276" t="s">
        <v>57</v>
      </c>
      <c r="N276" t="s">
        <v>43</v>
      </c>
      <c r="O276" t="s">
        <v>44</v>
      </c>
    </row>
    <row r="277" spans="1:15">
      <c r="A277" t="s">
        <v>565</v>
      </c>
      <c r="B277" s="3">
        <v>46069</v>
      </c>
      <c r="C277" t="s">
        <v>168</v>
      </c>
      <c r="D277" t="s">
        <v>32</v>
      </c>
      <c r="E277" t="s">
        <v>41</v>
      </c>
      <c r="F277" t="s">
        <v>42</v>
      </c>
      <c r="G277">
        <v>5</v>
      </c>
      <c r="H277" s="5">
        <v>1492.31</v>
      </c>
      <c r="I277" s="4">
        <v>0.2</v>
      </c>
      <c r="J277" s="5">
        <v>5969.24</v>
      </c>
      <c r="K277" s="5">
        <v>5008.4799999999996</v>
      </c>
      <c r="L277" s="5">
        <v>960.76</v>
      </c>
      <c r="M277" t="s">
        <v>57</v>
      </c>
      <c r="N277" t="s">
        <v>63</v>
      </c>
      <c r="O277" t="s">
        <v>44</v>
      </c>
    </row>
    <row r="278" spans="1:15">
      <c r="A278" t="s">
        <v>566</v>
      </c>
      <c r="B278" s="3">
        <v>45673</v>
      </c>
      <c r="C278" t="s">
        <v>294</v>
      </c>
      <c r="D278" t="s">
        <v>40</v>
      </c>
      <c r="E278" t="s">
        <v>61</v>
      </c>
      <c r="F278" t="s">
        <v>81</v>
      </c>
      <c r="G278">
        <v>1</v>
      </c>
      <c r="H278" s="5">
        <v>2020</v>
      </c>
      <c r="I278" s="4">
        <v>0</v>
      </c>
      <c r="J278" s="5">
        <v>2020</v>
      </c>
      <c r="K278" s="5">
        <v>1427.55</v>
      </c>
      <c r="L278" s="5">
        <v>592.45000000000005</v>
      </c>
      <c r="M278" t="s">
        <v>35</v>
      </c>
      <c r="N278" t="s">
        <v>43</v>
      </c>
      <c r="O278" t="s">
        <v>44</v>
      </c>
    </row>
    <row r="279" spans="1:15">
      <c r="A279" t="s">
        <v>567</v>
      </c>
      <c r="B279" s="3">
        <v>46058</v>
      </c>
      <c r="C279" t="s">
        <v>136</v>
      </c>
      <c r="D279" t="s">
        <v>60</v>
      </c>
      <c r="E279" t="s">
        <v>61</v>
      </c>
      <c r="F279" t="s">
        <v>84</v>
      </c>
      <c r="G279">
        <v>1</v>
      </c>
      <c r="H279" s="5">
        <v>3010.5</v>
      </c>
      <c r="I279" s="4">
        <v>0.1</v>
      </c>
      <c r="J279" s="5">
        <v>2709.45</v>
      </c>
      <c r="K279" s="5">
        <v>1784.68</v>
      </c>
      <c r="L279" s="5">
        <v>924.77</v>
      </c>
      <c r="M279" t="s">
        <v>35</v>
      </c>
      <c r="N279" t="s">
        <v>36</v>
      </c>
      <c r="O279" t="s">
        <v>44</v>
      </c>
    </row>
    <row r="280" spans="1:15">
      <c r="A280" t="s">
        <v>568</v>
      </c>
      <c r="B280" s="3">
        <v>46157</v>
      </c>
      <c r="C280" t="s">
        <v>569</v>
      </c>
      <c r="D280" t="s">
        <v>74</v>
      </c>
      <c r="E280" t="s">
        <v>33</v>
      </c>
      <c r="F280" t="s">
        <v>34</v>
      </c>
      <c r="G280">
        <v>5</v>
      </c>
      <c r="H280" s="5">
        <v>1396.26</v>
      </c>
      <c r="I280" s="4">
        <v>0.05</v>
      </c>
      <c r="J280" s="5">
        <v>6632.23</v>
      </c>
      <c r="K280" s="5">
        <v>4601.08</v>
      </c>
      <c r="L280" s="5">
        <v>2031.15</v>
      </c>
      <c r="M280" t="s">
        <v>57</v>
      </c>
      <c r="N280" t="s">
        <v>63</v>
      </c>
      <c r="O280" t="s">
        <v>44</v>
      </c>
    </row>
    <row r="281" spans="1:15">
      <c r="A281" t="s">
        <v>570</v>
      </c>
      <c r="B281" s="3">
        <v>45925</v>
      </c>
      <c r="C281" t="s">
        <v>302</v>
      </c>
      <c r="D281" t="s">
        <v>40</v>
      </c>
      <c r="E281" t="s">
        <v>61</v>
      </c>
      <c r="F281" t="s">
        <v>129</v>
      </c>
      <c r="G281">
        <v>4</v>
      </c>
      <c r="H281" s="5">
        <v>3845.26</v>
      </c>
      <c r="I281" s="4">
        <v>0</v>
      </c>
      <c r="J281" s="5">
        <v>15381.04</v>
      </c>
      <c r="K281" s="5">
        <v>12464.76</v>
      </c>
      <c r="L281" s="5">
        <v>2916.28</v>
      </c>
      <c r="M281" t="s">
        <v>57</v>
      </c>
      <c r="N281" t="s">
        <v>63</v>
      </c>
      <c r="O281" t="s">
        <v>44</v>
      </c>
    </row>
    <row r="282" spans="1:15">
      <c r="A282" t="s">
        <v>571</v>
      </c>
      <c r="B282" s="3">
        <v>46203</v>
      </c>
      <c r="C282" t="s">
        <v>339</v>
      </c>
      <c r="D282" t="s">
        <v>74</v>
      </c>
      <c r="E282" t="s">
        <v>61</v>
      </c>
      <c r="F282" t="s">
        <v>81</v>
      </c>
      <c r="G282">
        <v>1</v>
      </c>
      <c r="H282" s="5">
        <v>3863.95</v>
      </c>
      <c r="I282" s="4">
        <v>0.1</v>
      </c>
      <c r="J282" s="5">
        <v>3477.55</v>
      </c>
      <c r="K282" s="5">
        <v>2700.87</v>
      </c>
      <c r="L282" s="5">
        <v>776.68</v>
      </c>
      <c r="M282" t="s">
        <v>35</v>
      </c>
      <c r="N282" t="s">
        <v>43</v>
      </c>
      <c r="O282" t="s">
        <v>44</v>
      </c>
    </row>
    <row r="283" spans="1:15">
      <c r="A283" t="s">
        <v>572</v>
      </c>
      <c r="B283" s="3">
        <v>45726</v>
      </c>
      <c r="C283" t="s">
        <v>573</v>
      </c>
      <c r="D283" t="s">
        <v>52</v>
      </c>
      <c r="E283" t="s">
        <v>61</v>
      </c>
      <c r="F283" t="s">
        <v>62</v>
      </c>
      <c r="G283">
        <v>3</v>
      </c>
      <c r="H283" s="5">
        <v>3156.9</v>
      </c>
      <c r="I283" s="4">
        <v>0.15</v>
      </c>
      <c r="J283" s="5">
        <v>8050.1</v>
      </c>
      <c r="K283" s="5">
        <v>5803.52</v>
      </c>
      <c r="L283" s="5">
        <v>2246.58</v>
      </c>
      <c r="M283" t="s">
        <v>35</v>
      </c>
      <c r="N283" t="s">
        <v>43</v>
      </c>
      <c r="O283" t="s">
        <v>44</v>
      </c>
    </row>
    <row r="284" spans="1:15">
      <c r="A284" t="s">
        <v>574</v>
      </c>
      <c r="B284" s="3">
        <v>46000</v>
      </c>
      <c r="C284" t="s">
        <v>575</v>
      </c>
      <c r="D284" t="s">
        <v>40</v>
      </c>
      <c r="E284" t="s">
        <v>33</v>
      </c>
      <c r="F284" t="s">
        <v>92</v>
      </c>
      <c r="G284">
        <v>1</v>
      </c>
      <c r="H284" s="5">
        <v>3387.32</v>
      </c>
      <c r="I284" s="4">
        <v>0</v>
      </c>
      <c r="J284" s="5">
        <v>3387.32</v>
      </c>
      <c r="K284" s="5">
        <v>2003.37</v>
      </c>
      <c r="L284" s="5">
        <v>1383.95</v>
      </c>
      <c r="M284" t="s">
        <v>35</v>
      </c>
      <c r="N284" t="s">
        <v>71</v>
      </c>
      <c r="O284" t="s">
        <v>37</v>
      </c>
    </row>
    <row r="285" spans="1:15">
      <c r="A285" t="s">
        <v>576</v>
      </c>
      <c r="B285" s="3">
        <v>46043</v>
      </c>
      <c r="C285" t="s">
        <v>577</v>
      </c>
      <c r="D285" t="s">
        <v>47</v>
      </c>
      <c r="E285" t="s">
        <v>61</v>
      </c>
      <c r="F285" t="s">
        <v>62</v>
      </c>
      <c r="G285">
        <v>3</v>
      </c>
      <c r="H285" s="5">
        <v>4339.75</v>
      </c>
      <c r="I285" s="4">
        <v>0.05</v>
      </c>
      <c r="J285" s="5">
        <v>12368.29</v>
      </c>
      <c r="K285" s="5">
        <v>8678.2099999999991</v>
      </c>
      <c r="L285" s="5">
        <v>3690.08</v>
      </c>
      <c r="M285" t="s">
        <v>57</v>
      </c>
      <c r="N285" t="s">
        <v>36</v>
      </c>
      <c r="O285" t="s">
        <v>44</v>
      </c>
    </row>
    <row r="286" spans="1:15">
      <c r="A286" t="s">
        <v>578</v>
      </c>
      <c r="B286" s="3">
        <v>46035</v>
      </c>
      <c r="C286" t="s">
        <v>579</v>
      </c>
      <c r="D286" t="s">
        <v>95</v>
      </c>
      <c r="E286" t="s">
        <v>41</v>
      </c>
      <c r="F286" t="s">
        <v>119</v>
      </c>
      <c r="G286">
        <v>4</v>
      </c>
      <c r="H286" s="5">
        <v>4305.28</v>
      </c>
      <c r="I286" s="4">
        <v>0.15</v>
      </c>
      <c r="J286" s="5">
        <v>14637.95</v>
      </c>
      <c r="K286" s="5">
        <v>9801.25</v>
      </c>
      <c r="L286" s="5">
        <v>4836.7</v>
      </c>
      <c r="M286" t="s">
        <v>35</v>
      </c>
      <c r="N286" t="s">
        <v>43</v>
      </c>
      <c r="O286" t="s">
        <v>37</v>
      </c>
    </row>
    <row r="287" spans="1:15">
      <c r="A287" t="s">
        <v>580</v>
      </c>
      <c r="B287" s="3">
        <v>46044</v>
      </c>
      <c r="C287" t="s">
        <v>304</v>
      </c>
      <c r="D287" t="s">
        <v>95</v>
      </c>
      <c r="E287" t="s">
        <v>61</v>
      </c>
      <c r="F287" t="s">
        <v>84</v>
      </c>
      <c r="G287">
        <v>1</v>
      </c>
      <c r="H287" s="5">
        <v>2310.52</v>
      </c>
      <c r="I287" s="4">
        <v>0</v>
      </c>
      <c r="J287" s="5">
        <v>2310.52</v>
      </c>
      <c r="K287" s="5">
        <v>1794.42</v>
      </c>
      <c r="L287" s="5">
        <v>516.1</v>
      </c>
      <c r="M287" t="s">
        <v>35</v>
      </c>
      <c r="N287" t="s">
        <v>71</v>
      </c>
      <c r="O287" t="s">
        <v>44</v>
      </c>
    </row>
    <row r="288" spans="1:15">
      <c r="A288" t="s">
        <v>581</v>
      </c>
      <c r="B288" s="3">
        <v>46085</v>
      </c>
      <c r="C288" t="s">
        <v>582</v>
      </c>
      <c r="D288" t="s">
        <v>47</v>
      </c>
      <c r="E288" t="s">
        <v>61</v>
      </c>
      <c r="F288" t="s">
        <v>89</v>
      </c>
      <c r="G288">
        <v>1</v>
      </c>
      <c r="H288" s="5">
        <v>4667.45</v>
      </c>
      <c r="I288" s="4">
        <v>0.1</v>
      </c>
      <c r="J288" s="5">
        <v>4200.7</v>
      </c>
      <c r="K288" s="5">
        <v>2747.57</v>
      </c>
      <c r="L288" s="5">
        <v>1453.13</v>
      </c>
      <c r="M288" t="s">
        <v>57</v>
      </c>
      <c r="N288" t="s">
        <v>63</v>
      </c>
      <c r="O288" t="s">
        <v>37</v>
      </c>
    </row>
    <row r="289" spans="1:15">
      <c r="A289" t="s">
        <v>583</v>
      </c>
      <c r="B289" s="3">
        <v>46073</v>
      </c>
      <c r="C289" t="s">
        <v>360</v>
      </c>
      <c r="D289" t="s">
        <v>47</v>
      </c>
      <c r="E289" t="s">
        <v>61</v>
      </c>
      <c r="F289" t="s">
        <v>62</v>
      </c>
      <c r="G289">
        <v>6</v>
      </c>
      <c r="H289" s="5">
        <v>303.7</v>
      </c>
      <c r="I289" s="4">
        <v>0</v>
      </c>
      <c r="J289" s="5">
        <v>1822.2</v>
      </c>
      <c r="K289" s="5">
        <v>1449.29</v>
      </c>
      <c r="L289" s="5">
        <v>372.91</v>
      </c>
      <c r="M289" t="s">
        <v>35</v>
      </c>
      <c r="N289" t="s">
        <v>36</v>
      </c>
      <c r="O289" t="s">
        <v>37</v>
      </c>
    </row>
    <row r="290" spans="1:15">
      <c r="A290" t="s">
        <v>584</v>
      </c>
      <c r="B290" s="3">
        <v>45850</v>
      </c>
      <c r="C290" t="s">
        <v>245</v>
      </c>
      <c r="D290" t="s">
        <v>66</v>
      </c>
      <c r="E290" t="s">
        <v>61</v>
      </c>
      <c r="F290" t="s">
        <v>81</v>
      </c>
      <c r="G290">
        <v>5</v>
      </c>
      <c r="H290" s="5">
        <v>363.59</v>
      </c>
      <c r="I290" s="4">
        <v>0.2</v>
      </c>
      <c r="J290" s="5">
        <v>1454.36</v>
      </c>
      <c r="K290" s="5">
        <v>1149.03</v>
      </c>
      <c r="L290" s="5">
        <v>305.33</v>
      </c>
      <c r="M290" t="s">
        <v>35</v>
      </c>
      <c r="N290" t="s">
        <v>36</v>
      </c>
      <c r="O290" t="s">
        <v>44</v>
      </c>
    </row>
    <row r="291" spans="1:15">
      <c r="A291" t="s">
        <v>585</v>
      </c>
      <c r="B291" s="3">
        <v>46216</v>
      </c>
      <c r="C291" t="s">
        <v>472</v>
      </c>
      <c r="D291" t="s">
        <v>32</v>
      </c>
      <c r="E291" t="s">
        <v>61</v>
      </c>
      <c r="F291" t="s">
        <v>84</v>
      </c>
      <c r="G291">
        <v>5</v>
      </c>
      <c r="H291" s="5">
        <v>1805.82</v>
      </c>
      <c r="I291" s="4">
        <v>0</v>
      </c>
      <c r="J291" s="5">
        <v>9029.1</v>
      </c>
      <c r="K291" s="5">
        <v>5093.3900000000003</v>
      </c>
      <c r="L291" s="5">
        <v>3935.71</v>
      </c>
      <c r="M291" t="s">
        <v>57</v>
      </c>
      <c r="N291" t="s">
        <v>71</v>
      </c>
      <c r="O291" t="s">
        <v>37</v>
      </c>
    </row>
    <row r="292" spans="1:15">
      <c r="A292" t="s">
        <v>586</v>
      </c>
      <c r="B292" s="3">
        <v>46197</v>
      </c>
      <c r="C292" t="s">
        <v>519</v>
      </c>
      <c r="D292" t="s">
        <v>134</v>
      </c>
      <c r="E292" t="s">
        <v>41</v>
      </c>
      <c r="F292" t="s">
        <v>119</v>
      </c>
      <c r="G292">
        <v>2</v>
      </c>
      <c r="H292" s="5">
        <v>3484.67</v>
      </c>
      <c r="I292" s="4">
        <v>0.1</v>
      </c>
      <c r="J292" s="5">
        <v>6272.41</v>
      </c>
      <c r="K292" s="5">
        <v>5122.28</v>
      </c>
      <c r="L292" s="5">
        <v>1150.1300000000001</v>
      </c>
      <c r="M292" t="s">
        <v>57</v>
      </c>
      <c r="N292" t="s">
        <v>63</v>
      </c>
      <c r="O292" t="s">
        <v>37</v>
      </c>
    </row>
    <row r="293" spans="1:15">
      <c r="A293" t="s">
        <v>587</v>
      </c>
      <c r="B293" s="3">
        <v>46261</v>
      </c>
      <c r="C293" t="s">
        <v>588</v>
      </c>
      <c r="D293" t="s">
        <v>32</v>
      </c>
      <c r="E293" t="s">
        <v>33</v>
      </c>
      <c r="F293" t="s">
        <v>176</v>
      </c>
      <c r="G293">
        <v>4</v>
      </c>
      <c r="H293" s="5">
        <v>2152.04</v>
      </c>
      <c r="I293" s="4">
        <v>0</v>
      </c>
      <c r="J293" s="5">
        <v>8608.16</v>
      </c>
      <c r="K293" s="5">
        <v>4846.97</v>
      </c>
      <c r="L293" s="5">
        <v>3761.19</v>
      </c>
      <c r="M293" t="s">
        <v>35</v>
      </c>
      <c r="N293" t="s">
        <v>43</v>
      </c>
      <c r="O293" t="s">
        <v>44</v>
      </c>
    </row>
    <row r="294" spans="1:15">
      <c r="A294" t="s">
        <v>589</v>
      </c>
      <c r="B294" s="3">
        <v>46215</v>
      </c>
      <c r="C294" t="s">
        <v>590</v>
      </c>
      <c r="D294" t="s">
        <v>47</v>
      </c>
      <c r="E294" t="s">
        <v>48</v>
      </c>
      <c r="F294" t="s">
        <v>99</v>
      </c>
      <c r="G294">
        <v>5</v>
      </c>
      <c r="H294" s="5">
        <v>4953.9799999999996</v>
      </c>
      <c r="I294" s="4">
        <v>0</v>
      </c>
      <c r="J294" s="5">
        <v>24769.9</v>
      </c>
      <c r="K294" s="5">
        <v>15133.73</v>
      </c>
      <c r="L294" s="5">
        <v>9636.17</v>
      </c>
      <c r="M294" t="s">
        <v>35</v>
      </c>
      <c r="N294" t="s">
        <v>43</v>
      </c>
      <c r="O294" t="s">
        <v>44</v>
      </c>
    </row>
    <row r="295" spans="1:15">
      <c r="A295" t="s">
        <v>591</v>
      </c>
      <c r="B295" s="3">
        <v>46131</v>
      </c>
      <c r="C295" t="s">
        <v>461</v>
      </c>
      <c r="D295" t="s">
        <v>66</v>
      </c>
      <c r="E295" t="s">
        <v>41</v>
      </c>
      <c r="F295" t="s">
        <v>53</v>
      </c>
      <c r="G295">
        <v>3</v>
      </c>
      <c r="H295" s="5">
        <v>5083.22</v>
      </c>
      <c r="I295" s="4">
        <v>0</v>
      </c>
      <c r="J295" s="5">
        <v>15249.66</v>
      </c>
      <c r="K295" s="5">
        <v>9706.52</v>
      </c>
      <c r="L295" s="5">
        <v>5543.14</v>
      </c>
      <c r="M295" t="s">
        <v>35</v>
      </c>
      <c r="N295" t="s">
        <v>71</v>
      </c>
      <c r="O295" t="s">
        <v>44</v>
      </c>
    </row>
    <row r="296" spans="1:15">
      <c r="A296" t="s">
        <v>592</v>
      </c>
      <c r="B296" s="3">
        <v>45826</v>
      </c>
      <c r="C296" t="s">
        <v>429</v>
      </c>
      <c r="D296" t="s">
        <v>95</v>
      </c>
      <c r="E296" t="s">
        <v>33</v>
      </c>
      <c r="F296" t="s">
        <v>67</v>
      </c>
      <c r="G296">
        <v>5</v>
      </c>
      <c r="H296" s="5">
        <v>4071.82</v>
      </c>
      <c r="I296" s="4">
        <v>0.1</v>
      </c>
      <c r="J296" s="5">
        <v>18323.189999999999</v>
      </c>
      <c r="K296" s="5">
        <v>13022.54</v>
      </c>
      <c r="L296" s="5">
        <v>5300.65</v>
      </c>
      <c r="M296" t="s">
        <v>57</v>
      </c>
      <c r="N296" t="s">
        <v>43</v>
      </c>
      <c r="O296" t="s">
        <v>44</v>
      </c>
    </row>
    <row r="297" spans="1:15">
      <c r="A297" t="s">
        <v>593</v>
      </c>
      <c r="B297" s="3">
        <v>45802</v>
      </c>
      <c r="C297" t="s">
        <v>594</v>
      </c>
      <c r="D297" t="s">
        <v>40</v>
      </c>
      <c r="E297" t="s">
        <v>48</v>
      </c>
      <c r="F297" t="s">
        <v>99</v>
      </c>
      <c r="G297">
        <v>2</v>
      </c>
      <c r="H297" s="5">
        <v>2065.1999999999998</v>
      </c>
      <c r="I297" s="4">
        <v>0.1</v>
      </c>
      <c r="J297" s="5">
        <v>3717.36</v>
      </c>
      <c r="K297" s="5">
        <v>3122.43</v>
      </c>
      <c r="L297" s="5">
        <v>594.92999999999995</v>
      </c>
      <c r="M297" t="s">
        <v>35</v>
      </c>
      <c r="N297" t="s">
        <v>71</v>
      </c>
      <c r="O297" t="s">
        <v>37</v>
      </c>
    </row>
    <row r="298" spans="1:15">
      <c r="A298" t="s">
        <v>595</v>
      </c>
      <c r="B298" s="3">
        <v>46050</v>
      </c>
      <c r="C298" t="s">
        <v>596</v>
      </c>
      <c r="D298" t="s">
        <v>47</v>
      </c>
      <c r="E298" t="s">
        <v>33</v>
      </c>
      <c r="F298" t="s">
        <v>176</v>
      </c>
      <c r="G298">
        <v>1</v>
      </c>
      <c r="H298" s="5">
        <v>5402.89</v>
      </c>
      <c r="I298" s="4">
        <v>0.1</v>
      </c>
      <c r="J298" s="5">
        <v>4862.6000000000004</v>
      </c>
      <c r="K298" s="5">
        <v>2872.32</v>
      </c>
      <c r="L298" s="5">
        <v>1990.28</v>
      </c>
      <c r="M298" t="s">
        <v>35</v>
      </c>
      <c r="N298" t="s">
        <v>63</v>
      </c>
      <c r="O298" t="s">
        <v>44</v>
      </c>
    </row>
    <row r="299" spans="1:15">
      <c r="A299" t="s">
        <v>597</v>
      </c>
      <c r="B299" s="3">
        <v>46178</v>
      </c>
      <c r="C299" t="s">
        <v>598</v>
      </c>
      <c r="D299" t="s">
        <v>56</v>
      </c>
      <c r="E299" t="s">
        <v>61</v>
      </c>
      <c r="F299" t="s">
        <v>62</v>
      </c>
      <c r="G299">
        <v>2</v>
      </c>
      <c r="H299" s="5">
        <v>4744.2299999999996</v>
      </c>
      <c r="I299" s="4">
        <v>0.1</v>
      </c>
      <c r="J299" s="5">
        <v>8539.61</v>
      </c>
      <c r="K299" s="5">
        <v>6516.79</v>
      </c>
      <c r="L299" s="5">
        <v>2022.82</v>
      </c>
      <c r="M299" t="s">
        <v>57</v>
      </c>
      <c r="N299" t="s">
        <v>43</v>
      </c>
      <c r="O299" t="s">
        <v>44</v>
      </c>
    </row>
    <row r="300" spans="1:15">
      <c r="A300" t="s">
        <v>599</v>
      </c>
      <c r="B300" s="3">
        <v>45865</v>
      </c>
      <c r="C300" t="s">
        <v>600</v>
      </c>
      <c r="D300" t="s">
        <v>60</v>
      </c>
      <c r="E300" t="s">
        <v>48</v>
      </c>
      <c r="F300" t="s">
        <v>99</v>
      </c>
      <c r="G300">
        <v>3</v>
      </c>
      <c r="H300" s="5">
        <v>3676.94</v>
      </c>
      <c r="I300" s="4">
        <v>0.1</v>
      </c>
      <c r="J300" s="5">
        <v>9927.74</v>
      </c>
      <c r="K300" s="5">
        <v>8326.7000000000007</v>
      </c>
      <c r="L300" s="5">
        <v>1601.04</v>
      </c>
      <c r="M300" t="s">
        <v>57</v>
      </c>
      <c r="N300" t="s">
        <v>43</v>
      </c>
      <c r="O300" t="s">
        <v>44</v>
      </c>
    </row>
    <row r="301" spans="1:15">
      <c r="A301" t="s">
        <v>601</v>
      </c>
      <c r="B301" s="3">
        <v>45991</v>
      </c>
      <c r="C301" t="s">
        <v>602</v>
      </c>
      <c r="D301" t="s">
        <v>60</v>
      </c>
      <c r="E301" t="s">
        <v>33</v>
      </c>
      <c r="F301" t="s">
        <v>176</v>
      </c>
      <c r="G301">
        <v>2</v>
      </c>
      <c r="H301" s="5">
        <v>4282.63</v>
      </c>
      <c r="I301" s="4">
        <v>0.2</v>
      </c>
      <c r="J301" s="5">
        <v>6852.21</v>
      </c>
      <c r="K301" s="5">
        <v>5703.55</v>
      </c>
      <c r="L301" s="5">
        <v>1148.6600000000001</v>
      </c>
      <c r="M301" t="s">
        <v>35</v>
      </c>
      <c r="N301" t="s">
        <v>43</v>
      </c>
      <c r="O301" t="s">
        <v>44</v>
      </c>
    </row>
    <row r="302" spans="1:15">
      <c r="A302" t="s">
        <v>603</v>
      </c>
      <c r="B302" s="3">
        <v>46182</v>
      </c>
      <c r="C302" t="s">
        <v>604</v>
      </c>
      <c r="D302" t="s">
        <v>66</v>
      </c>
      <c r="E302" t="s">
        <v>33</v>
      </c>
      <c r="F302" t="s">
        <v>176</v>
      </c>
      <c r="G302">
        <v>4</v>
      </c>
      <c r="H302" s="5">
        <v>2579.7399999999998</v>
      </c>
      <c r="I302" s="4">
        <v>0</v>
      </c>
      <c r="J302" s="5">
        <v>10318.959999999999</v>
      </c>
      <c r="K302" s="5">
        <v>7035.95</v>
      </c>
      <c r="L302" s="5">
        <v>3283.01</v>
      </c>
      <c r="M302" t="s">
        <v>35</v>
      </c>
      <c r="N302" t="s">
        <v>43</v>
      </c>
      <c r="O302" t="s">
        <v>44</v>
      </c>
    </row>
    <row r="303" spans="1:15">
      <c r="A303" t="s">
        <v>605</v>
      </c>
      <c r="B303" s="3">
        <v>45781</v>
      </c>
      <c r="C303" t="s">
        <v>273</v>
      </c>
      <c r="D303" t="s">
        <v>32</v>
      </c>
      <c r="E303" t="s">
        <v>33</v>
      </c>
      <c r="F303" t="s">
        <v>96</v>
      </c>
      <c r="G303">
        <v>5</v>
      </c>
      <c r="H303" s="5">
        <v>1832.89</v>
      </c>
      <c r="I303" s="4">
        <v>0.2</v>
      </c>
      <c r="J303" s="5">
        <v>7331.56</v>
      </c>
      <c r="K303" s="5">
        <v>4069.89</v>
      </c>
      <c r="L303" s="5">
        <v>3261.67</v>
      </c>
      <c r="M303" t="s">
        <v>35</v>
      </c>
      <c r="N303" t="s">
        <v>36</v>
      </c>
      <c r="O303" t="s">
        <v>44</v>
      </c>
    </row>
    <row r="304" spans="1:15">
      <c r="A304" t="s">
        <v>606</v>
      </c>
      <c r="B304" s="3">
        <v>46264</v>
      </c>
      <c r="C304" t="s">
        <v>607</v>
      </c>
      <c r="D304" t="s">
        <v>74</v>
      </c>
      <c r="E304" t="s">
        <v>61</v>
      </c>
      <c r="F304" t="s">
        <v>84</v>
      </c>
      <c r="G304">
        <v>6</v>
      </c>
      <c r="H304" s="5">
        <v>1318.7</v>
      </c>
      <c r="I304" s="4">
        <v>0</v>
      </c>
      <c r="J304" s="5">
        <v>7912.2</v>
      </c>
      <c r="K304" s="5">
        <v>4698.3</v>
      </c>
      <c r="L304" s="5">
        <v>3213.9</v>
      </c>
      <c r="M304" t="s">
        <v>57</v>
      </c>
      <c r="N304" t="s">
        <v>63</v>
      </c>
      <c r="O304" t="s">
        <v>44</v>
      </c>
    </row>
    <row r="305" spans="1:15">
      <c r="A305" t="s">
        <v>608</v>
      </c>
      <c r="B305" s="3">
        <v>45693</v>
      </c>
      <c r="C305" t="s">
        <v>230</v>
      </c>
      <c r="D305" t="s">
        <v>60</v>
      </c>
      <c r="E305" t="s">
        <v>41</v>
      </c>
      <c r="F305" t="s">
        <v>53</v>
      </c>
      <c r="G305">
        <v>2</v>
      </c>
      <c r="H305" s="5">
        <v>4995.3</v>
      </c>
      <c r="I305" s="4">
        <v>0</v>
      </c>
      <c r="J305" s="5">
        <v>9990.6</v>
      </c>
      <c r="K305" s="5">
        <v>6668</v>
      </c>
      <c r="L305" s="5">
        <v>3322.6</v>
      </c>
      <c r="M305" t="s">
        <v>57</v>
      </c>
      <c r="N305" t="s">
        <v>36</v>
      </c>
      <c r="O305" t="s">
        <v>37</v>
      </c>
    </row>
    <row r="306" spans="1:15">
      <c r="A306" t="s">
        <v>609</v>
      </c>
      <c r="B306" s="3">
        <v>45750</v>
      </c>
      <c r="C306" t="s">
        <v>220</v>
      </c>
      <c r="D306" t="s">
        <v>32</v>
      </c>
      <c r="E306" t="s">
        <v>48</v>
      </c>
      <c r="F306" t="s">
        <v>99</v>
      </c>
      <c r="G306">
        <v>3</v>
      </c>
      <c r="H306" s="5">
        <v>3919.2</v>
      </c>
      <c r="I306" s="4">
        <v>0.2</v>
      </c>
      <c r="J306" s="5">
        <v>9406.08</v>
      </c>
      <c r="K306" s="5">
        <v>7719.49</v>
      </c>
      <c r="L306" s="5">
        <v>1686.59</v>
      </c>
      <c r="M306" t="s">
        <v>35</v>
      </c>
      <c r="N306" t="s">
        <v>63</v>
      </c>
      <c r="O306" t="s">
        <v>44</v>
      </c>
    </row>
    <row r="307" spans="1:15">
      <c r="A307" t="s">
        <v>610</v>
      </c>
      <c r="B307" s="3">
        <v>45967</v>
      </c>
      <c r="C307" t="s">
        <v>611</v>
      </c>
      <c r="D307" t="s">
        <v>60</v>
      </c>
      <c r="E307" t="s">
        <v>41</v>
      </c>
      <c r="F307" t="s">
        <v>153</v>
      </c>
      <c r="G307">
        <v>1</v>
      </c>
      <c r="H307" s="5">
        <v>3911.5</v>
      </c>
      <c r="I307" s="4">
        <v>0</v>
      </c>
      <c r="J307" s="5">
        <v>3911.5</v>
      </c>
      <c r="K307" s="5">
        <v>2365.31</v>
      </c>
      <c r="L307" s="5">
        <v>1546.19</v>
      </c>
      <c r="M307" t="s">
        <v>35</v>
      </c>
      <c r="N307" t="s">
        <v>43</v>
      </c>
      <c r="O307" t="s">
        <v>37</v>
      </c>
    </row>
    <row r="308" spans="1:15">
      <c r="A308" t="s">
        <v>612</v>
      </c>
      <c r="B308" s="3">
        <v>45942</v>
      </c>
      <c r="C308" t="s">
        <v>613</v>
      </c>
      <c r="D308" t="s">
        <v>52</v>
      </c>
      <c r="E308" t="s">
        <v>61</v>
      </c>
      <c r="F308" t="s">
        <v>89</v>
      </c>
      <c r="G308">
        <v>4</v>
      </c>
      <c r="H308" s="5">
        <v>2150.17</v>
      </c>
      <c r="I308" s="4">
        <v>0.05</v>
      </c>
      <c r="J308" s="5">
        <v>8170.65</v>
      </c>
      <c r="K308" s="5">
        <v>4787.24</v>
      </c>
      <c r="L308" s="5">
        <v>3383.41</v>
      </c>
      <c r="M308" t="s">
        <v>57</v>
      </c>
      <c r="N308" t="s">
        <v>43</v>
      </c>
      <c r="O308" t="s">
        <v>44</v>
      </c>
    </row>
    <row r="309" spans="1:15">
      <c r="A309" t="s">
        <v>614</v>
      </c>
      <c r="B309" s="3">
        <v>45964</v>
      </c>
      <c r="C309" t="s">
        <v>443</v>
      </c>
      <c r="D309" t="s">
        <v>95</v>
      </c>
      <c r="E309" t="s">
        <v>48</v>
      </c>
      <c r="F309" t="s">
        <v>49</v>
      </c>
      <c r="G309">
        <v>2</v>
      </c>
      <c r="H309" s="5">
        <v>4636.24</v>
      </c>
      <c r="I309" s="4">
        <v>0</v>
      </c>
      <c r="J309" s="5">
        <v>9272.48</v>
      </c>
      <c r="K309" s="5">
        <v>5234.26</v>
      </c>
      <c r="L309" s="5">
        <v>4038.22</v>
      </c>
      <c r="M309" t="s">
        <v>35</v>
      </c>
      <c r="N309" t="s">
        <v>63</v>
      </c>
      <c r="O309" t="s">
        <v>37</v>
      </c>
    </row>
    <row r="310" spans="1:15">
      <c r="A310" t="s">
        <v>615</v>
      </c>
      <c r="B310" s="3">
        <v>45991</v>
      </c>
      <c r="C310" t="s">
        <v>616</v>
      </c>
      <c r="D310" t="s">
        <v>47</v>
      </c>
      <c r="E310" t="s">
        <v>33</v>
      </c>
      <c r="F310" t="s">
        <v>67</v>
      </c>
      <c r="G310">
        <v>6</v>
      </c>
      <c r="H310" s="5">
        <v>1104.44</v>
      </c>
      <c r="I310" s="4">
        <v>0.15</v>
      </c>
      <c r="J310" s="5">
        <v>5632.64</v>
      </c>
      <c r="K310" s="5">
        <v>3237.52</v>
      </c>
      <c r="L310" s="5">
        <v>2395.12</v>
      </c>
      <c r="M310" t="s">
        <v>57</v>
      </c>
      <c r="N310" t="s">
        <v>71</v>
      </c>
      <c r="O310" t="s">
        <v>44</v>
      </c>
    </row>
    <row r="311" spans="1:15">
      <c r="A311" t="s">
        <v>617</v>
      </c>
      <c r="B311" s="3">
        <v>46261</v>
      </c>
      <c r="C311" t="s">
        <v>55</v>
      </c>
      <c r="D311" t="s">
        <v>52</v>
      </c>
      <c r="E311" t="s">
        <v>33</v>
      </c>
      <c r="F311" t="s">
        <v>67</v>
      </c>
      <c r="G311">
        <v>1</v>
      </c>
      <c r="H311" s="5">
        <v>3961.83</v>
      </c>
      <c r="I311" s="4">
        <v>0</v>
      </c>
      <c r="J311" s="5">
        <v>3961.83</v>
      </c>
      <c r="K311" s="5">
        <v>2985.52</v>
      </c>
      <c r="L311" s="5">
        <v>976.31</v>
      </c>
      <c r="M311" t="s">
        <v>35</v>
      </c>
      <c r="N311" t="s">
        <v>36</v>
      </c>
      <c r="O311" t="s">
        <v>44</v>
      </c>
    </row>
    <row r="312" spans="1:15">
      <c r="A312" t="s">
        <v>618</v>
      </c>
      <c r="B312" s="3">
        <v>45885</v>
      </c>
      <c r="C312" t="s">
        <v>619</v>
      </c>
      <c r="D312" t="s">
        <v>66</v>
      </c>
      <c r="E312" t="s">
        <v>61</v>
      </c>
      <c r="F312" t="s">
        <v>81</v>
      </c>
      <c r="G312">
        <v>1</v>
      </c>
      <c r="H312" s="5">
        <v>3372.07</v>
      </c>
      <c r="I312" s="4">
        <v>0</v>
      </c>
      <c r="J312" s="5">
        <v>3372.07</v>
      </c>
      <c r="K312" s="5">
        <v>2017.43</v>
      </c>
      <c r="L312" s="5">
        <v>1354.64</v>
      </c>
      <c r="M312" t="s">
        <v>57</v>
      </c>
      <c r="N312" t="s">
        <v>36</v>
      </c>
      <c r="O312" t="s">
        <v>44</v>
      </c>
    </row>
    <row r="313" spans="1:15">
      <c r="A313" t="s">
        <v>620</v>
      </c>
      <c r="B313" s="3">
        <v>46015</v>
      </c>
      <c r="C313" t="s">
        <v>621</v>
      </c>
      <c r="D313" t="s">
        <v>60</v>
      </c>
      <c r="E313" t="s">
        <v>41</v>
      </c>
      <c r="F313" t="s">
        <v>124</v>
      </c>
      <c r="G313">
        <v>5</v>
      </c>
      <c r="H313" s="5">
        <v>1241.75</v>
      </c>
      <c r="I313" s="4">
        <v>0.15</v>
      </c>
      <c r="J313" s="5">
        <v>5277.44</v>
      </c>
      <c r="K313" s="5">
        <v>3692.46</v>
      </c>
      <c r="L313" s="5">
        <v>1584.98</v>
      </c>
      <c r="M313" t="s">
        <v>35</v>
      </c>
      <c r="N313" t="s">
        <v>71</v>
      </c>
      <c r="O313" t="s">
        <v>44</v>
      </c>
    </row>
    <row r="314" spans="1:15">
      <c r="A314" t="s">
        <v>622</v>
      </c>
      <c r="B314" s="3">
        <v>46040</v>
      </c>
      <c r="C314" t="s">
        <v>623</v>
      </c>
      <c r="D314" t="s">
        <v>52</v>
      </c>
      <c r="E314" t="s">
        <v>61</v>
      </c>
      <c r="F314" t="s">
        <v>129</v>
      </c>
      <c r="G314">
        <v>1</v>
      </c>
      <c r="H314" s="5">
        <v>5099.8500000000004</v>
      </c>
      <c r="I314" s="4">
        <v>0</v>
      </c>
      <c r="J314" s="5">
        <v>5099.8500000000004</v>
      </c>
      <c r="K314" s="5">
        <v>3226.86</v>
      </c>
      <c r="L314" s="5">
        <v>1872.99</v>
      </c>
      <c r="M314" t="s">
        <v>57</v>
      </c>
      <c r="N314" t="s">
        <v>63</v>
      </c>
      <c r="O314" t="s">
        <v>37</v>
      </c>
    </row>
    <row r="315" spans="1:15">
      <c r="A315" t="s">
        <v>624</v>
      </c>
      <c r="B315" s="3">
        <v>46103</v>
      </c>
      <c r="C315" t="s">
        <v>625</v>
      </c>
      <c r="D315" t="s">
        <v>56</v>
      </c>
      <c r="E315" t="s">
        <v>41</v>
      </c>
      <c r="F315" t="s">
        <v>42</v>
      </c>
      <c r="G315">
        <v>2</v>
      </c>
      <c r="H315" s="5">
        <v>1916.24</v>
      </c>
      <c r="I315" s="4">
        <v>0.2</v>
      </c>
      <c r="J315" s="5">
        <v>3065.98</v>
      </c>
      <c r="K315" s="5">
        <v>2521.61</v>
      </c>
      <c r="L315" s="5">
        <v>544.37</v>
      </c>
      <c r="M315" t="s">
        <v>35</v>
      </c>
      <c r="N315" t="s">
        <v>43</v>
      </c>
      <c r="O315" t="s">
        <v>44</v>
      </c>
    </row>
    <row r="316" spans="1:15">
      <c r="A316" t="s">
        <v>626</v>
      </c>
      <c r="B316" s="3">
        <v>45687</v>
      </c>
      <c r="C316" t="s">
        <v>437</v>
      </c>
      <c r="D316" t="s">
        <v>52</v>
      </c>
      <c r="E316" t="s">
        <v>33</v>
      </c>
      <c r="F316" t="s">
        <v>67</v>
      </c>
      <c r="G316">
        <v>5</v>
      </c>
      <c r="H316" s="5">
        <v>1002.25</v>
      </c>
      <c r="I316" s="4">
        <v>0.15</v>
      </c>
      <c r="J316" s="5">
        <v>4259.5600000000004</v>
      </c>
      <c r="K316" s="5">
        <v>2782.99</v>
      </c>
      <c r="L316" s="5">
        <v>1476.57</v>
      </c>
      <c r="M316" t="s">
        <v>57</v>
      </c>
      <c r="N316" t="s">
        <v>63</v>
      </c>
      <c r="O316" t="s">
        <v>44</v>
      </c>
    </row>
    <row r="317" spans="1:15">
      <c r="A317" t="s">
        <v>627</v>
      </c>
      <c r="B317" s="3">
        <v>46056</v>
      </c>
      <c r="C317" t="s">
        <v>628</v>
      </c>
      <c r="D317" t="s">
        <v>66</v>
      </c>
      <c r="E317" t="s">
        <v>33</v>
      </c>
      <c r="F317" t="s">
        <v>176</v>
      </c>
      <c r="G317">
        <v>5</v>
      </c>
      <c r="H317" s="5">
        <v>4340.9399999999996</v>
      </c>
      <c r="I317" s="4">
        <v>0.15</v>
      </c>
      <c r="J317" s="5">
        <v>18448.990000000002</v>
      </c>
      <c r="K317" s="5">
        <v>10890.19</v>
      </c>
      <c r="L317" s="5">
        <v>7558.8</v>
      </c>
      <c r="M317" t="s">
        <v>57</v>
      </c>
      <c r="N317" t="s">
        <v>63</v>
      </c>
      <c r="O317" t="s">
        <v>44</v>
      </c>
    </row>
    <row r="318" spans="1:15">
      <c r="A318" t="s">
        <v>629</v>
      </c>
      <c r="B318" s="3">
        <v>45960</v>
      </c>
      <c r="C318" t="s">
        <v>630</v>
      </c>
      <c r="D318" t="s">
        <v>40</v>
      </c>
      <c r="E318" t="s">
        <v>48</v>
      </c>
      <c r="F318" t="s">
        <v>49</v>
      </c>
      <c r="G318">
        <v>1</v>
      </c>
      <c r="H318" s="5">
        <v>1471.73</v>
      </c>
      <c r="I318" s="4">
        <v>0</v>
      </c>
      <c r="J318" s="5">
        <v>1471.73</v>
      </c>
      <c r="K318" s="5">
        <v>908.42</v>
      </c>
      <c r="L318" s="5">
        <v>563.30999999999995</v>
      </c>
      <c r="M318" t="s">
        <v>57</v>
      </c>
      <c r="N318" t="s">
        <v>36</v>
      </c>
      <c r="O318" t="s">
        <v>44</v>
      </c>
    </row>
    <row r="319" spans="1:15">
      <c r="A319" t="s">
        <v>631</v>
      </c>
      <c r="B319" s="3">
        <v>45708</v>
      </c>
      <c r="C319" t="s">
        <v>632</v>
      </c>
      <c r="D319" t="s">
        <v>40</v>
      </c>
      <c r="E319" t="s">
        <v>48</v>
      </c>
      <c r="F319" t="s">
        <v>113</v>
      </c>
      <c r="G319">
        <v>5</v>
      </c>
      <c r="H319" s="5">
        <v>5095.13</v>
      </c>
      <c r="I319" s="4">
        <v>0.2</v>
      </c>
      <c r="J319" s="5">
        <v>20380.52</v>
      </c>
      <c r="K319" s="5">
        <v>11795</v>
      </c>
      <c r="L319" s="5">
        <v>8585.52</v>
      </c>
      <c r="M319" t="s">
        <v>35</v>
      </c>
      <c r="N319" t="s">
        <v>71</v>
      </c>
      <c r="O319" t="s">
        <v>44</v>
      </c>
    </row>
    <row r="320" spans="1:15">
      <c r="A320" t="s">
        <v>633</v>
      </c>
      <c r="B320" s="3">
        <v>45688</v>
      </c>
      <c r="C320" t="s">
        <v>634</v>
      </c>
      <c r="D320" t="s">
        <v>40</v>
      </c>
      <c r="E320" t="s">
        <v>61</v>
      </c>
      <c r="F320" t="s">
        <v>62</v>
      </c>
      <c r="G320">
        <v>3</v>
      </c>
      <c r="H320" s="5">
        <v>1349.14</v>
      </c>
      <c r="I320" s="4">
        <v>0.2</v>
      </c>
      <c r="J320" s="5">
        <v>3237.94</v>
      </c>
      <c r="K320" s="5">
        <v>1813.44</v>
      </c>
      <c r="L320" s="5">
        <v>1424.5</v>
      </c>
      <c r="M320" t="s">
        <v>57</v>
      </c>
      <c r="N320" t="s">
        <v>71</v>
      </c>
      <c r="O320" t="s">
        <v>44</v>
      </c>
    </row>
    <row r="321" spans="1:15">
      <c r="A321" t="s">
        <v>635</v>
      </c>
      <c r="B321" s="3">
        <v>45842</v>
      </c>
      <c r="C321" t="s">
        <v>226</v>
      </c>
      <c r="D321" t="s">
        <v>95</v>
      </c>
      <c r="E321" t="s">
        <v>48</v>
      </c>
      <c r="F321" t="s">
        <v>99</v>
      </c>
      <c r="G321">
        <v>3</v>
      </c>
      <c r="H321" s="5">
        <v>1998.55</v>
      </c>
      <c r="I321" s="4">
        <v>0</v>
      </c>
      <c r="J321" s="5">
        <v>5995.65</v>
      </c>
      <c r="K321" s="5">
        <v>4165.6000000000004</v>
      </c>
      <c r="L321" s="5">
        <v>1830.05</v>
      </c>
      <c r="M321" t="s">
        <v>57</v>
      </c>
      <c r="N321" t="s">
        <v>71</v>
      </c>
      <c r="O321" t="s">
        <v>37</v>
      </c>
    </row>
    <row r="322" spans="1:15">
      <c r="A322" t="s">
        <v>636</v>
      </c>
      <c r="B322" s="3">
        <v>46113</v>
      </c>
      <c r="C322" t="s">
        <v>613</v>
      </c>
      <c r="D322" t="s">
        <v>56</v>
      </c>
      <c r="E322" t="s">
        <v>33</v>
      </c>
      <c r="F322" t="s">
        <v>92</v>
      </c>
      <c r="G322">
        <v>2</v>
      </c>
      <c r="H322" s="5">
        <v>4961.8900000000003</v>
      </c>
      <c r="I322" s="4">
        <v>0.05</v>
      </c>
      <c r="J322" s="5">
        <v>9427.59</v>
      </c>
      <c r="K322" s="5">
        <v>7106.84</v>
      </c>
      <c r="L322" s="5">
        <v>2320.75</v>
      </c>
      <c r="M322" t="s">
        <v>35</v>
      </c>
      <c r="N322" t="s">
        <v>36</v>
      </c>
      <c r="O322" t="s">
        <v>37</v>
      </c>
    </row>
    <row r="323" spans="1:15">
      <c r="A323" t="s">
        <v>637</v>
      </c>
      <c r="B323" s="3">
        <v>46046</v>
      </c>
      <c r="C323" t="s">
        <v>638</v>
      </c>
      <c r="D323" t="s">
        <v>95</v>
      </c>
      <c r="E323" t="s">
        <v>41</v>
      </c>
      <c r="F323" t="s">
        <v>53</v>
      </c>
      <c r="G323">
        <v>6</v>
      </c>
      <c r="H323" s="5">
        <v>3122.25</v>
      </c>
      <c r="I323" s="4">
        <v>0</v>
      </c>
      <c r="J323" s="5">
        <v>18733.5</v>
      </c>
      <c r="K323" s="5">
        <v>14733.19</v>
      </c>
      <c r="L323" s="5">
        <v>4000.31</v>
      </c>
      <c r="M323" t="s">
        <v>57</v>
      </c>
      <c r="N323" t="s">
        <v>71</v>
      </c>
      <c r="O323" t="s">
        <v>44</v>
      </c>
    </row>
    <row r="324" spans="1:15">
      <c r="A324" t="s">
        <v>639</v>
      </c>
      <c r="B324" s="3">
        <v>46001</v>
      </c>
      <c r="C324" t="s">
        <v>640</v>
      </c>
      <c r="D324" t="s">
        <v>66</v>
      </c>
      <c r="E324" t="s">
        <v>41</v>
      </c>
      <c r="F324" t="s">
        <v>53</v>
      </c>
      <c r="G324">
        <v>3</v>
      </c>
      <c r="H324" s="5">
        <v>215.39</v>
      </c>
      <c r="I324" s="4">
        <v>0.2</v>
      </c>
      <c r="J324" s="5">
        <v>516.94000000000005</v>
      </c>
      <c r="K324" s="5">
        <v>396.22</v>
      </c>
      <c r="L324" s="5">
        <v>120.72</v>
      </c>
      <c r="M324" t="s">
        <v>57</v>
      </c>
      <c r="N324" t="s">
        <v>63</v>
      </c>
      <c r="O324" t="s">
        <v>37</v>
      </c>
    </row>
    <row r="325" spans="1:15">
      <c r="A325" t="s">
        <v>641</v>
      </c>
      <c r="B325" s="3">
        <v>46092</v>
      </c>
      <c r="C325" t="s">
        <v>642</v>
      </c>
      <c r="D325" t="s">
        <v>74</v>
      </c>
      <c r="E325" t="s">
        <v>61</v>
      </c>
      <c r="F325" t="s">
        <v>81</v>
      </c>
      <c r="G325">
        <v>1</v>
      </c>
      <c r="H325" s="5">
        <v>5293.46</v>
      </c>
      <c r="I325" s="4">
        <v>0.05</v>
      </c>
      <c r="J325" s="5">
        <v>5028.79</v>
      </c>
      <c r="K325" s="5">
        <v>2982.1</v>
      </c>
      <c r="L325" s="5">
        <v>2046.69</v>
      </c>
      <c r="M325" t="s">
        <v>57</v>
      </c>
      <c r="N325" t="s">
        <v>71</v>
      </c>
      <c r="O325" t="s">
        <v>44</v>
      </c>
    </row>
    <row r="326" spans="1:15">
      <c r="A326" t="s">
        <v>643</v>
      </c>
      <c r="B326" s="3">
        <v>45938</v>
      </c>
      <c r="C326" t="s">
        <v>644</v>
      </c>
      <c r="D326" t="s">
        <v>52</v>
      </c>
      <c r="E326" t="s">
        <v>48</v>
      </c>
      <c r="F326" t="s">
        <v>113</v>
      </c>
      <c r="G326">
        <v>5</v>
      </c>
      <c r="H326" s="5">
        <v>3302.99</v>
      </c>
      <c r="I326" s="4">
        <v>0.1</v>
      </c>
      <c r="J326" s="5">
        <v>14863.45</v>
      </c>
      <c r="K326" s="5">
        <v>9643.08</v>
      </c>
      <c r="L326" s="5">
        <v>5220.37</v>
      </c>
      <c r="M326" t="s">
        <v>57</v>
      </c>
      <c r="N326" t="s">
        <v>43</v>
      </c>
      <c r="O326" t="s">
        <v>44</v>
      </c>
    </row>
    <row r="327" spans="1:15">
      <c r="A327" t="s">
        <v>645</v>
      </c>
      <c r="B327" s="3">
        <v>46200</v>
      </c>
      <c r="C327" t="s">
        <v>646</v>
      </c>
      <c r="D327" t="s">
        <v>66</v>
      </c>
      <c r="E327" t="s">
        <v>48</v>
      </c>
      <c r="F327" t="s">
        <v>102</v>
      </c>
      <c r="G327">
        <v>2</v>
      </c>
      <c r="H327" s="5">
        <v>2850.17</v>
      </c>
      <c r="I327" s="4">
        <v>0.2</v>
      </c>
      <c r="J327" s="5">
        <v>4560.2700000000004</v>
      </c>
      <c r="K327" s="5">
        <v>3643.54</v>
      </c>
      <c r="L327" s="5">
        <v>916.73</v>
      </c>
      <c r="M327" t="s">
        <v>35</v>
      </c>
      <c r="N327" t="s">
        <v>71</v>
      </c>
      <c r="O327" t="s">
        <v>44</v>
      </c>
    </row>
    <row r="328" spans="1:15">
      <c r="A328" t="s">
        <v>647</v>
      </c>
      <c r="B328" s="3">
        <v>45740</v>
      </c>
      <c r="C328" t="s">
        <v>648</v>
      </c>
      <c r="D328" t="s">
        <v>52</v>
      </c>
      <c r="E328" t="s">
        <v>41</v>
      </c>
      <c r="F328" t="s">
        <v>42</v>
      </c>
      <c r="G328">
        <v>5</v>
      </c>
      <c r="H328" s="5">
        <v>3579.41</v>
      </c>
      <c r="I328" s="4">
        <v>0.2</v>
      </c>
      <c r="J328" s="5">
        <v>14317.64</v>
      </c>
      <c r="K328" s="5">
        <v>9652.68</v>
      </c>
      <c r="L328" s="5">
        <v>4664.96</v>
      </c>
      <c r="M328" t="s">
        <v>35</v>
      </c>
      <c r="N328" t="s">
        <v>43</v>
      </c>
      <c r="O328" t="s">
        <v>44</v>
      </c>
    </row>
    <row r="329" spans="1:15">
      <c r="A329" t="s">
        <v>649</v>
      </c>
      <c r="B329" s="3">
        <v>45679</v>
      </c>
      <c r="C329" t="s">
        <v>344</v>
      </c>
      <c r="D329" t="s">
        <v>60</v>
      </c>
      <c r="E329" t="s">
        <v>48</v>
      </c>
      <c r="F329" t="s">
        <v>70</v>
      </c>
      <c r="G329">
        <v>3</v>
      </c>
      <c r="H329" s="5">
        <v>5231.55</v>
      </c>
      <c r="I329" s="4">
        <v>0</v>
      </c>
      <c r="J329" s="5">
        <v>15694.65</v>
      </c>
      <c r="K329" s="5">
        <v>8782.6299999999992</v>
      </c>
      <c r="L329" s="5">
        <v>6912.02</v>
      </c>
      <c r="M329" t="s">
        <v>57</v>
      </c>
      <c r="N329" t="s">
        <v>43</v>
      </c>
      <c r="O329" t="s">
        <v>44</v>
      </c>
    </row>
    <row r="330" spans="1:15">
      <c r="A330" t="s">
        <v>650</v>
      </c>
      <c r="B330" s="3">
        <v>45862</v>
      </c>
      <c r="C330" t="s">
        <v>651</v>
      </c>
      <c r="D330" t="s">
        <v>74</v>
      </c>
      <c r="E330" t="s">
        <v>48</v>
      </c>
      <c r="F330" t="s">
        <v>113</v>
      </c>
      <c r="G330">
        <v>4</v>
      </c>
      <c r="H330" s="5">
        <v>5133.28</v>
      </c>
      <c r="I330" s="4">
        <v>0.05</v>
      </c>
      <c r="J330" s="5">
        <v>19506.46</v>
      </c>
      <c r="K330" s="5">
        <v>14596.14</v>
      </c>
      <c r="L330" s="5">
        <v>4910.32</v>
      </c>
      <c r="M330" t="s">
        <v>35</v>
      </c>
      <c r="N330" t="s">
        <v>43</v>
      </c>
      <c r="O330" t="s">
        <v>44</v>
      </c>
    </row>
    <row r="331" spans="1:15">
      <c r="A331" t="s">
        <v>652</v>
      </c>
      <c r="B331" s="3">
        <v>46079</v>
      </c>
      <c r="C331" t="s">
        <v>468</v>
      </c>
      <c r="D331" t="s">
        <v>74</v>
      </c>
      <c r="E331" t="s">
        <v>48</v>
      </c>
      <c r="F331" t="s">
        <v>102</v>
      </c>
      <c r="G331">
        <v>5</v>
      </c>
      <c r="H331" s="5">
        <v>2244.3000000000002</v>
      </c>
      <c r="I331" s="4">
        <v>0.05</v>
      </c>
      <c r="J331" s="5">
        <v>10660.42</v>
      </c>
      <c r="K331" s="5">
        <v>8926.41</v>
      </c>
      <c r="L331" s="5">
        <v>1734.01</v>
      </c>
      <c r="M331" t="s">
        <v>35</v>
      </c>
      <c r="N331" t="s">
        <v>43</v>
      </c>
      <c r="O331" t="s">
        <v>44</v>
      </c>
    </row>
    <row r="332" spans="1:15">
      <c r="A332" t="s">
        <v>653</v>
      </c>
      <c r="B332" s="3">
        <v>46221</v>
      </c>
      <c r="C332" t="s">
        <v>286</v>
      </c>
      <c r="D332" t="s">
        <v>134</v>
      </c>
      <c r="E332" t="s">
        <v>33</v>
      </c>
      <c r="F332" t="s">
        <v>96</v>
      </c>
      <c r="G332">
        <v>5</v>
      </c>
      <c r="H332" s="5">
        <v>2428.8200000000002</v>
      </c>
      <c r="I332" s="4">
        <v>0</v>
      </c>
      <c r="J332" s="5">
        <v>12144.1</v>
      </c>
      <c r="K332" s="5">
        <v>7832.82</v>
      </c>
      <c r="L332" s="5">
        <v>4311.28</v>
      </c>
      <c r="M332" t="s">
        <v>35</v>
      </c>
      <c r="N332" t="s">
        <v>43</v>
      </c>
      <c r="O332" t="s">
        <v>44</v>
      </c>
    </row>
    <row r="333" spans="1:15">
      <c r="A333" t="s">
        <v>654</v>
      </c>
      <c r="B333" s="3">
        <v>46001</v>
      </c>
      <c r="C333" t="s">
        <v>655</v>
      </c>
      <c r="D333" t="s">
        <v>60</v>
      </c>
      <c r="E333" t="s">
        <v>61</v>
      </c>
      <c r="F333" t="s">
        <v>89</v>
      </c>
      <c r="G333">
        <v>3</v>
      </c>
      <c r="H333" s="5">
        <v>1588.74</v>
      </c>
      <c r="I333" s="4">
        <v>0.05</v>
      </c>
      <c r="J333" s="5">
        <v>4527.91</v>
      </c>
      <c r="K333" s="5">
        <v>3521.92</v>
      </c>
      <c r="L333" s="5">
        <v>1005.99</v>
      </c>
      <c r="M333" t="s">
        <v>57</v>
      </c>
      <c r="N333" t="s">
        <v>43</v>
      </c>
      <c r="O333" t="s">
        <v>44</v>
      </c>
    </row>
    <row r="334" spans="1:15">
      <c r="A334" t="s">
        <v>656</v>
      </c>
      <c r="B334" s="3">
        <v>46112</v>
      </c>
      <c r="C334" t="s">
        <v>657</v>
      </c>
      <c r="D334" t="s">
        <v>52</v>
      </c>
      <c r="E334" t="s">
        <v>48</v>
      </c>
      <c r="F334" t="s">
        <v>70</v>
      </c>
      <c r="G334">
        <v>1</v>
      </c>
      <c r="H334" s="5">
        <v>2611.1999999999998</v>
      </c>
      <c r="I334" s="4">
        <v>0.1</v>
      </c>
      <c r="J334" s="5">
        <v>2350.08</v>
      </c>
      <c r="K334" s="5">
        <v>1899.01</v>
      </c>
      <c r="L334" s="5">
        <v>451.07</v>
      </c>
      <c r="M334" t="s">
        <v>35</v>
      </c>
      <c r="N334" t="s">
        <v>36</v>
      </c>
      <c r="O334" t="s">
        <v>44</v>
      </c>
    </row>
    <row r="335" spans="1:15">
      <c r="A335" t="s">
        <v>658</v>
      </c>
      <c r="B335" s="3">
        <v>45738</v>
      </c>
      <c r="C335" t="s">
        <v>659</v>
      </c>
      <c r="D335" t="s">
        <v>32</v>
      </c>
      <c r="E335" t="s">
        <v>33</v>
      </c>
      <c r="F335" t="s">
        <v>176</v>
      </c>
      <c r="G335">
        <v>1</v>
      </c>
      <c r="H335" s="5">
        <v>2219.08</v>
      </c>
      <c r="I335" s="4">
        <v>0.15</v>
      </c>
      <c r="J335" s="5">
        <v>1886.22</v>
      </c>
      <c r="K335" s="5">
        <v>1215.06</v>
      </c>
      <c r="L335" s="5">
        <v>671.16</v>
      </c>
      <c r="M335" t="s">
        <v>35</v>
      </c>
      <c r="N335" t="s">
        <v>63</v>
      </c>
      <c r="O335" t="s">
        <v>44</v>
      </c>
    </row>
    <row r="336" spans="1:15">
      <c r="A336" t="s">
        <v>660</v>
      </c>
      <c r="B336" s="3">
        <v>45738</v>
      </c>
      <c r="C336" t="s">
        <v>661</v>
      </c>
      <c r="D336" t="s">
        <v>60</v>
      </c>
      <c r="E336" t="s">
        <v>41</v>
      </c>
      <c r="F336" t="s">
        <v>124</v>
      </c>
      <c r="G336">
        <v>6</v>
      </c>
      <c r="H336" s="5">
        <v>2903.59</v>
      </c>
      <c r="I336" s="4">
        <v>0.05</v>
      </c>
      <c r="J336" s="5">
        <v>16550.46</v>
      </c>
      <c r="K336" s="5">
        <v>9501.82</v>
      </c>
      <c r="L336" s="5">
        <v>7048.64</v>
      </c>
      <c r="M336" t="s">
        <v>35</v>
      </c>
      <c r="N336" t="s">
        <v>71</v>
      </c>
      <c r="O336" t="s">
        <v>44</v>
      </c>
    </row>
    <row r="337" spans="1:15">
      <c r="A337" t="s">
        <v>662</v>
      </c>
      <c r="B337" s="3">
        <v>45824</v>
      </c>
      <c r="C337" t="s">
        <v>663</v>
      </c>
      <c r="D337" t="s">
        <v>52</v>
      </c>
      <c r="E337" t="s">
        <v>41</v>
      </c>
      <c r="F337" t="s">
        <v>124</v>
      </c>
      <c r="G337">
        <v>1</v>
      </c>
      <c r="H337" s="5">
        <v>2210.08</v>
      </c>
      <c r="I337" s="4">
        <v>0</v>
      </c>
      <c r="J337" s="5">
        <v>2210.08</v>
      </c>
      <c r="K337" s="5">
        <v>1697.96</v>
      </c>
      <c r="L337" s="5">
        <v>512.12</v>
      </c>
      <c r="M337" t="s">
        <v>57</v>
      </c>
      <c r="N337" t="s">
        <v>43</v>
      </c>
      <c r="O337" t="s">
        <v>44</v>
      </c>
    </row>
    <row r="338" spans="1:15">
      <c r="A338" t="s">
        <v>664</v>
      </c>
      <c r="B338" s="3">
        <v>46067</v>
      </c>
      <c r="C338" t="s">
        <v>665</v>
      </c>
      <c r="D338" t="s">
        <v>56</v>
      </c>
      <c r="E338" t="s">
        <v>48</v>
      </c>
      <c r="F338" t="s">
        <v>70</v>
      </c>
      <c r="G338">
        <v>4</v>
      </c>
      <c r="H338" s="5">
        <v>4021.22</v>
      </c>
      <c r="I338" s="4">
        <v>0.1</v>
      </c>
      <c r="J338" s="5">
        <v>14476.39</v>
      </c>
      <c r="K338" s="5">
        <v>8572.4</v>
      </c>
      <c r="L338" s="5">
        <v>5903.99</v>
      </c>
      <c r="M338" t="s">
        <v>35</v>
      </c>
      <c r="N338" t="s">
        <v>43</v>
      </c>
      <c r="O338" t="s">
        <v>37</v>
      </c>
    </row>
    <row r="339" spans="1:15">
      <c r="A339" t="s">
        <v>666</v>
      </c>
      <c r="B339" s="3">
        <v>45694</v>
      </c>
      <c r="C339" t="s">
        <v>667</v>
      </c>
      <c r="D339" t="s">
        <v>134</v>
      </c>
      <c r="E339" t="s">
        <v>61</v>
      </c>
      <c r="F339" t="s">
        <v>89</v>
      </c>
      <c r="G339">
        <v>3</v>
      </c>
      <c r="H339" s="5">
        <v>1082.6300000000001</v>
      </c>
      <c r="I339" s="4">
        <v>0.1</v>
      </c>
      <c r="J339" s="5">
        <v>2923.1</v>
      </c>
      <c r="K339" s="5">
        <v>1828.33</v>
      </c>
      <c r="L339" s="5">
        <v>1094.77</v>
      </c>
      <c r="M339" t="s">
        <v>57</v>
      </c>
      <c r="N339" t="s">
        <v>43</v>
      </c>
      <c r="O339" t="s">
        <v>44</v>
      </c>
    </row>
    <row r="340" spans="1:15">
      <c r="A340" t="s">
        <v>668</v>
      </c>
      <c r="B340" s="3">
        <v>46051</v>
      </c>
      <c r="C340" t="s">
        <v>523</v>
      </c>
      <c r="D340" t="s">
        <v>95</v>
      </c>
      <c r="E340" t="s">
        <v>48</v>
      </c>
      <c r="F340" t="s">
        <v>99</v>
      </c>
      <c r="G340">
        <v>2</v>
      </c>
      <c r="H340" s="5">
        <v>5306.21</v>
      </c>
      <c r="I340" s="4">
        <v>0</v>
      </c>
      <c r="J340" s="5">
        <v>10612.42</v>
      </c>
      <c r="K340" s="5">
        <v>7799.83</v>
      </c>
      <c r="L340" s="5">
        <v>2812.59</v>
      </c>
      <c r="M340" t="s">
        <v>35</v>
      </c>
      <c r="N340" t="s">
        <v>43</v>
      </c>
      <c r="O340" t="s">
        <v>44</v>
      </c>
    </row>
    <row r="341" spans="1:15">
      <c r="A341" t="s">
        <v>669</v>
      </c>
      <c r="B341" s="3">
        <v>45726</v>
      </c>
      <c r="C341" t="s">
        <v>670</v>
      </c>
      <c r="D341" t="s">
        <v>56</v>
      </c>
      <c r="E341" t="s">
        <v>48</v>
      </c>
      <c r="F341" t="s">
        <v>49</v>
      </c>
      <c r="G341">
        <v>5</v>
      </c>
      <c r="H341" s="5">
        <v>2187.2399999999998</v>
      </c>
      <c r="I341" s="4">
        <v>0</v>
      </c>
      <c r="J341" s="5">
        <v>10936.2</v>
      </c>
      <c r="K341" s="5">
        <v>9089.61</v>
      </c>
      <c r="L341" s="5">
        <v>1846.59</v>
      </c>
      <c r="M341" t="s">
        <v>35</v>
      </c>
      <c r="N341" t="s">
        <v>71</v>
      </c>
      <c r="O341" t="s">
        <v>37</v>
      </c>
    </row>
    <row r="342" spans="1:15">
      <c r="A342" t="s">
        <v>671</v>
      </c>
      <c r="B342" s="3">
        <v>45805</v>
      </c>
      <c r="C342" t="s">
        <v>672</v>
      </c>
      <c r="D342" t="s">
        <v>134</v>
      </c>
      <c r="E342" t="s">
        <v>48</v>
      </c>
      <c r="F342" t="s">
        <v>99</v>
      </c>
      <c r="G342">
        <v>1</v>
      </c>
      <c r="H342" s="5">
        <v>495.45</v>
      </c>
      <c r="I342" s="4">
        <v>0</v>
      </c>
      <c r="J342" s="5">
        <v>495.45</v>
      </c>
      <c r="K342" s="5">
        <v>277.27999999999997</v>
      </c>
      <c r="L342" s="5">
        <v>218.17</v>
      </c>
      <c r="M342" t="s">
        <v>57</v>
      </c>
      <c r="N342" t="s">
        <v>71</v>
      </c>
      <c r="O342" t="s">
        <v>44</v>
      </c>
    </row>
    <row r="343" spans="1:15">
      <c r="A343" t="s">
        <v>673</v>
      </c>
      <c r="B343" s="3">
        <v>45856</v>
      </c>
      <c r="C343" t="s">
        <v>674</v>
      </c>
      <c r="D343" t="s">
        <v>95</v>
      </c>
      <c r="E343" t="s">
        <v>48</v>
      </c>
      <c r="F343" t="s">
        <v>99</v>
      </c>
      <c r="G343">
        <v>1</v>
      </c>
      <c r="H343" s="5">
        <v>2917.49</v>
      </c>
      <c r="I343" s="4">
        <v>0</v>
      </c>
      <c r="J343" s="5">
        <v>2917.49</v>
      </c>
      <c r="K343" s="5">
        <v>2216.3000000000002</v>
      </c>
      <c r="L343" s="5">
        <v>701.19</v>
      </c>
      <c r="M343" t="s">
        <v>35</v>
      </c>
      <c r="N343" t="s">
        <v>36</v>
      </c>
      <c r="O343" t="s">
        <v>37</v>
      </c>
    </row>
    <row r="344" spans="1:15">
      <c r="A344" t="s">
        <v>675</v>
      </c>
      <c r="B344" s="3">
        <v>45889</v>
      </c>
      <c r="C344" t="s">
        <v>676</v>
      </c>
      <c r="D344" t="s">
        <v>32</v>
      </c>
      <c r="E344" t="s">
        <v>61</v>
      </c>
      <c r="F344" t="s">
        <v>89</v>
      </c>
      <c r="G344">
        <v>5</v>
      </c>
      <c r="H344" s="5">
        <v>3768.82</v>
      </c>
      <c r="I344" s="4">
        <v>0.2</v>
      </c>
      <c r="J344" s="5">
        <v>15075.28</v>
      </c>
      <c r="K344" s="5">
        <v>9751.81</v>
      </c>
      <c r="L344" s="5">
        <v>5323.47</v>
      </c>
      <c r="M344" t="s">
        <v>35</v>
      </c>
      <c r="N344" t="s">
        <v>63</v>
      </c>
      <c r="O344" t="s">
        <v>44</v>
      </c>
    </row>
    <row r="345" spans="1:15">
      <c r="A345" t="s">
        <v>677</v>
      </c>
      <c r="B345" s="3">
        <v>45851</v>
      </c>
      <c r="C345" t="s">
        <v>657</v>
      </c>
      <c r="D345" t="s">
        <v>95</v>
      </c>
      <c r="E345" t="s">
        <v>33</v>
      </c>
      <c r="F345" t="s">
        <v>34</v>
      </c>
      <c r="G345">
        <v>4</v>
      </c>
      <c r="H345" s="5">
        <v>1633.24</v>
      </c>
      <c r="I345" s="4">
        <v>0.1</v>
      </c>
      <c r="J345" s="5">
        <v>5879.66</v>
      </c>
      <c r="K345" s="5">
        <v>4953.57</v>
      </c>
      <c r="L345" s="5">
        <v>926.09</v>
      </c>
      <c r="M345" t="s">
        <v>35</v>
      </c>
      <c r="N345" t="s">
        <v>36</v>
      </c>
      <c r="O345" t="s">
        <v>37</v>
      </c>
    </row>
    <row r="346" spans="1:15">
      <c r="A346" t="s">
        <v>678</v>
      </c>
      <c r="B346" s="3">
        <v>46013</v>
      </c>
      <c r="C346" t="s">
        <v>679</v>
      </c>
      <c r="D346" t="s">
        <v>52</v>
      </c>
      <c r="E346" t="s">
        <v>41</v>
      </c>
      <c r="F346" t="s">
        <v>42</v>
      </c>
      <c r="G346">
        <v>3</v>
      </c>
      <c r="H346" s="5">
        <v>3807.48</v>
      </c>
      <c r="I346" s="4">
        <v>0.15</v>
      </c>
      <c r="J346" s="5">
        <v>9709.07</v>
      </c>
      <c r="K346" s="5">
        <v>6092.17</v>
      </c>
      <c r="L346" s="5">
        <v>3616.9</v>
      </c>
      <c r="M346" t="s">
        <v>57</v>
      </c>
      <c r="N346" t="s">
        <v>43</v>
      </c>
      <c r="O346" t="s">
        <v>44</v>
      </c>
    </row>
    <row r="347" spans="1:15">
      <c r="A347" t="s">
        <v>680</v>
      </c>
      <c r="B347" s="3">
        <v>45732</v>
      </c>
      <c r="C347" t="s">
        <v>98</v>
      </c>
      <c r="D347" t="s">
        <v>52</v>
      </c>
      <c r="E347" t="s">
        <v>61</v>
      </c>
      <c r="F347" t="s">
        <v>89</v>
      </c>
      <c r="G347">
        <v>5</v>
      </c>
      <c r="H347" s="5">
        <v>1752.17</v>
      </c>
      <c r="I347" s="4">
        <v>0.15</v>
      </c>
      <c r="J347" s="5">
        <v>7446.72</v>
      </c>
      <c r="K347" s="5">
        <v>4608.2299999999996</v>
      </c>
      <c r="L347" s="5">
        <v>2838.49</v>
      </c>
      <c r="M347" t="s">
        <v>57</v>
      </c>
      <c r="N347" t="s">
        <v>71</v>
      </c>
      <c r="O347" t="s">
        <v>44</v>
      </c>
    </row>
    <row r="348" spans="1:15">
      <c r="A348" t="s">
        <v>681</v>
      </c>
      <c r="B348" s="3">
        <v>45732</v>
      </c>
      <c r="C348" t="s">
        <v>682</v>
      </c>
      <c r="D348" t="s">
        <v>56</v>
      </c>
      <c r="E348" t="s">
        <v>61</v>
      </c>
      <c r="F348" t="s">
        <v>89</v>
      </c>
      <c r="G348">
        <v>5</v>
      </c>
      <c r="H348" s="5">
        <v>2784.71</v>
      </c>
      <c r="I348" s="4">
        <v>0.15</v>
      </c>
      <c r="J348" s="5">
        <v>11835.02</v>
      </c>
      <c r="K348" s="5">
        <v>9637.82</v>
      </c>
      <c r="L348" s="5">
        <v>2197.1999999999998</v>
      </c>
      <c r="M348" t="s">
        <v>57</v>
      </c>
      <c r="N348" t="s">
        <v>36</v>
      </c>
      <c r="O348" t="s">
        <v>44</v>
      </c>
    </row>
    <row r="349" spans="1:15">
      <c r="A349" t="s">
        <v>683</v>
      </c>
      <c r="B349" s="3">
        <v>45790</v>
      </c>
      <c r="C349" t="s">
        <v>316</v>
      </c>
      <c r="D349" t="s">
        <v>47</v>
      </c>
      <c r="E349" t="s">
        <v>48</v>
      </c>
      <c r="F349" t="s">
        <v>49</v>
      </c>
      <c r="G349">
        <v>2</v>
      </c>
      <c r="H349" s="5">
        <v>1849.23</v>
      </c>
      <c r="I349" s="4">
        <v>0</v>
      </c>
      <c r="J349" s="5">
        <v>3698.46</v>
      </c>
      <c r="K349" s="5">
        <v>2905.96</v>
      </c>
      <c r="L349" s="5">
        <v>792.5</v>
      </c>
      <c r="M349" t="s">
        <v>57</v>
      </c>
      <c r="N349" t="s">
        <v>71</v>
      </c>
      <c r="O349" t="s">
        <v>37</v>
      </c>
    </row>
    <row r="350" spans="1:15">
      <c r="A350" t="s">
        <v>684</v>
      </c>
      <c r="B350" s="3">
        <v>45865</v>
      </c>
      <c r="C350" t="s">
        <v>685</v>
      </c>
      <c r="D350" t="s">
        <v>40</v>
      </c>
      <c r="E350" t="s">
        <v>61</v>
      </c>
      <c r="F350" t="s">
        <v>81</v>
      </c>
      <c r="G350">
        <v>2</v>
      </c>
      <c r="H350" s="5">
        <v>4917</v>
      </c>
      <c r="I350" s="4">
        <v>0.2</v>
      </c>
      <c r="J350" s="5">
        <v>7867.2</v>
      </c>
      <c r="K350" s="5">
        <v>5586.39</v>
      </c>
      <c r="L350" s="5">
        <v>2280.81</v>
      </c>
      <c r="M350" t="s">
        <v>35</v>
      </c>
      <c r="N350" t="s">
        <v>63</v>
      </c>
      <c r="O350" t="s">
        <v>37</v>
      </c>
    </row>
    <row r="351" spans="1:15">
      <c r="A351" t="s">
        <v>686</v>
      </c>
      <c r="B351" s="3">
        <v>46134</v>
      </c>
      <c r="C351" t="s">
        <v>521</v>
      </c>
      <c r="D351" t="s">
        <v>52</v>
      </c>
      <c r="E351" t="s">
        <v>48</v>
      </c>
      <c r="F351" t="s">
        <v>102</v>
      </c>
      <c r="G351">
        <v>1</v>
      </c>
      <c r="H351" s="5">
        <v>2160.4299999999998</v>
      </c>
      <c r="I351" s="4">
        <v>0.2</v>
      </c>
      <c r="J351" s="5">
        <v>1728.34</v>
      </c>
      <c r="K351" s="5">
        <v>951.59</v>
      </c>
      <c r="L351" s="5">
        <v>776.75</v>
      </c>
      <c r="M351" t="s">
        <v>35</v>
      </c>
      <c r="N351" t="s">
        <v>43</v>
      </c>
      <c r="O351" t="s">
        <v>44</v>
      </c>
    </row>
    <row r="352" spans="1:15">
      <c r="A352" t="s">
        <v>687</v>
      </c>
      <c r="B352" s="3">
        <v>45858</v>
      </c>
      <c r="C352" t="s">
        <v>688</v>
      </c>
      <c r="D352" t="s">
        <v>66</v>
      </c>
      <c r="E352" t="s">
        <v>33</v>
      </c>
      <c r="F352" t="s">
        <v>96</v>
      </c>
      <c r="G352">
        <v>2</v>
      </c>
      <c r="H352" s="5">
        <v>731.31</v>
      </c>
      <c r="I352" s="4">
        <v>0.05</v>
      </c>
      <c r="J352" s="5">
        <v>1389.49</v>
      </c>
      <c r="K352" s="5">
        <v>1150.95</v>
      </c>
      <c r="L352" s="5">
        <v>238.54</v>
      </c>
      <c r="M352" t="s">
        <v>35</v>
      </c>
      <c r="N352" t="s">
        <v>63</v>
      </c>
      <c r="O352" t="s">
        <v>44</v>
      </c>
    </row>
    <row r="353" spans="1:15">
      <c r="A353" t="s">
        <v>689</v>
      </c>
      <c r="B353" s="3">
        <v>46039</v>
      </c>
      <c r="C353" t="s">
        <v>690</v>
      </c>
      <c r="D353" t="s">
        <v>95</v>
      </c>
      <c r="E353" t="s">
        <v>61</v>
      </c>
      <c r="F353" t="s">
        <v>81</v>
      </c>
      <c r="G353">
        <v>5</v>
      </c>
      <c r="H353" s="5">
        <v>4141.04</v>
      </c>
      <c r="I353" s="4">
        <v>0</v>
      </c>
      <c r="J353" s="5">
        <v>20705.2</v>
      </c>
      <c r="K353" s="5">
        <v>13034.35</v>
      </c>
      <c r="L353" s="5">
        <v>7670.85</v>
      </c>
      <c r="M353" t="s">
        <v>35</v>
      </c>
      <c r="N353" t="s">
        <v>36</v>
      </c>
      <c r="O353" t="s">
        <v>44</v>
      </c>
    </row>
    <row r="354" spans="1:15">
      <c r="A354" t="s">
        <v>691</v>
      </c>
      <c r="B354" s="3">
        <v>45703</v>
      </c>
      <c r="C354" t="s">
        <v>692</v>
      </c>
      <c r="D354" t="s">
        <v>95</v>
      </c>
      <c r="E354" t="s">
        <v>48</v>
      </c>
      <c r="F354" t="s">
        <v>49</v>
      </c>
      <c r="G354">
        <v>5</v>
      </c>
      <c r="H354" s="5">
        <v>2882.7</v>
      </c>
      <c r="I354" s="4">
        <v>0.2</v>
      </c>
      <c r="J354" s="5">
        <v>11530.8</v>
      </c>
      <c r="K354" s="5">
        <v>6490.76</v>
      </c>
      <c r="L354" s="5">
        <v>5040.04</v>
      </c>
      <c r="M354" t="s">
        <v>35</v>
      </c>
      <c r="N354" t="s">
        <v>43</v>
      </c>
      <c r="O354" t="s">
        <v>44</v>
      </c>
    </row>
    <row r="355" spans="1:15">
      <c r="A355" t="s">
        <v>693</v>
      </c>
      <c r="B355" s="3">
        <v>45811</v>
      </c>
      <c r="C355" t="s">
        <v>538</v>
      </c>
      <c r="D355" t="s">
        <v>60</v>
      </c>
      <c r="E355" t="s">
        <v>41</v>
      </c>
      <c r="F355" t="s">
        <v>53</v>
      </c>
      <c r="G355">
        <v>2</v>
      </c>
      <c r="H355" s="5">
        <v>656.21</v>
      </c>
      <c r="I355" s="4">
        <v>0.15</v>
      </c>
      <c r="J355" s="5">
        <v>1115.56</v>
      </c>
      <c r="K355" s="5">
        <v>642.08000000000004</v>
      </c>
      <c r="L355" s="5">
        <v>473.48</v>
      </c>
      <c r="M355" t="s">
        <v>57</v>
      </c>
      <c r="N355" t="s">
        <v>43</v>
      </c>
      <c r="O355" t="s">
        <v>44</v>
      </c>
    </row>
    <row r="356" spans="1:15">
      <c r="A356" t="s">
        <v>694</v>
      </c>
      <c r="B356" s="3">
        <v>46235</v>
      </c>
      <c r="C356" t="s">
        <v>695</v>
      </c>
      <c r="D356" t="s">
        <v>66</v>
      </c>
      <c r="E356" t="s">
        <v>33</v>
      </c>
      <c r="F356" t="s">
        <v>176</v>
      </c>
      <c r="G356">
        <v>4</v>
      </c>
      <c r="H356" s="5">
        <v>2541.06</v>
      </c>
      <c r="I356" s="4">
        <v>0</v>
      </c>
      <c r="J356" s="5">
        <v>10164.24</v>
      </c>
      <c r="K356" s="5">
        <v>5975.7</v>
      </c>
      <c r="L356" s="5">
        <v>4188.54</v>
      </c>
      <c r="M356" t="s">
        <v>57</v>
      </c>
      <c r="N356" t="s">
        <v>36</v>
      </c>
      <c r="O356" t="s">
        <v>44</v>
      </c>
    </row>
    <row r="357" spans="1:15">
      <c r="A357" t="s">
        <v>696</v>
      </c>
      <c r="B357" s="3">
        <v>46029</v>
      </c>
      <c r="C357" t="s">
        <v>555</v>
      </c>
      <c r="D357" t="s">
        <v>47</v>
      </c>
      <c r="E357" t="s">
        <v>61</v>
      </c>
      <c r="F357" t="s">
        <v>89</v>
      </c>
      <c r="G357">
        <v>2</v>
      </c>
      <c r="H357" s="5">
        <v>2974.85</v>
      </c>
      <c r="I357" s="4">
        <v>0.05</v>
      </c>
      <c r="J357" s="5">
        <v>5652.21</v>
      </c>
      <c r="K357" s="5">
        <v>3132.45</v>
      </c>
      <c r="L357" s="5">
        <v>2519.7600000000002</v>
      </c>
      <c r="M357" t="s">
        <v>35</v>
      </c>
      <c r="N357" t="s">
        <v>71</v>
      </c>
      <c r="O357" t="s">
        <v>44</v>
      </c>
    </row>
    <row r="358" spans="1:15">
      <c r="A358" t="s">
        <v>697</v>
      </c>
      <c r="B358" s="3">
        <v>45978</v>
      </c>
      <c r="C358" t="s">
        <v>542</v>
      </c>
      <c r="D358" t="s">
        <v>74</v>
      </c>
      <c r="E358" t="s">
        <v>48</v>
      </c>
      <c r="F358" t="s">
        <v>99</v>
      </c>
      <c r="G358">
        <v>5</v>
      </c>
      <c r="H358" s="5">
        <v>2970.79</v>
      </c>
      <c r="I358" s="4">
        <v>0.05</v>
      </c>
      <c r="J358" s="5">
        <v>14111.25</v>
      </c>
      <c r="K358" s="5">
        <v>10371.620000000001</v>
      </c>
      <c r="L358" s="5">
        <v>3739.63</v>
      </c>
      <c r="M358" t="s">
        <v>57</v>
      </c>
      <c r="N358" t="s">
        <v>71</v>
      </c>
      <c r="O358" t="s">
        <v>37</v>
      </c>
    </row>
    <row r="359" spans="1:15">
      <c r="A359" t="s">
        <v>698</v>
      </c>
      <c r="B359" s="3">
        <v>46112</v>
      </c>
      <c r="C359" t="s">
        <v>55</v>
      </c>
      <c r="D359" t="s">
        <v>134</v>
      </c>
      <c r="E359" t="s">
        <v>61</v>
      </c>
      <c r="F359" t="s">
        <v>129</v>
      </c>
      <c r="G359">
        <v>1</v>
      </c>
      <c r="H359" s="5">
        <v>2778.76</v>
      </c>
      <c r="I359" s="4">
        <v>0.1</v>
      </c>
      <c r="J359" s="5">
        <v>2500.88</v>
      </c>
      <c r="K359" s="5">
        <v>1797.96</v>
      </c>
      <c r="L359" s="5">
        <v>702.92</v>
      </c>
      <c r="M359" t="s">
        <v>57</v>
      </c>
      <c r="N359" t="s">
        <v>43</v>
      </c>
      <c r="O359" t="s">
        <v>44</v>
      </c>
    </row>
    <row r="360" spans="1:15">
      <c r="A360" t="s">
        <v>699</v>
      </c>
      <c r="B360" s="3">
        <v>46167</v>
      </c>
      <c r="C360" t="s">
        <v>634</v>
      </c>
      <c r="D360" t="s">
        <v>47</v>
      </c>
      <c r="E360" t="s">
        <v>33</v>
      </c>
      <c r="F360" t="s">
        <v>92</v>
      </c>
      <c r="G360">
        <v>3</v>
      </c>
      <c r="H360" s="5">
        <v>4401.7299999999996</v>
      </c>
      <c r="I360" s="4">
        <v>0.2</v>
      </c>
      <c r="J360" s="5">
        <v>10564.15</v>
      </c>
      <c r="K360" s="5">
        <v>8027.54</v>
      </c>
      <c r="L360" s="5">
        <v>2536.61</v>
      </c>
      <c r="M360" t="s">
        <v>57</v>
      </c>
      <c r="N360" t="s">
        <v>63</v>
      </c>
      <c r="O360" t="s">
        <v>44</v>
      </c>
    </row>
    <row r="361" spans="1:15">
      <c r="A361" t="s">
        <v>700</v>
      </c>
      <c r="B361" s="3">
        <v>46053</v>
      </c>
      <c r="C361" t="s">
        <v>445</v>
      </c>
      <c r="D361" t="s">
        <v>95</v>
      </c>
      <c r="E361" t="s">
        <v>61</v>
      </c>
      <c r="F361" t="s">
        <v>89</v>
      </c>
      <c r="G361">
        <v>1</v>
      </c>
      <c r="H361" s="5">
        <v>4197.3500000000004</v>
      </c>
      <c r="I361" s="4">
        <v>0</v>
      </c>
      <c r="J361" s="5">
        <v>4197.3500000000004</v>
      </c>
      <c r="K361" s="5">
        <v>2398.23</v>
      </c>
      <c r="L361" s="5">
        <v>1799.12</v>
      </c>
      <c r="M361" t="s">
        <v>57</v>
      </c>
      <c r="N361" t="s">
        <v>63</v>
      </c>
      <c r="O361" t="s">
        <v>37</v>
      </c>
    </row>
    <row r="362" spans="1:15">
      <c r="A362" t="s">
        <v>701</v>
      </c>
      <c r="B362" s="3">
        <v>46245</v>
      </c>
      <c r="C362" t="s">
        <v>502</v>
      </c>
      <c r="D362" t="s">
        <v>95</v>
      </c>
      <c r="E362" t="s">
        <v>41</v>
      </c>
      <c r="F362" t="s">
        <v>53</v>
      </c>
      <c r="G362">
        <v>2</v>
      </c>
      <c r="H362" s="5">
        <v>555.92999999999995</v>
      </c>
      <c r="I362" s="4">
        <v>0</v>
      </c>
      <c r="J362" s="5">
        <v>1111.8599999999999</v>
      </c>
      <c r="K362" s="5">
        <v>709.26</v>
      </c>
      <c r="L362" s="5">
        <v>402.6</v>
      </c>
      <c r="M362" t="s">
        <v>35</v>
      </c>
      <c r="N362" t="s">
        <v>43</v>
      </c>
      <c r="O362" t="s">
        <v>44</v>
      </c>
    </row>
    <row r="363" spans="1:15">
      <c r="A363" t="s">
        <v>702</v>
      </c>
      <c r="B363" s="3">
        <v>46218</v>
      </c>
      <c r="C363" t="s">
        <v>703</v>
      </c>
      <c r="D363" t="s">
        <v>56</v>
      </c>
      <c r="E363" t="s">
        <v>48</v>
      </c>
      <c r="F363" t="s">
        <v>113</v>
      </c>
      <c r="G363">
        <v>5</v>
      </c>
      <c r="H363" s="5">
        <v>1981.58</v>
      </c>
      <c r="I363" s="4">
        <v>0</v>
      </c>
      <c r="J363" s="5">
        <v>9907.9</v>
      </c>
      <c r="K363" s="5">
        <v>7052.82</v>
      </c>
      <c r="L363" s="5">
        <v>2855.08</v>
      </c>
      <c r="M363" t="s">
        <v>35</v>
      </c>
      <c r="N363" t="s">
        <v>43</v>
      </c>
      <c r="O363" t="s">
        <v>44</v>
      </c>
    </row>
    <row r="364" spans="1:15">
      <c r="A364" t="s">
        <v>704</v>
      </c>
      <c r="B364" s="3">
        <v>45926</v>
      </c>
      <c r="C364" t="s">
        <v>600</v>
      </c>
      <c r="D364" t="s">
        <v>95</v>
      </c>
      <c r="E364" t="s">
        <v>33</v>
      </c>
      <c r="F364" t="s">
        <v>92</v>
      </c>
      <c r="G364">
        <v>5</v>
      </c>
      <c r="H364" s="5">
        <v>912.43</v>
      </c>
      <c r="I364" s="4">
        <v>0.1</v>
      </c>
      <c r="J364" s="5">
        <v>4105.93</v>
      </c>
      <c r="K364" s="5">
        <v>2574.62</v>
      </c>
      <c r="L364" s="5">
        <v>1531.31</v>
      </c>
      <c r="M364" t="s">
        <v>57</v>
      </c>
      <c r="N364" t="s">
        <v>36</v>
      </c>
      <c r="O364" t="s">
        <v>44</v>
      </c>
    </row>
    <row r="365" spans="1:15">
      <c r="A365" t="s">
        <v>705</v>
      </c>
      <c r="B365" s="3">
        <v>45910</v>
      </c>
      <c r="C365" t="s">
        <v>706</v>
      </c>
      <c r="D365" t="s">
        <v>40</v>
      </c>
      <c r="E365" t="s">
        <v>48</v>
      </c>
      <c r="F365" t="s">
        <v>49</v>
      </c>
      <c r="G365">
        <v>1</v>
      </c>
      <c r="H365" s="5">
        <v>357.2</v>
      </c>
      <c r="I365" s="4">
        <v>0</v>
      </c>
      <c r="J365" s="5">
        <v>357.2</v>
      </c>
      <c r="K365" s="5">
        <v>287.70999999999998</v>
      </c>
      <c r="L365" s="5">
        <v>69.489999999999995</v>
      </c>
      <c r="M365" t="s">
        <v>57</v>
      </c>
      <c r="N365" t="s">
        <v>71</v>
      </c>
      <c r="O365" t="s">
        <v>37</v>
      </c>
    </row>
    <row r="366" spans="1:15">
      <c r="A366" t="s">
        <v>707</v>
      </c>
      <c r="B366" s="3">
        <v>46190</v>
      </c>
      <c r="C366" t="s">
        <v>708</v>
      </c>
      <c r="D366" t="s">
        <v>40</v>
      </c>
      <c r="E366" t="s">
        <v>41</v>
      </c>
      <c r="F366" t="s">
        <v>53</v>
      </c>
      <c r="G366">
        <v>5</v>
      </c>
      <c r="H366" s="5">
        <v>3306.44</v>
      </c>
      <c r="I366" s="4">
        <v>0</v>
      </c>
      <c r="J366" s="5">
        <v>16532.2</v>
      </c>
      <c r="K366" s="5">
        <v>13702.95</v>
      </c>
      <c r="L366" s="5">
        <v>2829.25</v>
      </c>
      <c r="M366" t="s">
        <v>57</v>
      </c>
      <c r="N366" t="s">
        <v>36</v>
      </c>
      <c r="O366" t="s">
        <v>44</v>
      </c>
    </row>
    <row r="367" spans="1:15">
      <c r="A367" t="s">
        <v>709</v>
      </c>
      <c r="B367" s="3">
        <v>45792</v>
      </c>
      <c r="C367" t="s">
        <v>710</v>
      </c>
      <c r="D367" t="s">
        <v>40</v>
      </c>
      <c r="E367" t="s">
        <v>41</v>
      </c>
      <c r="F367" t="s">
        <v>153</v>
      </c>
      <c r="G367">
        <v>2</v>
      </c>
      <c r="H367" s="5">
        <v>3011.78</v>
      </c>
      <c r="I367" s="4">
        <v>0</v>
      </c>
      <c r="J367" s="5">
        <v>6023.56</v>
      </c>
      <c r="K367" s="5">
        <v>4856.4799999999996</v>
      </c>
      <c r="L367" s="5">
        <v>1167.08</v>
      </c>
      <c r="M367" t="s">
        <v>35</v>
      </c>
      <c r="N367" t="s">
        <v>43</v>
      </c>
      <c r="O367" t="s">
        <v>37</v>
      </c>
    </row>
    <row r="368" spans="1:15">
      <c r="A368" t="s">
        <v>711</v>
      </c>
      <c r="B368" s="3">
        <v>45691</v>
      </c>
      <c r="C368" t="s">
        <v>712</v>
      </c>
      <c r="D368" t="s">
        <v>74</v>
      </c>
      <c r="E368" t="s">
        <v>41</v>
      </c>
      <c r="F368" t="s">
        <v>119</v>
      </c>
      <c r="G368">
        <v>1</v>
      </c>
      <c r="H368" s="5">
        <v>436.37</v>
      </c>
      <c r="I368" s="4">
        <v>0.2</v>
      </c>
      <c r="J368" s="5">
        <v>349.1</v>
      </c>
      <c r="K368" s="5">
        <v>208.75</v>
      </c>
      <c r="L368" s="5">
        <v>140.35</v>
      </c>
      <c r="M368" t="s">
        <v>57</v>
      </c>
      <c r="N368" t="s">
        <v>43</v>
      </c>
      <c r="O368" t="s">
        <v>44</v>
      </c>
    </row>
    <row r="369" spans="1:15">
      <c r="A369" t="s">
        <v>713</v>
      </c>
      <c r="B369" s="3">
        <v>45873</v>
      </c>
      <c r="C369" t="s">
        <v>714</v>
      </c>
      <c r="D369" t="s">
        <v>134</v>
      </c>
      <c r="E369" t="s">
        <v>33</v>
      </c>
      <c r="F369" t="s">
        <v>34</v>
      </c>
      <c r="G369">
        <v>5</v>
      </c>
      <c r="H369" s="5">
        <v>4587.76</v>
      </c>
      <c r="I369" s="4">
        <v>0.15</v>
      </c>
      <c r="J369" s="5">
        <v>19497.98</v>
      </c>
      <c r="K369" s="5">
        <v>12848.16</v>
      </c>
      <c r="L369" s="5">
        <v>6649.82</v>
      </c>
      <c r="M369" t="s">
        <v>35</v>
      </c>
      <c r="N369" t="s">
        <v>43</v>
      </c>
      <c r="O369" t="s">
        <v>44</v>
      </c>
    </row>
    <row r="370" spans="1:15">
      <c r="A370" t="s">
        <v>715</v>
      </c>
      <c r="B370" s="3">
        <v>45999</v>
      </c>
      <c r="C370" t="s">
        <v>716</v>
      </c>
      <c r="D370" t="s">
        <v>40</v>
      </c>
      <c r="E370" t="s">
        <v>48</v>
      </c>
      <c r="F370" t="s">
        <v>102</v>
      </c>
      <c r="G370">
        <v>4</v>
      </c>
      <c r="H370" s="5">
        <v>2217.4299999999998</v>
      </c>
      <c r="I370" s="4">
        <v>0</v>
      </c>
      <c r="J370" s="5">
        <v>8869.7199999999993</v>
      </c>
      <c r="K370" s="5">
        <v>5603.06</v>
      </c>
      <c r="L370" s="5">
        <v>3266.66</v>
      </c>
      <c r="M370" t="s">
        <v>57</v>
      </c>
      <c r="N370" t="s">
        <v>43</v>
      </c>
      <c r="O370" t="s">
        <v>44</v>
      </c>
    </row>
    <row r="371" spans="1:15">
      <c r="A371" t="s">
        <v>717</v>
      </c>
      <c r="B371" s="3">
        <v>45973</v>
      </c>
      <c r="C371" t="s">
        <v>718</v>
      </c>
      <c r="D371" t="s">
        <v>74</v>
      </c>
      <c r="E371" t="s">
        <v>41</v>
      </c>
      <c r="F371" t="s">
        <v>42</v>
      </c>
      <c r="G371">
        <v>5</v>
      </c>
      <c r="H371" s="5">
        <v>2709.28</v>
      </c>
      <c r="I371" s="4">
        <v>0</v>
      </c>
      <c r="J371" s="5">
        <v>13546.4</v>
      </c>
      <c r="K371" s="5">
        <v>7882.48</v>
      </c>
      <c r="L371" s="5">
        <v>5663.92</v>
      </c>
      <c r="M371" t="s">
        <v>35</v>
      </c>
      <c r="N371" t="s">
        <v>71</v>
      </c>
      <c r="O371" t="s">
        <v>44</v>
      </c>
    </row>
    <row r="372" spans="1:15">
      <c r="A372" t="s">
        <v>719</v>
      </c>
      <c r="B372" s="3">
        <v>45762</v>
      </c>
      <c r="C372" t="s">
        <v>628</v>
      </c>
      <c r="D372" t="s">
        <v>60</v>
      </c>
      <c r="E372" t="s">
        <v>33</v>
      </c>
      <c r="F372" t="s">
        <v>176</v>
      </c>
      <c r="G372">
        <v>5</v>
      </c>
      <c r="H372" s="5">
        <v>2885.07</v>
      </c>
      <c r="I372" s="4">
        <v>0</v>
      </c>
      <c r="J372" s="5">
        <v>14425.35</v>
      </c>
      <c r="K372" s="5">
        <v>11471.18</v>
      </c>
      <c r="L372" s="5">
        <v>2954.17</v>
      </c>
      <c r="M372" t="s">
        <v>57</v>
      </c>
      <c r="N372" t="s">
        <v>63</v>
      </c>
      <c r="O372" t="s">
        <v>44</v>
      </c>
    </row>
    <row r="373" spans="1:15">
      <c r="A373" t="s">
        <v>720</v>
      </c>
      <c r="B373" s="3">
        <v>45786</v>
      </c>
      <c r="C373" t="s">
        <v>106</v>
      </c>
      <c r="D373" t="s">
        <v>56</v>
      </c>
      <c r="E373" t="s">
        <v>48</v>
      </c>
      <c r="F373" t="s">
        <v>49</v>
      </c>
      <c r="G373">
        <v>3</v>
      </c>
      <c r="H373" s="5">
        <v>1058.8</v>
      </c>
      <c r="I373" s="4">
        <v>0</v>
      </c>
      <c r="J373" s="5">
        <v>3176.4</v>
      </c>
      <c r="K373" s="5">
        <v>1825.41</v>
      </c>
      <c r="L373" s="5">
        <v>1350.99</v>
      </c>
      <c r="M373" t="s">
        <v>57</v>
      </c>
      <c r="N373" t="s">
        <v>71</v>
      </c>
      <c r="O373" t="s">
        <v>44</v>
      </c>
    </row>
    <row r="374" spans="1:15">
      <c r="A374" t="s">
        <v>721</v>
      </c>
      <c r="B374" s="3">
        <v>46133</v>
      </c>
      <c r="C374" t="s">
        <v>722</v>
      </c>
      <c r="D374" t="s">
        <v>134</v>
      </c>
      <c r="E374" t="s">
        <v>41</v>
      </c>
      <c r="F374" t="s">
        <v>153</v>
      </c>
      <c r="G374">
        <v>5</v>
      </c>
      <c r="H374" s="5">
        <v>1387.92</v>
      </c>
      <c r="I374" s="4">
        <v>0.2</v>
      </c>
      <c r="J374" s="5">
        <v>5551.68</v>
      </c>
      <c r="K374" s="5">
        <v>3430.57</v>
      </c>
      <c r="L374" s="5">
        <v>2121.11</v>
      </c>
      <c r="M374" t="s">
        <v>35</v>
      </c>
      <c r="N374" t="s">
        <v>36</v>
      </c>
      <c r="O374" t="s">
        <v>44</v>
      </c>
    </row>
    <row r="375" spans="1:15">
      <c r="A375" t="s">
        <v>723</v>
      </c>
      <c r="B375" s="3">
        <v>46237</v>
      </c>
      <c r="C375" t="s">
        <v>348</v>
      </c>
      <c r="D375" t="s">
        <v>56</v>
      </c>
      <c r="E375" t="s">
        <v>41</v>
      </c>
      <c r="F375" t="s">
        <v>42</v>
      </c>
      <c r="G375">
        <v>4</v>
      </c>
      <c r="H375" s="5">
        <v>1347.75</v>
      </c>
      <c r="I375" s="4">
        <v>0.2</v>
      </c>
      <c r="J375" s="5">
        <v>4312.8</v>
      </c>
      <c r="K375" s="5">
        <v>2596.62</v>
      </c>
      <c r="L375" s="5">
        <v>1716.18</v>
      </c>
      <c r="M375" t="s">
        <v>57</v>
      </c>
      <c r="N375" t="s">
        <v>36</v>
      </c>
      <c r="O375" t="s">
        <v>44</v>
      </c>
    </row>
    <row r="376" spans="1:15">
      <c r="A376" t="s">
        <v>724</v>
      </c>
      <c r="B376" s="3">
        <v>46260</v>
      </c>
      <c r="C376" t="s">
        <v>725</v>
      </c>
      <c r="D376" t="s">
        <v>52</v>
      </c>
      <c r="E376" t="s">
        <v>48</v>
      </c>
      <c r="F376" t="s">
        <v>102</v>
      </c>
      <c r="G376">
        <v>5</v>
      </c>
      <c r="H376" s="5">
        <v>1200.31</v>
      </c>
      <c r="I376" s="4">
        <v>0</v>
      </c>
      <c r="J376" s="5">
        <v>6001.55</v>
      </c>
      <c r="K376" s="5">
        <v>4478.75</v>
      </c>
      <c r="L376" s="5">
        <v>1522.8</v>
      </c>
      <c r="M376" t="s">
        <v>35</v>
      </c>
      <c r="N376" t="s">
        <v>43</v>
      </c>
      <c r="O376" t="s">
        <v>37</v>
      </c>
    </row>
    <row r="377" spans="1:15">
      <c r="A377" t="s">
        <v>726</v>
      </c>
      <c r="B377" s="3">
        <v>45708</v>
      </c>
      <c r="C377" t="s">
        <v>727</v>
      </c>
      <c r="D377" t="s">
        <v>95</v>
      </c>
      <c r="E377" t="s">
        <v>61</v>
      </c>
      <c r="F377" t="s">
        <v>129</v>
      </c>
      <c r="G377">
        <v>5</v>
      </c>
      <c r="H377" s="5">
        <v>5454.8</v>
      </c>
      <c r="I377" s="4">
        <v>0.15</v>
      </c>
      <c r="J377" s="5">
        <v>23182.9</v>
      </c>
      <c r="K377" s="5">
        <v>18788.45</v>
      </c>
      <c r="L377" s="5">
        <v>4394.45</v>
      </c>
      <c r="M377" t="s">
        <v>35</v>
      </c>
      <c r="N377" t="s">
        <v>63</v>
      </c>
      <c r="O377" t="s">
        <v>37</v>
      </c>
    </row>
    <row r="378" spans="1:15">
      <c r="A378" t="s">
        <v>728</v>
      </c>
      <c r="B378" s="3">
        <v>45879</v>
      </c>
      <c r="C378" t="s">
        <v>729</v>
      </c>
      <c r="D378" t="s">
        <v>60</v>
      </c>
      <c r="E378" t="s">
        <v>33</v>
      </c>
      <c r="F378" t="s">
        <v>96</v>
      </c>
      <c r="G378">
        <v>4</v>
      </c>
      <c r="H378" s="5">
        <v>2995.33</v>
      </c>
      <c r="I378" s="4">
        <v>0.05</v>
      </c>
      <c r="J378" s="5">
        <v>11382.25</v>
      </c>
      <c r="K378" s="5">
        <v>9444.16</v>
      </c>
      <c r="L378" s="5">
        <v>1938.09</v>
      </c>
      <c r="M378" t="s">
        <v>57</v>
      </c>
      <c r="N378" t="s">
        <v>43</v>
      </c>
      <c r="O378" t="s">
        <v>44</v>
      </c>
    </row>
    <row r="379" spans="1:15">
      <c r="A379" t="s">
        <v>730</v>
      </c>
      <c r="B379" s="3">
        <v>46191</v>
      </c>
      <c r="C379" t="s">
        <v>731</v>
      </c>
      <c r="D379" t="s">
        <v>134</v>
      </c>
      <c r="E379" t="s">
        <v>41</v>
      </c>
      <c r="F379" t="s">
        <v>42</v>
      </c>
      <c r="G379">
        <v>3</v>
      </c>
      <c r="H379" s="5">
        <v>3956.03</v>
      </c>
      <c r="I379" s="4">
        <v>0.05</v>
      </c>
      <c r="J379" s="5">
        <v>11274.69</v>
      </c>
      <c r="K379" s="5">
        <v>6242.9</v>
      </c>
      <c r="L379" s="5">
        <v>5031.79</v>
      </c>
      <c r="M379" t="s">
        <v>35</v>
      </c>
      <c r="N379" t="s">
        <v>43</v>
      </c>
      <c r="O379" t="s">
        <v>44</v>
      </c>
    </row>
    <row r="380" spans="1:15">
      <c r="A380" t="s">
        <v>732</v>
      </c>
      <c r="B380" s="3">
        <v>45988</v>
      </c>
      <c r="C380" t="s">
        <v>540</v>
      </c>
      <c r="D380" t="s">
        <v>60</v>
      </c>
      <c r="E380" t="s">
        <v>33</v>
      </c>
      <c r="F380" t="s">
        <v>34</v>
      </c>
      <c r="G380">
        <v>1</v>
      </c>
      <c r="H380" s="5">
        <v>3513.78</v>
      </c>
      <c r="I380" s="4">
        <v>0</v>
      </c>
      <c r="J380" s="5">
        <v>3513.78</v>
      </c>
      <c r="K380" s="5">
        <v>2896.76</v>
      </c>
      <c r="L380" s="5">
        <v>617.02</v>
      </c>
      <c r="M380" t="s">
        <v>57</v>
      </c>
      <c r="N380" t="s">
        <v>63</v>
      </c>
      <c r="O380" t="s">
        <v>37</v>
      </c>
    </row>
    <row r="381" spans="1:15">
      <c r="A381" t="s">
        <v>733</v>
      </c>
      <c r="B381" s="3">
        <v>46208</v>
      </c>
      <c r="C381" t="s">
        <v>734</v>
      </c>
      <c r="D381" t="s">
        <v>74</v>
      </c>
      <c r="E381" t="s">
        <v>61</v>
      </c>
      <c r="F381" t="s">
        <v>84</v>
      </c>
      <c r="G381">
        <v>5</v>
      </c>
      <c r="H381" s="5">
        <v>3037.65</v>
      </c>
      <c r="I381" s="4">
        <v>0.2</v>
      </c>
      <c r="J381" s="5">
        <v>12150.6</v>
      </c>
      <c r="K381" s="5">
        <v>7063.26</v>
      </c>
      <c r="L381" s="5">
        <v>5087.34</v>
      </c>
      <c r="M381" t="s">
        <v>35</v>
      </c>
      <c r="N381" t="s">
        <v>63</v>
      </c>
      <c r="O381" t="s">
        <v>44</v>
      </c>
    </row>
    <row r="382" spans="1:15">
      <c r="A382" t="s">
        <v>735</v>
      </c>
      <c r="B382" s="3">
        <v>45684</v>
      </c>
      <c r="C382" t="s">
        <v>727</v>
      </c>
      <c r="D382" t="s">
        <v>40</v>
      </c>
      <c r="E382" t="s">
        <v>61</v>
      </c>
      <c r="F382" t="s">
        <v>62</v>
      </c>
      <c r="G382">
        <v>3</v>
      </c>
      <c r="H382" s="5">
        <v>584.27</v>
      </c>
      <c r="I382" s="4">
        <v>0</v>
      </c>
      <c r="J382" s="5">
        <v>1752.81</v>
      </c>
      <c r="K382" s="5">
        <v>1096.33</v>
      </c>
      <c r="L382" s="5">
        <v>656.48</v>
      </c>
      <c r="M382" t="s">
        <v>35</v>
      </c>
      <c r="N382" t="s">
        <v>71</v>
      </c>
      <c r="O382" t="s">
        <v>44</v>
      </c>
    </row>
    <row r="383" spans="1:15">
      <c r="A383" t="s">
        <v>736</v>
      </c>
      <c r="B383" s="3">
        <v>45906</v>
      </c>
      <c r="C383" t="s">
        <v>737</v>
      </c>
      <c r="D383" t="s">
        <v>66</v>
      </c>
      <c r="E383" t="s">
        <v>48</v>
      </c>
      <c r="F383" t="s">
        <v>99</v>
      </c>
      <c r="G383">
        <v>4</v>
      </c>
      <c r="H383" s="5">
        <v>2326.98</v>
      </c>
      <c r="I383" s="4">
        <v>0.15</v>
      </c>
      <c r="J383" s="5">
        <v>7911.73</v>
      </c>
      <c r="K383" s="5">
        <v>6640.06</v>
      </c>
      <c r="L383" s="5">
        <v>1271.67</v>
      </c>
      <c r="M383" t="s">
        <v>35</v>
      </c>
      <c r="N383" t="s">
        <v>36</v>
      </c>
      <c r="O383" t="s">
        <v>44</v>
      </c>
    </row>
    <row r="384" spans="1:15">
      <c r="A384" t="s">
        <v>738</v>
      </c>
      <c r="B384" s="3">
        <v>45852</v>
      </c>
      <c r="C384" t="s">
        <v>739</v>
      </c>
      <c r="D384" t="s">
        <v>60</v>
      </c>
      <c r="E384" t="s">
        <v>33</v>
      </c>
      <c r="F384" t="s">
        <v>92</v>
      </c>
      <c r="G384">
        <v>6</v>
      </c>
      <c r="H384" s="5">
        <v>4506.84</v>
      </c>
      <c r="I384" s="4">
        <v>0.1</v>
      </c>
      <c r="J384" s="5">
        <v>24336.94</v>
      </c>
      <c r="K384" s="5">
        <v>13669.05</v>
      </c>
      <c r="L384" s="5">
        <v>10667.89</v>
      </c>
      <c r="M384" t="s">
        <v>35</v>
      </c>
      <c r="N384" t="s">
        <v>36</v>
      </c>
      <c r="O384" t="s">
        <v>37</v>
      </c>
    </row>
    <row r="385" spans="1:15">
      <c r="A385" t="s">
        <v>740</v>
      </c>
      <c r="B385" s="3">
        <v>45711</v>
      </c>
      <c r="C385" t="s">
        <v>741</v>
      </c>
      <c r="D385" t="s">
        <v>66</v>
      </c>
      <c r="E385" t="s">
        <v>33</v>
      </c>
      <c r="F385" t="s">
        <v>96</v>
      </c>
      <c r="G385">
        <v>6</v>
      </c>
      <c r="H385" s="5">
        <v>5067.0200000000004</v>
      </c>
      <c r="I385" s="4">
        <v>0.15</v>
      </c>
      <c r="J385" s="5">
        <v>25841.8</v>
      </c>
      <c r="K385" s="5">
        <v>21115.94</v>
      </c>
      <c r="L385" s="5">
        <v>4725.8599999999997</v>
      </c>
      <c r="M385" t="s">
        <v>35</v>
      </c>
      <c r="N385" t="s">
        <v>36</v>
      </c>
      <c r="O385" t="s">
        <v>44</v>
      </c>
    </row>
    <row r="386" spans="1:15">
      <c r="A386" t="s">
        <v>742</v>
      </c>
      <c r="B386" s="3">
        <v>46225</v>
      </c>
      <c r="C386" t="s">
        <v>743</v>
      </c>
      <c r="D386" t="s">
        <v>95</v>
      </c>
      <c r="E386" t="s">
        <v>61</v>
      </c>
      <c r="F386" t="s">
        <v>84</v>
      </c>
      <c r="G386">
        <v>4</v>
      </c>
      <c r="H386" s="5">
        <v>4423</v>
      </c>
      <c r="I386" s="4">
        <v>0</v>
      </c>
      <c r="J386" s="5">
        <v>17692</v>
      </c>
      <c r="K386" s="5">
        <v>12522.01</v>
      </c>
      <c r="L386" s="5">
        <v>5169.99</v>
      </c>
      <c r="M386" t="s">
        <v>35</v>
      </c>
      <c r="N386" t="s">
        <v>71</v>
      </c>
      <c r="O386" t="s">
        <v>37</v>
      </c>
    </row>
    <row r="387" spans="1:15">
      <c r="A387" t="s">
        <v>744</v>
      </c>
      <c r="B387" s="3">
        <v>46240</v>
      </c>
      <c r="C387" t="s">
        <v>286</v>
      </c>
      <c r="D387" t="s">
        <v>47</v>
      </c>
      <c r="E387" t="s">
        <v>61</v>
      </c>
      <c r="F387" t="s">
        <v>89</v>
      </c>
      <c r="G387">
        <v>1</v>
      </c>
      <c r="H387" s="5">
        <v>1803.96</v>
      </c>
      <c r="I387" s="4">
        <v>0.2</v>
      </c>
      <c r="J387" s="5">
        <v>1443.17</v>
      </c>
      <c r="K387" s="5">
        <v>1011.12</v>
      </c>
      <c r="L387" s="5">
        <v>432.05</v>
      </c>
      <c r="M387" t="s">
        <v>35</v>
      </c>
      <c r="N387" t="s">
        <v>36</v>
      </c>
      <c r="O387" t="s">
        <v>44</v>
      </c>
    </row>
    <row r="388" spans="1:15">
      <c r="A388" t="s">
        <v>745</v>
      </c>
      <c r="B388" s="3">
        <v>46120</v>
      </c>
      <c r="C388" t="s">
        <v>737</v>
      </c>
      <c r="D388" t="s">
        <v>134</v>
      </c>
      <c r="E388" t="s">
        <v>48</v>
      </c>
      <c r="F388" t="s">
        <v>113</v>
      </c>
      <c r="G388">
        <v>6</v>
      </c>
      <c r="H388" s="5">
        <v>2616.75</v>
      </c>
      <c r="I388" s="4">
        <v>0</v>
      </c>
      <c r="J388" s="5">
        <v>15700.5</v>
      </c>
      <c r="K388" s="5">
        <v>12314.87</v>
      </c>
      <c r="L388" s="5">
        <v>3385.63</v>
      </c>
      <c r="M388" t="s">
        <v>57</v>
      </c>
      <c r="N388" t="s">
        <v>36</v>
      </c>
      <c r="O388" t="s">
        <v>44</v>
      </c>
    </row>
    <row r="389" spans="1:15">
      <c r="A389" t="s">
        <v>746</v>
      </c>
      <c r="B389" s="3">
        <v>45958</v>
      </c>
      <c r="C389" t="s">
        <v>288</v>
      </c>
      <c r="D389" t="s">
        <v>40</v>
      </c>
      <c r="E389" t="s">
        <v>61</v>
      </c>
      <c r="F389" t="s">
        <v>62</v>
      </c>
      <c r="G389">
        <v>2</v>
      </c>
      <c r="H389" s="5">
        <v>3629.94</v>
      </c>
      <c r="I389" s="4">
        <v>0.05</v>
      </c>
      <c r="J389" s="5">
        <v>6896.89</v>
      </c>
      <c r="K389" s="5">
        <v>4869.6400000000003</v>
      </c>
      <c r="L389" s="5">
        <v>2027.25</v>
      </c>
      <c r="M389" t="s">
        <v>57</v>
      </c>
      <c r="N389" t="s">
        <v>36</v>
      </c>
      <c r="O389" t="s">
        <v>44</v>
      </c>
    </row>
    <row r="390" spans="1:15">
      <c r="A390" t="s">
        <v>747</v>
      </c>
      <c r="B390" s="3">
        <v>45964</v>
      </c>
      <c r="C390" t="s">
        <v>748</v>
      </c>
      <c r="D390" t="s">
        <v>74</v>
      </c>
      <c r="E390" t="s">
        <v>33</v>
      </c>
      <c r="F390" t="s">
        <v>67</v>
      </c>
      <c r="G390">
        <v>4</v>
      </c>
      <c r="H390" s="5">
        <v>5046.12</v>
      </c>
      <c r="I390" s="4">
        <v>0.2</v>
      </c>
      <c r="J390" s="5">
        <v>16147.58</v>
      </c>
      <c r="K390" s="5">
        <v>13144.13</v>
      </c>
      <c r="L390" s="5">
        <v>3003.45</v>
      </c>
      <c r="M390" t="s">
        <v>35</v>
      </c>
      <c r="N390" t="s">
        <v>71</v>
      </c>
      <c r="O390" t="s">
        <v>44</v>
      </c>
    </row>
    <row r="391" spans="1:15">
      <c r="A391" t="s">
        <v>749</v>
      </c>
      <c r="B391" s="3">
        <v>45770</v>
      </c>
      <c r="C391" t="s">
        <v>750</v>
      </c>
      <c r="D391" t="s">
        <v>32</v>
      </c>
      <c r="E391" t="s">
        <v>61</v>
      </c>
      <c r="F391" t="s">
        <v>89</v>
      </c>
      <c r="G391">
        <v>4</v>
      </c>
      <c r="H391" s="5">
        <v>1664.34</v>
      </c>
      <c r="I391" s="4">
        <v>0</v>
      </c>
      <c r="J391" s="5">
        <v>6657.36</v>
      </c>
      <c r="K391" s="5">
        <v>5157.3999999999996</v>
      </c>
      <c r="L391" s="5">
        <v>1499.96</v>
      </c>
      <c r="M391" t="s">
        <v>57</v>
      </c>
      <c r="N391" t="s">
        <v>36</v>
      </c>
      <c r="O391" t="s">
        <v>44</v>
      </c>
    </row>
    <row r="392" spans="1:15">
      <c r="A392" t="s">
        <v>751</v>
      </c>
      <c r="B392" s="3">
        <v>45754</v>
      </c>
      <c r="C392" t="s">
        <v>523</v>
      </c>
      <c r="D392" t="s">
        <v>52</v>
      </c>
      <c r="E392" t="s">
        <v>33</v>
      </c>
      <c r="F392" t="s">
        <v>176</v>
      </c>
      <c r="G392">
        <v>5</v>
      </c>
      <c r="H392" s="5">
        <v>2667.28</v>
      </c>
      <c r="I392" s="4">
        <v>0.15</v>
      </c>
      <c r="J392" s="5">
        <v>11335.94</v>
      </c>
      <c r="K392" s="5">
        <v>7494.29</v>
      </c>
      <c r="L392" s="5">
        <v>3841.65</v>
      </c>
      <c r="M392" t="s">
        <v>57</v>
      </c>
      <c r="N392" t="s">
        <v>43</v>
      </c>
      <c r="O392" t="s">
        <v>44</v>
      </c>
    </row>
    <row r="393" spans="1:15">
      <c r="A393" t="s">
        <v>752</v>
      </c>
      <c r="B393" s="3">
        <v>46236</v>
      </c>
      <c r="C393" t="s">
        <v>433</v>
      </c>
      <c r="D393" t="s">
        <v>56</v>
      </c>
      <c r="E393" t="s">
        <v>61</v>
      </c>
      <c r="F393" t="s">
        <v>129</v>
      </c>
      <c r="G393">
        <v>2</v>
      </c>
      <c r="H393" s="5">
        <v>2144.08</v>
      </c>
      <c r="I393" s="4">
        <v>0.2</v>
      </c>
      <c r="J393" s="5">
        <v>3430.53</v>
      </c>
      <c r="K393" s="5">
        <v>2287.2800000000002</v>
      </c>
      <c r="L393" s="5">
        <v>1143.25</v>
      </c>
      <c r="M393" t="s">
        <v>35</v>
      </c>
      <c r="N393" t="s">
        <v>43</v>
      </c>
      <c r="O393" t="s">
        <v>44</v>
      </c>
    </row>
    <row r="394" spans="1:15">
      <c r="A394" t="s">
        <v>753</v>
      </c>
      <c r="B394" s="3">
        <v>46050</v>
      </c>
      <c r="C394" t="s">
        <v>754</v>
      </c>
      <c r="D394" t="s">
        <v>52</v>
      </c>
      <c r="E394" t="s">
        <v>41</v>
      </c>
      <c r="F394" t="s">
        <v>42</v>
      </c>
      <c r="G394">
        <v>4</v>
      </c>
      <c r="H394" s="5">
        <v>3059.16</v>
      </c>
      <c r="I394" s="4">
        <v>0.05</v>
      </c>
      <c r="J394" s="5">
        <v>11624.81</v>
      </c>
      <c r="K394" s="5">
        <v>9291</v>
      </c>
      <c r="L394" s="5">
        <v>2333.81</v>
      </c>
      <c r="M394" t="s">
        <v>57</v>
      </c>
      <c r="N394" t="s">
        <v>63</v>
      </c>
      <c r="O394" t="s">
        <v>44</v>
      </c>
    </row>
    <row r="395" spans="1:15">
      <c r="A395" t="s">
        <v>755</v>
      </c>
      <c r="B395" s="3">
        <v>46025</v>
      </c>
      <c r="C395" t="s">
        <v>756</v>
      </c>
      <c r="D395" t="s">
        <v>95</v>
      </c>
      <c r="E395" t="s">
        <v>41</v>
      </c>
      <c r="F395" t="s">
        <v>119</v>
      </c>
      <c r="G395">
        <v>6</v>
      </c>
      <c r="H395" s="5">
        <v>833.83</v>
      </c>
      <c r="I395" s="4">
        <v>0</v>
      </c>
      <c r="J395" s="5">
        <v>5002.9799999999996</v>
      </c>
      <c r="K395" s="5">
        <v>3787.91</v>
      </c>
      <c r="L395" s="5">
        <v>1215.07</v>
      </c>
      <c r="M395" t="s">
        <v>35</v>
      </c>
      <c r="N395" t="s">
        <v>36</v>
      </c>
      <c r="O395" t="s">
        <v>44</v>
      </c>
    </row>
    <row r="396" spans="1:15">
      <c r="A396" t="s">
        <v>757</v>
      </c>
      <c r="B396" s="3">
        <v>45749</v>
      </c>
      <c r="C396" t="s">
        <v>758</v>
      </c>
      <c r="D396" t="s">
        <v>52</v>
      </c>
      <c r="E396" t="s">
        <v>48</v>
      </c>
      <c r="F396" t="s">
        <v>113</v>
      </c>
      <c r="G396">
        <v>3</v>
      </c>
      <c r="H396" s="5">
        <v>3091.86</v>
      </c>
      <c r="I396" s="4">
        <v>0.1</v>
      </c>
      <c r="J396" s="5">
        <v>8348.02</v>
      </c>
      <c r="K396" s="5">
        <v>6317.54</v>
      </c>
      <c r="L396" s="5">
        <v>2030.48</v>
      </c>
      <c r="M396" t="s">
        <v>57</v>
      </c>
      <c r="N396" t="s">
        <v>36</v>
      </c>
      <c r="O396" t="s">
        <v>44</v>
      </c>
    </row>
    <row r="397" spans="1:15">
      <c r="A397" t="s">
        <v>759</v>
      </c>
      <c r="B397" s="3">
        <v>46195</v>
      </c>
      <c r="C397" t="s">
        <v>613</v>
      </c>
      <c r="D397" t="s">
        <v>60</v>
      </c>
      <c r="E397" t="s">
        <v>41</v>
      </c>
      <c r="F397" t="s">
        <v>53</v>
      </c>
      <c r="G397">
        <v>3</v>
      </c>
      <c r="H397" s="5">
        <v>1096.58</v>
      </c>
      <c r="I397" s="4">
        <v>0</v>
      </c>
      <c r="J397" s="5">
        <v>3289.74</v>
      </c>
      <c r="K397" s="5">
        <v>1917.71</v>
      </c>
      <c r="L397" s="5">
        <v>1372.03</v>
      </c>
      <c r="M397" t="s">
        <v>35</v>
      </c>
      <c r="N397" t="s">
        <v>63</v>
      </c>
      <c r="O397" t="s">
        <v>44</v>
      </c>
    </row>
    <row r="398" spans="1:15">
      <c r="A398" t="s">
        <v>760</v>
      </c>
      <c r="B398" s="3">
        <v>45801</v>
      </c>
      <c r="C398" t="s">
        <v>482</v>
      </c>
      <c r="D398" t="s">
        <v>56</v>
      </c>
      <c r="E398" t="s">
        <v>61</v>
      </c>
      <c r="F398" t="s">
        <v>62</v>
      </c>
      <c r="G398">
        <v>2</v>
      </c>
      <c r="H398" s="5">
        <v>3856.71</v>
      </c>
      <c r="I398" s="4">
        <v>0.2</v>
      </c>
      <c r="J398" s="5">
        <v>6170.74</v>
      </c>
      <c r="K398" s="5">
        <v>5217</v>
      </c>
      <c r="L398" s="5">
        <v>953.74</v>
      </c>
      <c r="M398" t="s">
        <v>35</v>
      </c>
      <c r="N398" t="s">
        <v>36</v>
      </c>
      <c r="O398" t="s">
        <v>44</v>
      </c>
    </row>
    <row r="399" spans="1:15">
      <c r="A399" t="s">
        <v>761</v>
      </c>
      <c r="B399" s="3">
        <v>46129</v>
      </c>
      <c r="C399" t="s">
        <v>762</v>
      </c>
      <c r="D399" t="s">
        <v>74</v>
      </c>
      <c r="E399" t="s">
        <v>61</v>
      </c>
      <c r="F399" t="s">
        <v>89</v>
      </c>
      <c r="G399">
        <v>6</v>
      </c>
      <c r="H399" s="5">
        <v>2990.69</v>
      </c>
      <c r="I399" s="4">
        <v>0.2</v>
      </c>
      <c r="J399" s="5">
        <v>14355.31</v>
      </c>
      <c r="K399" s="5">
        <v>8218.82</v>
      </c>
      <c r="L399" s="5">
        <v>6136.49</v>
      </c>
      <c r="M399" t="s">
        <v>35</v>
      </c>
      <c r="N399" t="s">
        <v>63</v>
      </c>
      <c r="O399" t="s">
        <v>37</v>
      </c>
    </row>
    <row r="400" spans="1:15">
      <c r="A400" t="s">
        <v>763</v>
      </c>
      <c r="B400" s="3">
        <v>45933</v>
      </c>
      <c r="C400" t="s">
        <v>764</v>
      </c>
      <c r="D400" t="s">
        <v>60</v>
      </c>
      <c r="E400" t="s">
        <v>48</v>
      </c>
      <c r="F400" t="s">
        <v>113</v>
      </c>
      <c r="G400">
        <v>6</v>
      </c>
      <c r="H400" s="5">
        <v>1940.13</v>
      </c>
      <c r="I400" s="4">
        <v>0.2</v>
      </c>
      <c r="J400" s="5">
        <v>9312.6200000000008</v>
      </c>
      <c r="K400" s="5">
        <v>7520.87</v>
      </c>
      <c r="L400" s="5">
        <v>1791.75</v>
      </c>
      <c r="M400" t="s">
        <v>35</v>
      </c>
      <c r="N400" t="s">
        <v>71</v>
      </c>
      <c r="O400" t="s">
        <v>44</v>
      </c>
    </row>
    <row r="401" spans="1:15">
      <c r="A401" t="s">
        <v>765</v>
      </c>
      <c r="B401" s="3">
        <v>46245</v>
      </c>
      <c r="C401" t="s">
        <v>766</v>
      </c>
      <c r="D401" t="s">
        <v>47</v>
      </c>
      <c r="E401" t="s">
        <v>48</v>
      </c>
      <c r="F401" t="s">
        <v>49</v>
      </c>
      <c r="G401">
        <v>6</v>
      </c>
      <c r="H401" s="5">
        <v>4323.59</v>
      </c>
      <c r="I401" s="4">
        <v>0.1</v>
      </c>
      <c r="J401" s="5">
        <v>23347.39</v>
      </c>
      <c r="K401" s="5">
        <v>19017.59</v>
      </c>
      <c r="L401" s="5">
        <v>4329.8</v>
      </c>
      <c r="M401" t="s">
        <v>35</v>
      </c>
      <c r="N401" t="s">
        <v>43</v>
      </c>
      <c r="O401" t="s">
        <v>44</v>
      </c>
    </row>
    <row r="402" spans="1:15">
      <c r="A402" t="s">
        <v>767</v>
      </c>
      <c r="B402" s="3">
        <v>46011</v>
      </c>
      <c r="C402" t="s">
        <v>768</v>
      </c>
      <c r="D402" t="s">
        <v>66</v>
      </c>
      <c r="E402" t="s">
        <v>41</v>
      </c>
      <c r="F402" t="s">
        <v>53</v>
      </c>
      <c r="G402">
        <v>4</v>
      </c>
      <c r="H402" s="5">
        <v>4965.5600000000004</v>
      </c>
      <c r="I402" s="4">
        <v>0</v>
      </c>
      <c r="J402" s="5">
        <v>19862.240000000002</v>
      </c>
      <c r="K402" s="5">
        <v>15622.15</v>
      </c>
      <c r="L402" s="5">
        <v>4240.09</v>
      </c>
      <c r="M402" t="s">
        <v>57</v>
      </c>
      <c r="N402" t="s">
        <v>71</v>
      </c>
      <c r="O402" t="s">
        <v>44</v>
      </c>
    </row>
    <row r="403" spans="1:15">
      <c r="A403" t="s">
        <v>769</v>
      </c>
      <c r="B403" s="3">
        <v>46026</v>
      </c>
      <c r="C403" t="s">
        <v>725</v>
      </c>
      <c r="D403" t="s">
        <v>66</v>
      </c>
      <c r="E403" t="s">
        <v>33</v>
      </c>
      <c r="F403" t="s">
        <v>96</v>
      </c>
      <c r="G403">
        <v>1</v>
      </c>
      <c r="H403" s="5">
        <v>5214.88</v>
      </c>
      <c r="I403" s="4">
        <v>0.1</v>
      </c>
      <c r="J403" s="5">
        <v>4693.3900000000003</v>
      </c>
      <c r="K403" s="5">
        <v>2777.95</v>
      </c>
      <c r="L403" s="5">
        <v>1915.44</v>
      </c>
      <c r="M403" t="s">
        <v>35</v>
      </c>
      <c r="N403" t="s">
        <v>63</v>
      </c>
      <c r="O403" t="s">
        <v>37</v>
      </c>
    </row>
    <row r="404" spans="1:15">
      <c r="A404" t="s">
        <v>770</v>
      </c>
      <c r="B404" s="3">
        <v>46002</v>
      </c>
      <c r="C404" t="s">
        <v>771</v>
      </c>
      <c r="D404" t="s">
        <v>47</v>
      </c>
      <c r="E404" t="s">
        <v>48</v>
      </c>
      <c r="F404" t="s">
        <v>113</v>
      </c>
      <c r="G404">
        <v>1</v>
      </c>
      <c r="H404" s="5">
        <v>4005.4</v>
      </c>
      <c r="I404" s="4">
        <v>0.2</v>
      </c>
      <c r="J404" s="5">
        <v>3204.32</v>
      </c>
      <c r="K404" s="5">
        <v>1905.07</v>
      </c>
      <c r="L404" s="5">
        <v>1299.25</v>
      </c>
      <c r="M404" t="s">
        <v>57</v>
      </c>
      <c r="N404" t="s">
        <v>63</v>
      </c>
      <c r="O404" t="s">
        <v>44</v>
      </c>
    </row>
    <row r="405" spans="1:15">
      <c r="A405" t="s">
        <v>772</v>
      </c>
      <c r="B405" s="3">
        <v>45884</v>
      </c>
      <c r="C405" t="s">
        <v>773</v>
      </c>
      <c r="D405" t="s">
        <v>66</v>
      </c>
      <c r="E405" t="s">
        <v>48</v>
      </c>
      <c r="F405" t="s">
        <v>113</v>
      </c>
      <c r="G405">
        <v>6</v>
      </c>
      <c r="H405" s="5">
        <v>4247.49</v>
      </c>
      <c r="I405" s="4">
        <v>0.05</v>
      </c>
      <c r="J405" s="5">
        <v>24210.69</v>
      </c>
      <c r="K405" s="5">
        <v>18234.330000000002</v>
      </c>
      <c r="L405" s="5">
        <v>5976.36</v>
      </c>
      <c r="M405" t="s">
        <v>35</v>
      </c>
      <c r="N405" t="s">
        <v>71</v>
      </c>
      <c r="O405" t="s">
        <v>44</v>
      </c>
    </row>
    <row r="406" spans="1:15">
      <c r="A406" t="s">
        <v>774</v>
      </c>
      <c r="B406" s="3">
        <v>46072</v>
      </c>
      <c r="C406" t="s">
        <v>775</v>
      </c>
      <c r="D406" t="s">
        <v>56</v>
      </c>
      <c r="E406" t="s">
        <v>41</v>
      </c>
      <c r="F406" t="s">
        <v>53</v>
      </c>
      <c r="G406">
        <v>4</v>
      </c>
      <c r="H406" s="5">
        <v>5413.3</v>
      </c>
      <c r="I406" s="4">
        <v>0.15</v>
      </c>
      <c r="J406" s="5">
        <v>18405.22</v>
      </c>
      <c r="K406" s="5">
        <v>15197.02</v>
      </c>
      <c r="L406" s="5">
        <v>3208.2</v>
      </c>
      <c r="M406" t="s">
        <v>35</v>
      </c>
      <c r="N406" t="s">
        <v>71</v>
      </c>
      <c r="O406" t="s">
        <v>37</v>
      </c>
    </row>
    <row r="407" spans="1:15">
      <c r="A407" t="s">
        <v>776</v>
      </c>
      <c r="B407" s="3">
        <v>45701</v>
      </c>
      <c r="C407" t="s">
        <v>302</v>
      </c>
      <c r="D407" t="s">
        <v>40</v>
      </c>
      <c r="E407" t="s">
        <v>48</v>
      </c>
      <c r="F407" t="s">
        <v>102</v>
      </c>
      <c r="G407">
        <v>2</v>
      </c>
      <c r="H407" s="5">
        <v>4524.13</v>
      </c>
      <c r="I407" s="4">
        <v>0</v>
      </c>
      <c r="J407" s="5">
        <v>9048.26</v>
      </c>
      <c r="K407" s="5">
        <v>7428.94</v>
      </c>
      <c r="L407" s="5">
        <v>1619.32</v>
      </c>
      <c r="M407" t="s">
        <v>57</v>
      </c>
      <c r="N407" t="s">
        <v>71</v>
      </c>
      <c r="O407" t="s">
        <v>37</v>
      </c>
    </row>
    <row r="408" spans="1:15">
      <c r="A408" t="s">
        <v>777</v>
      </c>
      <c r="B408" s="3">
        <v>46110</v>
      </c>
      <c r="C408" t="s">
        <v>385</v>
      </c>
      <c r="D408" t="s">
        <v>40</v>
      </c>
      <c r="E408" t="s">
        <v>61</v>
      </c>
      <c r="F408" t="s">
        <v>84</v>
      </c>
      <c r="G408">
        <v>4</v>
      </c>
      <c r="H408" s="5">
        <v>2119.3000000000002</v>
      </c>
      <c r="I408" s="4">
        <v>0</v>
      </c>
      <c r="J408" s="5">
        <v>8477.2000000000007</v>
      </c>
      <c r="K408" s="5">
        <v>5107.4399999999996</v>
      </c>
      <c r="L408" s="5">
        <v>3369.76</v>
      </c>
      <c r="M408" t="s">
        <v>35</v>
      </c>
      <c r="N408" t="s">
        <v>43</v>
      </c>
      <c r="O408" t="s">
        <v>44</v>
      </c>
    </row>
    <row r="409" spans="1:15">
      <c r="A409" t="s">
        <v>778</v>
      </c>
      <c r="B409" s="3">
        <v>45868</v>
      </c>
      <c r="C409" t="s">
        <v>695</v>
      </c>
      <c r="D409" t="s">
        <v>32</v>
      </c>
      <c r="E409" t="s">
        <v>48</v>
      </c>
      <c r="F409" t="s">
        <v>70</v>
      </c>
      <c r="G409">
        <v>2</v>
      </c>
      <c r="H409" s="5">
        <v>2126.15</v>
      </c>
      <c r="I409" s="4">
        <v>0.1</v>
      </c>
      <c r="J409" s="5">
        <v>3827.07</v>
      </c>
      <c r="K409" s="5">
        <v>2646.94</v>
      </c>
      <c r="L409" s="5">
        <v>1180.1300000000001</v>
      </c>
      <c r="M409" t="s">
        <v>35</v>
      </c>
      <c r="N409" t="s">
        <v>36</v>
      </c>
      <c r="O409" t="s">
        <v>37</v>
      </c>
    </row>
    <row r="410" spans="1:15">
      <c r="A410" t="s">
        <v>779</v>
      </c>
      <c r="B410" s="3">
        <v>45847</v>
      </c>
      <c r="C410" t="s">
        <v>449</v>
      </c>
      <c r="D410" t="s">
        <v>40</v>
      </c>
      <c r="E410" t="s">
        <v>61</v>
      </c>
      <c r="F410" t="s">
        <v>62</v>
      </c>
      <c r="G410">
        <v>1</v>
      </c>
      <c r="H410" s="5">
        <v>849.83</v>
      </c>
      <c r="I410" s="4">
        <v>0.2</v>
      </c>
      <c r="J410" s="5">
        <v>679.86</v>
      </c>
      <c r="K410" s="5">
        <v>535.64</v>
      </c>
      <c r="L410" s="5">
        <v>144.22</v>
      </c>
      <c r="M410" t="s">
        <v>57</v>
      </c>
      <c r="N410" t="s">
        <v>43</v>
      </c>
      <c r="O410" t="s">
        <v>37</v>
      </c>
    </row>
    <row r="411" spans="1:15">
      <c r="A411" t="s">
        <v>780</v>
      </c>
      <c r="B411" s="3">
        <v>46209</v>
      </c>
      <c r="C411" t="s">
        <v>144</v>
      </c>
      <c r="D411" t="s">
        <v>56</v>
      </c>
      <c r="E411" t="s">
        <v>48</v>
      </c>
      <c r="F411" t="s">
        <v>70</v>
      </c>
      <c r="G411">
        <v>6</v>
      </c>
      <c r="H411" s="5">
        <v>4695.74</v>
      </c>
      <c r="I411" s="4">
        <v>0.05</v>
      </c>
      <c r="J411" s="5">
        <v>26765.72</v>
      </c>
      <c r="K411" s="5">
        <v>20563.25</v>
      </c>
      <c r="L411" s="5">
        <v>6202.47</v>
      </c>
      <c r="M411" t="s">
        <v>35</v>
      </c>
      <c r="N411" t="s">
        <v>43</v>
      </c>
      <c r="O411" t="s">
        <v>44</v>
      </c>
    </row>
    <row r="412" spans="1:15">
      <c r="A412" t="s">
        <v>781</v>
      </c>
      <c r="B412" s="3">
        <v>46083</v>
      </c>
      <c r="C412" t="s">
        <v>372</v>
      </c>
      <c r="E412" t="s">
        <v>41</v>
      </c>
      <c r="F412" t="s">
        <v>53</v>
      </c>
      <c r="G412">
        <v>1</v>
      </c>
      <c r="H412" s="5">
        <v>2506.1999999999998</v>
      </c>
      <c r="I412" s="4">
        <v>0.2</v>
      </c>
      <c r="J412" s="5">
        <v>2004.96</v>
      </c>
      <c r="K412" s="5">
        <v>1384.42</v>
      </c>
      <c r="L412" s="5">
        <v>620.54</v>
      </c>
      <c r="M412" t="s">
        <v>35</v>
      </c>
      <c r="N412" t="s">
        <v>71</v>
      </c>
      <c r="O412" t="s">
        <v>44</v>
      </c>
    </row>
    <row r="413" spans="1:15">
      <c r="A413" t="s">
        <v>782</v>
      </c>
      <c r="B413" s="3">
        <v>46082</v>
      </c>
      <c r="C413" t="s">
        <v>628</v>
      </c>
      <c r="D413" t="s">
        <v>52</v>
      </c>
      <c r="E413" t="s">
        <v>33</v>
      </c>
      <c r="F413" t="s">
        <v>96</v>
      </c>
      <c r="G413">
        <v>3</v>
      </c>
      <c r="H413" s="5">
        <v>745.83</v>
      </c>
      <c r="I413" s="4">
        <v>0.05</v>
      </c>
      <c r="J413" s="5">
        <v>2125.62</v>
      </c>
      <c r="K413" s="5">
        <v>1243.98</v>
      </c>
      <c r="L413" s="5">
        <v>881.64</v>
      </c>
      <c r="M413" t="s">
        <v>57</v>
      </c>
      <c r="N413" t="s">
        <v>71</v>
      </c>
      <c r="O413" t="s">
        <v>44</v>
      </c>
    </row>
    <row r="414" spans="1:15">
      <c r="A414" t="s">
        <v>783</v>
      </c>
      <c r="B414" s="3">
        <v>45669</v>
      </c>
      <c r="C414" t="s">
        <v>784</v>
      </c>
      <c r="D414" t="s">
        <v>56</v>
      </c>
      <c r="E414" t="s">
        <v>33</v>
      </c>
      <c r="F414" t="s">
        <v>92</v>
      </c>
      <c r="G414">
        <v>4</v>
      </c>
      <c r="H414" s="5">
        <v>2363.2199999999998</v>
      </c>
      <c r="I414" s="4">
        <v>0.05</v>
      </c>
      <c r="J414" s="5">
        <v>8980.24</v>
      </c>
      <c r="K414" s="5">
        <v>6657.85</v>
      </c>
      <c r="L414" s="5">
        <v>2322.39</v>
      </c>
      <c r="M414" t="s">
        <v>57</v>
      </c>
      <c r="N414" t="s">
        <v>36</v>
      </c>
      <c r="O414" t="s">
        <v>44</v>
      </c>
    </row>
    <row r="415" spans="1:15">
      <c r="A415" t="s">
        <v>785</v>
      </c>
      <c r="B415" s="3">
        <v>45819</v>
      </c>
      <c r="C415" t="s">
        <v>786</v>
      </c>
      <c r="D415" t="s">
        <v>47</v>
      </c>
      <c r="E415" t="s">
        <v>48</v>
      </c>
      <c r="F415" t="s">
        <v>49</v>
      </c>
      <c r="G415">
        <v>6</v>
      </c>
      <c r="H415" s="5">
        <v>4252.3999999999996</v>
      </c>
      <c r="I415" s="4">
        <v>0</v>
      </c>
      <c r="J415" s="5">
        <v>25514.400000000001</v>
      </c>
      <c r="K415" s="5">
        <v>20787.61</v>
      </c>
      <c r="L415" s="5">
        <v>4726.79</v>
      </c>
      <c r="M415" t="s">
        <v>57</v>
      </c>
      <c r="N415" t="s">
        <v>43</v>
      </c>
      <c r="O415" t="s">
        <v>44</v>
      </c>
    </row>
    <row r="416" spans="1:15">
      <c r="A416" t="s">
        <v>787</v>
      </c>
      <c r="B416" s="3">
        <v>46087</v>
      </c>
      <c r="C416" t="s">
        <v>312</v>
      </c>
      <c r="D416" t="s">
        <v>40</v>
      </c>
      <c r="E416" t="s">
        <v>61</v>
      </c>
      <c r="F416" t="s">
        <v>89</v>
      </c>
      <c r="G416">
        <v>6</v>
      </c>
      <c r="H416" s="5">
        <v>1795.81</v>
      </c>
      <c r="I416" s="4">
        <v>0</v>
      </c>
      <c r="J416" s="5">
        <v>10774.86</v>
      </c>
      <c r="K416" s="5">
        <v>5974.88</v>
      </c>
      <c r="L416" s="5">
        <v>4799.9799999999996</v>
      </c>
      <c r="M416" t="s">
        <v>35</v>
      </c>
      <c r="N416" t="s">
        <v>43</v>
      </c>
      <c r="O416" t="s">
        <v>44</v>
      </c>
    </row>
    <row r="417" spans="1:15">
      <c r="A417" t="s">
        <v>788</v>
      </c>
      <c r="B417" s="3">
        <v>45843</v>
      </c>
      <c r="C417" t="s">
        <v>83</v>
      </c>
      <c r="D417" t="s">
        <v>95</v>
      </c>
      <c r="E417" t="s">
        <v>61</v>
      </c>
      <c r="F417" t="s">
        <v>89</v>
      </c>
      <c r="G417">
        <v>3</v>
      </c>
      <c r="H417" s="5">
        <v>5487.44</v>
      </c>
      <c r="I417" s="4">
        <v>0.15</v>
      </c>
      <c r="J417" s="5">
        <v>13992.97</v>
      </c>
      <c r="K417" s="5">
        <v>8709.7999999999993</v>
      </c>
      <c r="L417" s="5">
        <v>5283.17</v>
      </c>
      <c r="M417" t="s">
        <v>57</v>
      </c>
      <c r="N417" t="s">
        <v>43</v>
      </c>
      <c r="O417" t="s">
        <v>44</v>
      </c>
    </row>
    <row r="418" spans="1:15">
      <c r="A418" t="s">
        <v>789</v>
      </c>
      <c r="B418" s="3">
        <v>45979</v>
      </c>
      <c r="C418" t="s">
        <v>613</v>
      </c>
      <c r="D418" t="s">
        <v>56</v>
      </c>
      <c r="E418" t="s">
        <v>41</v>
      </c>
      <c r="F418" t="s">
        <v>53</v>
      </c>
      <c r="G418">
        <v>4</v>
      </c>
      <c r="H418" s="5">
        <v>1784.88</v>
      </c>
      <c r="I418" s="4">
        <v>0.05</v>
      </c>
      <c r="J418" s="5">
        <v>6782.54</v>
      </c>
      <c r="K418" s="5">
        <v>4425.5200000000004</v>
      </c>
      <c r="L418" s="5">
        <v>2357.02</v>
      </c>
      <c r="M418" t="s">
        <v>35</v>
      </c>
      <c r="N418" t="s">
        <v>71</v>
      </c>
      <c r="O418" t="s">
        <v>37</v>
      </c>
    </row>
    <row r="419" spans="1:15">
      <c r="A419" t="s">
        <v>790</v>
      </c>
      <c r="B419" s="3">
        <v>46138</v>
      </c>
      <c r="C419" t="s">
        <v>791</v>
      </c>
      <c r="D419" t="s">
        <v>52</v>
      </c>
      <c r="E419" t="s">
        <v>61</v>
      </c>
      <c r="F419" t="s">
        <v>81</v>
      </c>
      <c r="G419">
        <v>5</v>
      </c>
      <c r="H419" s="5">
        <v>1385.96</v>
      </c>
      <c r="I419" s="4">
        <v>0</v>
      </c>
      <c r="J419" s="5">
        <v>6929.8</v>
      </c>
      <c r="K419" s="5">
        <v>4860.97</v>
      </c>
      <c r="L419" s="5">
        <v>2068.83</v>
      </c>
      <c r="M419" t="s">
        <v>57</v>
      </c>
      <c r="N419" t="s">
        <v>63</v>
      </c>
      <c r="O419" t="s">
        <v>44</v>
      </c>
    </row>
    <row r="420" spans="1:15">
      <c r="A420" t="s">
        <v>792</v>
      </c>
      <c r="B420" s="3">
        <v>46154</v>
      </c>
      <c r="C420" t="s">
        <v>106</v>
      </c>
      <c r="D420" t="s">
        <v>40</v>
      </c>
      <c r="E420" t="s">
        <v>33</v>
      </c>
      <c r="F420" t="s">
        <v>67</v>
      </c>
      <c r="G420">
        <v>1</v>
      </c>
      <c r="H420" s="5">
        <v>751.9</v>
      </c>
      <c r="I420" s="4">
        <v>0.15</v>
      </c>
      <c r="J420" s="5">
        <v>639.12</v>
      </c>
      <c r="K420" s="5">
        <v>422.85</v>
      </c>
      <c r="L420" s="5">
        <v>216.27</v>
      </c>
      <c r="M420" t="s">
        <v>35</v>
      </c>
      <c r="N420" t="s">
        <v>36</v>
      </c>
      <c r="O420" t="s">
        <v>44</v>
      </c>
    </row>
    <row r="421" spans="1:15">
      <c r="A421" t="s">
        <v>793</v>
      </c>
      <c r="B421" s="3">
        <v>45774</v>
      </c>
      <c r="C421" t="s">
        <v>674</v>
      </c>
      <c r="D421" t="s">
        <v>134</v>
      </c>
      <c r="E421" t="s">
        <v>61</v>
      </c>
      <c r="F421" t="s">
        <v>84</v>
      </c>
      <c r="G421">
        <v>5</v>
      </c>
      <c r="H421" s="5">
        <v>3632.24</v>
      </c>
      <c r="I421" s="4">
        <v>0</v>
      </c>
      <c r="J421" s="5">
        <v>18161.2</v>
      </c>
      <c r="K421" s="5">
        <v>12645.08</v>
      </c>
      <c r="L421" s="5">
        <v>5516.12</v>
      </c>
      <c r="M421" t="s">
        <v>35</v>
      </c>
      <c r="N421" t="s">
        <v>36</v>
      </c>
      <c r="O421" t="s">
        <v>44</v>
      </c>
    </row>
    <row r="422" spans="1:15">
      <c r="A422" t="s">
        <v>794</v>
      </c>
      <c r="B422" s="3">
        <v>46088</v>
      </c>
      <c r="C422" t="s">
        <v>131</v>
      </c>
      <c r="D422" t="s">
        <v>56</v>
      </c>
      <c r="E422" t="s">
        <v>48</v>
      </c>
      <c r="F422" t="s">
        <v>99</v>
      </c>
      <c r="G422">
        <v>4</v>
      </c>
      <c r="H422" s="5">
        <v>1414.64</v>
      </c>
      <c r="I422" s="4">
        <v>0.1</v>
      </c>
      <c r="J422" s="5">
        <v>5092.7</v>
      </c>
      <c r="K422" s="5">
        <v>4168.4399999999996</v>
      </c>
      <c r="L422" s="5">
        <v>924.26</v>
      </c>
      <c r="M422" t="s">
        <v>57</v>
      </c>
      <c r="N422" t="s">
        <v>63</v>
      </c>
      <c r="O422" t="s">
        <v>44</v>
      </c>
    </row>
    <row r="423" spans="1:15">
      <c r="A423" t="s">
        <v>795</v>
      </c>
      <c r="B423" s="3">
        <v>45697</v>
      </c>
      <c r="C423" t="s">
        <v>222</v>
      </c>
      <c r="D423" t="s">
        <v>47</v>
      </c>
      <c r="E423" t="s">
        <v>61</v>
      </c>
      <c r="F423" t="s">
        <v>62</v>
      </c>
      <c r="G423">
        <v>5</v>
      </c>
      <c r="H423" s="5">
        <v>5021.32</v>
      </c>
      <c r="I423" s="4">
        <v>0</v>
      </c>
      <c r="J423" s="5">
        <v>25106.6</v>
      </c>
      <c r="K423" s="5">
        <v>15976.89</v>
      </c>
      <c r="L423" s="5">
        <v>9129.7099999999991</v>
      </c>
      <c r="M423" t="s">
        <v>35</v>
      </c>
      <c r="N423" t="s">
        <v>43</v>
      </c>
      <c r="O423" t="s">
        <v>44</v>
      </c>
    </row>
    <row r="424" spans="1:15">
      <c r="A424" t="s">
        <v>796</v>
      </c>
      <c r="B424" s="3">
        <v>46250</v>
      </c>
      <c r="C424" t="s">
        <v>320</v>
      </c>
      <c r="D424" t="s">
        <v>66</v>
      </c>
      <c r="E424" t="s">
        <v>33</v>
      </c>
      <c r="F424" t="s">
        <v>96</v>
      </c>
      <c r="G424">
        <v>1</v>
      </c>
      <c r="H424" s="5">
        <v>5276.99</v>
      </c>
      <c r="I424" s="4">
        <v>0.2</v>
      </c>
      <c r="J424" s="5">
        <v>4221.59</v>
      </c>
      <c r="K424" s="5">
        <v>2423.65</v>
      </c>
      <c r="L424" s="5">
        <v>1797.94</v>
      </c>
      <c r="M424" t="s">
        <v>35</v>
      </c>
      <c r="N424" t="s">
        <v>43</v>
      </c>
      <c r="O424" t="s">
        <v>44</v>
      </c>
    </row>
    <row r="425" spans="1:15">
      <c r="A425" t="s">
        <v>797</v>
      </c>
      <c r="B425" s="3">
        <v>45950</v>
      </c>
      <c r="C425" t="s">
        <v>271</v>
      </c>
      <c r="E425" t="s">
        <v>48</v>
      </c>
      <c r="F425" t="s">
        <v>49</v>
      </c>
      <c r="G425">
        <v>2</v>
      </c>
      <c r="H425" s="5">
        <v>856.02</v>
      </c>
      <c r="I425" s="4">
        <v>0.15</v>
      </c>
      <c r="J425" s="5">
        <v>1455.23</v>
      </c>
      <c r="K425" s="5">
        <v>1065.2</v>
      </c>
      <c r="L425" s="5">
        <v>390.03</v>
      </c>
      <c r="M425" t="s">
        <v>35</v>
      </c>
      <c r="N425" t="s">
        <v>43</v>
      </c>
      <c r="O425" t="s">
        <v>44</v>
      </c>
    </row>
    <row r="426" spans="1:15">
      <c r="A426" t="s">
        <v>798</v>
      </c>
      <c r="B426" s="3">
        <v>45952</v>
      </c>
      <c r="C426" t="s">
        <v>799</v>
      </c>
      <c r="D426" t="s">
        <v>95</v>
      </c>
      <c r="E426" t="s">
        <v>48</v>
      </c>
      <c r="F426" t="s">
        <v>49</v>
      </c>
      <c r="G426">
        <v>6</v>
      </c>
      <c r="H426" s="5">
        <v>5246.55</v>
      </c>
      <c r="I426" s="4">
        <v>0</v>
      </c>
      <c r="J426" s="5">
        <v>31479.3</v>
      </c>
      <c r="K426" s="5">
        <v>17716.900000000001</v>
      </c>
      <c r="L426" s="5">
        <v>13762.4</v>
      </c>
      <c r="M426" t="s">
        <v>35</v>
      </c>
      <c r="N426" t="s">
        <v>71</v>
      </c>
      <c r="O426" t="s">
        <v>37</v>
      </c>
    </row>
    <row r="427" spans="1:15">
      <c r="A427" t="s">
        <v>800</v>
      </c>
      <c r="B427" s="3">
        <v>45758</v>
      </c>
      <c r="C427" t="s">
        <v>676</v>
      </c>
      <c r="D427" t="s">
        <v>66</v>
      </c>
      <c r="E427" t="s">
        <v>61</v>
      </c>
      <c r="F427" t="s">
        <v>62</v>
      </c>
      <c r="G427">
        <v>3</v>
      </c>
      <c r="H427" s="5">
        <v>3991.91</v>
      </c>
      <c r="I427" s="4">
        <v>0.2</v>
      </c>
      <c r="J427" s="5">
        <v>9580.58</v>
      </c>
      <c r="K427" s="5">
        <v>6095.36</v>
      </c>
      <c r="L427" s="5">
        <v>3485.22</v>
      </c>
      <c r="M427" t="s">
        <v>35</v>
      </c>
      <c r="N427" t="s">
        <v>63</v>
      </c>
      <c r="O427" t="s">
        <v>37</v>
      </c>
    </row>
    <row r="428" spans="1:15">
      <c r="A428" t="s">
        <v>801</v>
      </c>
      <c r="B428" s="3">
        <v>45845</v>
      </c>
      <c r="C428" t="s">
        <v>802</v>
      </c>
      <c r="D428" t="s">
        <v>47</v>
      </c>
      <c r="E428" t="s">
        <v>61</v>
      </c>
      <c r="F428" t="s">
        <v>84</v>
      </c>
      <c r="G428">
        <v>2</v>
      </c>
      <c r="H428" s="5">
        <v>3361.48</v>
      </c>
      <c r="I428" s="4">
        <v>0.15</v>
      </c>
      <c r="J428" s="5">
        <v>5714.52</v>
      </c>
      <c r="K428" s="5">
        <v>3250.65</v>
      </c>
      <c r="L428" s="5">
        <v>2463.87</v>
      </c>
      <c r="M428" t="s">
        <v>57</v>
      </c>
      <c r="N428" t="s">
        <v>63</v>
      </c>
      <c r="O428" t="s">
        <v>44</v>
      </c>
    </row>
    <row r="429" spans="1:15">
      <c r="A429" t="s">
        <v>803</v>
      </c>
      <c r="B429" s="3">
        <v>45954</v>
      </c>
      <c r="C429" t="s">
        <v>205</v>
      </c>
      <c r="D429" t="s">
        <v>66</v>
      </c>
      <c r="E429" t="s">
        <v>33</v>
      </c>
      <c r="F429" t="s">
        <v>176</v>
      </c>
      <c r="G429">
        <v>6</v>
      </c>
      <c r="H429" s="5">
        <v>3226.75</v>
      </c>
      <c r="I429" s="4">
        <v>0</v>
      </c>
      <c r="J429" s="5">
        <v>19360.5</v>
      </c>
      <c r="K429" s="5">
        <v>10893.1</v>
      </c>
      <c r="L429" s="5">
        <v>8467.4</v>
      </c>
      <c r="M429" t="s">
        <v>35</v>
      </c>
      <c r="N429" t="s">
        <v>36</v>
      </c>
      <c r="O429" t="s">
        <v>44</v>
      </c>
    </row>
    <row r="430" spans="1:15">
      <c r="A430" t="s">
        <v>804</v>
      </c>
      <c r="B430" s="3">
        <v>45789</v>
      </c>
      <c r="C430" t="s">
        <v>655</v>
      </c>
      <c r="D430" t="s">
        <v>95</v>
      </c>
      <c r="E430" t="s">
        <v>48</v>
      </c>
      <c r="F430" t="s">
        <v>102</v>
      </c>
      <c r="G430">
        <v>4</v>
      </c>
      <c r="H430" s="5">
        <v>513.62</v>
      </c>
      <c r="I430" s="4">
        <v>0.05</v>
      </c>
      <c r="J430" s="5">
        <v>1951.76</v>
      </c>
      <c r="K430" s="5">
        <v>1142.94</v>
      </c>
      <c r="L430" s="5">
        <v>808.82</v>
      </c>
      <c r="M430" t="s">
        <v>57</v>
      </c>
      <c r="N430" t="s">
        <v>63</v>
      </c>
      <c r="O430" t="s">
        <v>44</v>
      </c>
    </row>
    <row r="431" spans="1:15">
      <c r="A431" t="s">
        <v>805</v>
      </c>
      <c r="B431" s="3">
        <v>46228</v>
      </c>
      <c r="C431" t="s">
        <v>806</v>
      </c>
      <c r="D431" t="s">
        <v>60</v>
      </c>
      <c r="E431" t="s">
        <v>41</v>
      </c>
      <c r="F431" t="s">
        <v>124</v>
      </c>
      <c r="G431">
        <v>3</v>
      </c>
      <c r="H431" s="5">
        <v>5438.29</v>
      </c>
      <c r="I431" s="4">
        <v>0.15</v>
      </c>
      <c r="J431" s="5">
        <v>13867.64</v>
      </c>
      <c r="K431" s="5">
        <v>9000.6299999999992</v>
      </c>
      <c r="L431" s="5">
        <v>4867.01</v>
      </c>
      <c r="M431" t="s">
        <v>35</v>
      </c>
      <c r="N431" t="s">
        <v>71</v>
      </c>
      <c r="O431" t="s">
        <v>37</v>
      </c>
    </row>
    <row r="432" spans="1:15">
      <c r="A432" t="s">
        <v>807</v>
      </c>
      <c r="B432" s="3">
        <v>45684</v>
      </c>
      <c r="C432" t="s">
        <v>808</v>
      </c>
      <c r="D432" t="s">
        <v>40</v>
      </c>
      <c r="E432" t="s">
        <v>48</v>
      </c>
      <c r="F432" t="s">
        <v>102</v>
      </c>
      <c r="G432">
        <v>6</v>
      </c>
      <c r="H432" s="5">
        <v>4547.7</v>
      </c>
      <c r="I432" s="4">
        <v>0</v>
      </c>
      <c r="J432" s="5">
        <v>27286.2</v>
      </c>
      <c r="K432" s="5">
        <v>18622.55</v>
      </c>
      <c r="L432" s="5">
        <v>8663.65</v>
      </c>
      <c r="M432" t="s">
        <v>35</v>
      </c>
      <c r="N432" t="s">
        <v>71</v>
      </c>
      <c r="O432" t="s">
        <v>37</v>
      </c>
    </row>
    <row r="433" spans="1:15">
      <c r="A433" t="s">
        <v>809</v>
      </c>
      <c r="B433" s="3">
        <v>45801</v>
      </c>
      <c r="C433" t="s">
        <v>230</v>
      </c>
      <c r="D433" t="s">
        <v>66</v>
      </c>
      <c r="E433" t="s">
        <v>41</v>
      </c>
      <c r="F433" t="s">
        <v>124</v>
      </c>
      <c r="G433">
        <v>4</v>
      </c>
      <c r="H433" s="5">
        <v>583.48</v>
      </c>
      <c r="I433" s="4">
        <v>0</v>
      </c>
      <c r="J433" s="5">
        <v>2333.92</v>
      </c>
      <c r="K433" s="5">
        <v>1538.67</v>
      </c>
      <c r="L433" s="5">
        <v>795.25</v>
      </c>
      <c r="M433" t="s">
        <v>35</v>
      </c>
      <c r="N433" t="s">
        <v>43</v>
      </c>
      <c r="O433" t="s">
        <v>44</v>
      </c>
    </row>
    <row r="434" spans="1:15">
      <c r="A434" t="s">
        <v>810</v>
      </c>
      <c r="B434" s="3">
        <v>46214</v>
      </c>
      <c r="C434" t="s">
        <v>811</v>
      </c>
      <c r="D434" t="s">
        <v>32</v>
      </c>
      <c r="E434" t="s">
        <v>33</v>
      </c>
      <c r="F434" t="s">
        <v>67</v>
      </c>
      <c r="G434">
        <v>6</v>
      </c>
      <c r="H434" s="5">
        <v>5254.2</v>
      </c>
      <c r="I434" s="4">
        <v>0</v>
      </c>
      <c r="J434" s="5">
        <v>31525.200000000001</v>
      </c>
      <c r="K434" s="5">
        <v>21334.09</v>
      </c>
      <c r="L434" s="5">
        <v>10191.11</v>
      </c>
      <c r="M434" t="s">
        <v>35</v>
      </c>
      <c r="N434" t="s">
        <v>43</v>
      </c>
      <c r="O434" t="s">
        <v>44</v>
      </c>
    </row>
    <row r="435" spans="1:15">
      <c r="A435" t="s">
        <v>812</v>
      </c>
      <c r="B435" s="3">
        <v>46113</v>
      </c>
      <c r="C435" t="s">
        <v>360</v>
      </c>
      <c r="D435" t="s">
        <v>60</v>
      </c>
      <c r="E435" t="s">
        <v>48</v>
      </c>
      <c r="F435" t="s">
        <v>99</v>
      </c>
      <c r="G435">
        <v>6</v>
      </c>
      <c r="H435" s="5">
        <v>3987.95</v>
      </c>
      <c r="I435" s="4">
        <v>0</v>
      </c>
      <c r="J435" s="5">
        <v>23927.7</v>
      </c>
      <c r="K435" s="5">
        <v>15740.47</v>
      </c>
      <c r="L435" s="5">
        <v>8187.23</v>
      </c>
      <c r="M435" t="s">
        <v>57</v>
      </c>
      <c r="N435" t="s">
        <v>63</v>
      </c>
      <c r="O435" t="s">
        <v>44</v>
      </c>
    </row>
    <row r="436" spans="1:15">
      <c r="A436" t="s">
        <v>813</v>
      </c>
      <c r="B436" s="3">
        <v>46197</v>
      </c>
      <c r="C436" t="s">
        <v>213</v>
      </c>
      <c r="D436" t="s">
        <v>32</v>
      </c>
      <c r="E436" t="s">
        <v>33</v>
      </c>
      <c r="F436" t="s">
        <v>96</v>
      </c>
      <c r="G436">
        <v>3</v>
      </c>
      <c r="H436" s="5">
        <v>2376.9699999999998</v>
      </c>
      <c r="I436" s="4">
        <v>0.05</v>
      </c>
      <c r="J436" s="5">
        <v>6774.36</v>
      </c>
      <c r="K436" s="5">
        <v>5525.11</v>
      </c>
      <c r="L436" s="5">
        <v>1249.25</v>
      </c>
      <c r="M436" t="s">
        <v>57</v>
      </c>
      <c r="N436" t="s">
        <v>43</v>
      </c>
      <c r="O436" t="s">
        <v>37</v>
      </c>
    </row>
    <row r="437" spans="1:15">
      <c r="A437" t="s">
        <v>814</v>
      </c>
      <c r="B437" s="3">
        <v>45914</v>
      </c>
      <c r="C437" t="s">
        <v>815</v>
      </c>
      <c r="D437" t="s">
        <v>60</v>
      </c>
      <c r="E437" t="s">
        <v>33</v>
      </c>
      <c r="F437" t="s">
        <v>92</v>
      </c>
      <c r="G437">
        <v>6</v>
      </c>
      <c r="H437" s="5">
        <v>4093.7</v>
      </c>
      <c r="I437" s="4">
        <v>0.05</v>
      </c>
      <c r="J437" s="5">
        <v>23334.09</v>
      </c>
      <c r="K437" s="5">
        <v>16340.31</v>
      </c>
      <c r="L437" s="5">
        <v>6993.78</v>
      </c>
      <c r="M437" t="s">
        <v>35</v>
      </c>
      <c r="N437" t="s">
        <v>36</v>
      </c>
      <c r="O437" t="s">
        <v>37</v>
      </c>
    </row>
    <row r="438" spans="1:15">
      <c r="A438" t="s">
        <v>816</v>
      </c>
      <c r="B438" s="3">
        <v>45971</v>
      </c>
      <c r="C438" t="s">
        <v>366</v>
      </c>
      <c r="D438" t="s">
        <v>95</v>
      </c>
      <c r="E438" t="s">
        <v>41</v>
      </c>
      <c r="F438" t="s">
        <v>53</v>
      </c>
      <c r="G438">
        <v>2</v>
      </c>
      <c r="H438" s="5">
        <v>1523.71</v>
      </c>
      <c r="I438" s="4">
        <v>0</v>
      </c>
      <c r="J438" s="5">
        <v>3047.42</v>
      </c>
      <c r="K438" s="5">
        <v>2318.85</v>
      </c>
      <c r="L438" s="5">
        <v>728.57</v>
      </c>
      <c r="M438" t="s">
        <v>35</v>
      </c>
      <c r="N438" t="s">
        <v>43</v>
      </c>
      <c r="O438" t="s">
        <v>44</v>
      </c>
    </row>
    <row r="439" spans="1:15">
      <c r="A439" t="s">
        <v>817</v>
      </c>
      <c r="B439" s="3">
        <v>46211</v>
      </c>
      <c r="C439" t="s">
        <v>818</v>
      </c>
      <c r="D439" t="s">
        <v>56</v>
      </c>
      <c r="E439" t="s">
        <v>48</v>
      </c>
      <c r="F439" t="s">
        <v>102</v>
      </c>
      <c r="G439">
        <v>6</v>
      </c>
      <c r="H439" s="5">
        <v>4563.51</v>
      </c>
      <c r="I439" s="4">
        <v>0.1</v>
      </c>
      <c r="J439" s="5">
        <v>24642.95</v>
      </c>
      <c r="K439" s="5">
        <v>16369.34</v>
      </c>
      <c r="L439" s="5">
        <v>8273.61</v>
      </c>
      <c r="M439" t="s">
        <v>35</v>
      </c>
      <c r="N439" t="s">
        <v>43</v>
      </c>
      <c r="O439" t="s">
        <v>44</v>
      </c>
    </row>
    <row r="440" spans="1:15">
      <c r="A440" t="s">
        <v>819</v>
      </c>
      <c r="B440" s="3">
        <v>46019</v>
      </c>
      <c r="C440" t="s">
        <v>159</v>
      </c>
      <c r="D440" t="s">
        <v>47</v>
      </c>
      <c r="E440" t="s">
        <v>48</v>
      </c>
      <c r="F440" t="s">
        <v>99</v>
      </c>
      <c r="G440">
        <v>1</v>
      </c>
      <c r="H440" s="5">
        <v>3027.62</v>
      </c>
      <c r="I440" s="4">
        <v>0</v>
      </c>
      <c r="J440" s="5">
        <v>3027.62</v>
      </c>
      <c r="K440" s="5">
        <v>2257.0300000000002</v>
      </c>
      <c r="L440" s="5">
        <v>770.59</v>
      </c>
      <c r="M440" t="s">
        <v>35</v>
      </c>
      <c r="N440" t="s">
        <v>36</v>
      </c>
      <c r="O440" t="s">
        <v>44</v>
      </c>
    </row>
    <row r="441" spans="1:15">
      <c r="A441" t="s">
        <v>820</v>
      </c>
      <c r="B441" s="3">
        <v>45863</v>
      </c>
      <c r="C441" t="s">
        <v>648</v>
      </c>
      <c r="D441" t="s">
        <v>32</v>
      </c>
      <c r="E441" t="s">
        <v>48</v>
      </c>
      <c r="F441" t="s">
        <v>49</v>
      </c>
      <c r="G441">
        <v>6</v>
      </c>
      <c r="H441" s="5">
        <v>729</v>
      </c>
      <c r="I441" s="4">
        <v>0</v>
      </c>
      <c r="J441" s="5">
        <v>4374</v>
      </c>
      <c r="K441" s="5">
        <v>2509</v>
      </c>
      <c r="L441" s="5">
        <v>1865</v>
      </c>
      <c r="M441" t="s">
        <v>57</v>
      </c>
      <c r="N441" t="s">
        <v>36</v>
      </c>
      <c r="O441" t="s">
        <v>44</v>
      </c>
    </row>
    <row r="442" spans="1:15">
      <c r="A442" t="s">
        <v>821</v>
      </c>
      <c r="B442" s="3">
        <v>46159</v>
      </c>
      <c r="C442" t="s">
        <v>822</v>
      </c>
      <c r="D442" t="s">
        <v>40</v>
      </c>
      <c r="E442" t="s">
        <v>41</v>
      </c>
      <c r="F442" t="s">
        <v>153</v>
      </c>
      <c r="G442">
        <v>4</v>
      </c>
      <c r="H442" s="5">
        <v>5141.04</v>
      </c>
      <c r="I442" s="4">
        <v>0.1</v>
      </c>
      <c r="J442" s="5">
        <v>18507.740000000002</v>
      </c>
      <c r="K442" s="5">
        <v>12030.29</v>
      </c>
      <c r="L442" s="5">
        <v>6477.45</v>
      </c>
      <c r="M442" t="s">
        <v>57</v>
      </c>
      <c r="N442" t="s">
        <v>71</v>
      </c>
      <c r="O442" t="s">
        <v>44</v>
      </c>
    </row>
    <row r="443" spans="1:15">
      <c r="A443" t="s">
        <v>823</v>
      </c>
      <c r="B443" s="3">
        <v>46056</v>
      </c>
      <c r="C443" t="s">
        <v>824</v>
      </c>
      <c r="D443" t="s">
        <v>60</v>
      </c>
      <c r="E443" t="s">
        <v>48</v>
      </c>
      <c r="F443" t="s">
        <v>102</v>
      </c>
      <c r="G443">
        <v>2</v>
      </c>
      <c r="H443" s="5">
        <v>5082.4799999999996</v>
      </c>
      <c r="I443" s="4">
        <v>0.2</v>
      </c>
      <c r="J443" s="5">
        <v>8131.97</v>
      </c>
      <c r="K443" s="5">
        <v>6494.25</v>
      </c>
      <c r="L443" s="5">
        <v>1637.72</v>
      </c>
      <c r="M443" t="s">
        <v>35</v>
      </c>
      <c r="N443" t="s">
        <v>43</v>
      </c>
      <c r="O443" t="s">
        <v>37</v>
      </c>
    </row>
    <row r="444" spans="1:15">
      <c r="A444" t="s">
        <v>825</v>
      </c>
      <c r="B444" s="3">
        <v>45804</v>
      </c>
      <c r="C444" t="s">
        <v>826</v>
      </c>
      <c r="D444" t="s">
        <v>134</v>
      </c>
      <c r="E444" t="s">
        <v>33</v>
      </c>
      <c r="F444" t="s">
        <v>96</v>
      </c>
      <c r="G444">
        <v>1</v>
      </c>
      <c r="H444" s="5">
        <v>1792.73</v>
      </c>
      <c r="I444" s="4">
        <v>0</v>
      </c>
      <c r="J444" s="5">
        <v>1792.73</v>
      </c>
      <c r="K444" s="5">
        <v>1145.1400000000001</v>
      </c>
      <c r="L444" s="5">
        <v>647.59</v>
      </c>
      <c r="M444" t="s">
        <v>35</v>
      </c>
      <c r="N444" t="s">
        <v>63</v>
      </c>
      <c r="O444" t="s">
        <v>44</v>
      </c>
    </row>
    <row r="445" spans="1:15">
      <c r="A445" t="s">
        <v>827</v>
      </c>
      <c r="B445" s="3">
        <v>46184</v>
      </c>
      <c r="C445" t="s">
        <v>179</v>
      </c>
      <c r="D445" t="s">
        <v>66</v>
      </c>
      <c r="E445" t="s">
        <v>41</v>
      </c>
      <c r="F445" t="s">
        <v>42</v>
      </c>
      <c r="G445">
        <v>5</v>
      </c>
      <c r="H445" s="5">
        <v>4643.1000000000004</v>
      </c>
      <c r="I445" s="4">
        <v>0</v>
      </c>
      <c r="J445" s="5">
        <v>23215.5</v>
      </c>
      <c r="K445" s="5">
        <v>14923.93</v>
      </c>
      <c r="L445" s="5">
        <v>8291.57</v>
      </c>
      <c r="M445" t="s">
        <v>57</v>
      </c>
      <c r="N445" t="s">
        <v>63</v>
      </c>
      <c r="O445" t="s">
        <v>44</v>
      </c>
    </row>
    <row r="446" spans="1:15">
      <c r="A446" t="s">
        <v>828</v>
      </c>
      <c r="B446" s="3">
        <v>46086</v>
      </c>
      <c r="C446" t="s">
        <v>829</v>
      </c>
      <c r="D446" t="s">
        <v>134</v>
      </c>
      <c r="E446" t="s">
        <v>41</v>
      </c>
      <c r="F446" t="s">
        <v>53</v>
      </c>
      <c r="G446">
        <v>2</v>
      </c>
      <c r="H446" s="5">
        <v>4969.18</v>
      </c>
      <c r="I446" s="4">
        <v>0.2</v>
      </c>
      <c r="J446" s="5">
        <v>7950.69</v>
      </c>
      <c r="K446" s="5">
        <v>5554.32</v>
      </c>
      <c r="L446" s="5">
        <v>2396.37</v>
      </c>
      <c r="M446" t="s">
        <v>35</v>
      </c>
      <c r="N446" t="s">
        <v>63</v>
      </c>
      <c r="O446" t="s">
        <v>37</v>
      </c>
    </row>
    <row r="447" spans="1:15">
      <c r="A447" t="s">
        <v>830</v>
      </c>
      <c r="B447" s="3">
        <v>45714</v>
      </c>
      <c r="C447" t="s">
        <v>768</v>
      </c>
      <c r="D447" t="s">
        <v>134</v>
      </c>
      <c r="E447" t="s">
        <v>41</v>
      </c>
      <c r="F447" t="s">
        <v>153</v>
      </c>
      <c r="G447">
        <v>2</v>
      </c>
      <c r="H447" s="5">
        <v>1542.07</v>
      </c>
      <c r="I447" s="4">
        <v>0</v>
      </c>
      <c r="J447" s="5">
        <v>3084.14</v>
      </c>
      <c r="K447" s="5">
        <v>1824.04</v>
      </c>
      <c r="L447" s="5">
        <v>1260.0999999999999</v>
      </c>
      <c r="M447" t="s">
        <v>57</v>
      </c>
      <c r="N447" t="s">
        <v>71</v>
      </c>
      <c r="O447" t="s">
        <v>37</v>
      </c>
    </row>
    <row r="448" spans="1:15">
      <c r="A448" t="s">
        <v>831</v>
      </c>
      <c r="B448" s="3">
        <v>45798</v>
      </c>
      <c r="C448" t="s">
        <v>59</v>
      </c>
      <c r="D448" t="s">
        <v>134</v>
      </c>
      <c r="E448" t="s">
        <v>61</v>
      </c>
      <c r="F448" t="s">
        <v>89</v>
      </c>
      <c r="G448">
        <v>2</v>
      </c>
      <c r="H448" s="5">
        <v>5041.83</v>
      </c>
      <c r="I448" s="4">
        <v>0</v>
      </c>
      <c r="J448" s="5">
        <v>10083.66</v>
      </c>
      <c r="K448" s="5">
        <v>7268.73</v>
      </c>
      <c r="L448" s="5">
        <v>2814.93</v>
      </c>
      <c r="M448" t="s">
        <v>35</v>
      </c>
      <c r="N448" t="s">
        <v>63</v>
      </c>
      <c r="O448" t="s">
        <v>37</v>
      </c>
    </row>
    <row r="449" spans="1:15">
      <c r="A449" t="s">
        <v>832</v>
      </c>
      <c r="B449" s="3">
        <v>46049</v>
      </c>
      <c r="C449" t="s">
        <v>833</v>
      </c>
      <c r="D449" t="s">
        <v>32</v>
      </c>
      <c r="E449" t="s">
        <v>61</v>
      </c>
      <c r="F449" t="s">
        <v>89</v>
      </c>
      <c r="G449">
        <v>3</v>
      </c>
      <c r="H449" s="5">
        <v>5075.24</v>
      </c>
      <c r="I449" s="4">
        <v>0</v>
      </c>
      <c r="J449" s="5">
        <v>15225.72</v>
      </c>
      <c r="K449" s="5">
        <v>10765.61</v>
      </c>
      <c r="L449" s="5">
        <v>4460.1099999999997</v>
      </c>
      <c r="M449" t="s">
        <v>57</v>
      </c>
      <c r="N449" t="s">
        <v>63</v>
      </c>
      <c r="O449" t="s">
        <v>44</v>
      </c>
    </row>
    <row r="450" spans="1:15">
      <c r="A450" t="s">
        <v>834</v>
      </c>
      <c r="B450" s="3">
        <v>46225</v>
      </c>
      <c r="C450" t="s">
        <v>835</v>
      </c>
      <c r="D450" t="s">
        <v>134</v>
      </c>
      <c r="E450" t="s">
        <v>61</v>
      </c>
      <c r="F450" t="s">
        <v>81</v>
      </c>
      <c r="G450">
        <v>5</v>
      </c>
      <c r="H450" s="5">
        <v>961.12</v>
      </c>
      <c r="I450" s="4">
        <v>0.2</v>
      </c>
      <c r="J450" s="5">
        <v>3844.48</v>
      </c>
      <c r="K450" s="5">
        <v>2562.06</v>
      </c>
      <c r="L450" s="5">
        <v>1282.42</v>
      </c>
      <c r="M450" t="s">
        <v>35</v>
      </c>
      <c r="N450" t="s">
        <v>36</v>
      </c>
      <c r="O450" t="s">
        <v>44</v>
      </c>
    </row>
    <row r="451" spans="1:15">
      <c r="A451" t="s">
        <v>836</v>
      </c>
      <c r="B451" s="3">
        <v>45818</v>
      </c>
      <c r="C451" t="s">
        <v>837</v>
      </c>
      <c r="D451" t="s">
        <v>32</v>
      </c>
      <c r="E451" t="s">
        <v>48</v>
      </c>
      <c r="F451" t="s">
        <v>99</v>
      </c>
      <c r="G451">
        <v>3</v>
      </c>
      <c r="H451" s="5">
        <v>2461.7399999999998</v>
      </c>
      <c r="I451" s="4">
        <v>0.15</v>
      </c>
      <c r="J451" s="5">
        <v>6277.44</v>
      </c>
      <c r="K451" s="5">
        <v>4646.3</v>
      </c>
      <c r="L451" s="5">
        <v>1631.14</v>
      </c>
      <c r="M451" t="s">
        <v>57</v>
      </c>
      <c r="N451" t="s">
        <v>63</v>
      </c>
      <c r="O451" t="s">
        <v>44</v>
      </c>
    </row>
    <row r="452" spans="1:15">
      <c r="A452" t="s">
        <v>838</v>
      </c>
      <c r="B452" s="3">
        <v>45806</v>
      </c>
      <c r="C452" t="s">
        <v>839</v>
      </c>
      <c r="D452" t="s">
        <v>74</v>
      </c>
      <c r="E452" t="s">
        <v>48</v>
      </c>
      <c r="F452" t="s">
        <v>113</v>
      </c>
      <c r="G452">
        <v>1</v>
      </c>
      <c r="H452" s="5">
        <v>5333.76</v>
      </c>
      <c r="I452" s="4">
        <v>0.1</v>
      </c>
      <c r="J452" s="5">
        <v>4800.38</v>
      </c>
      <c r="K452" s="5">
        <v>3780.65</v>
      </c>
      <c r="L452" s="5">
        <v>1019.73</v>
      </c>
      <c r="M452" t="s">
        <v>57</v>
      </c>
      <c r="N452" t="s">
        <v>43</v>
      </c>
      <c r="O452" t="s">
        <v>37</v>
      </c>
    </row>
    <row r="453" spans="1:15">
      <c r="A453" t="s">
        <v>840</v>
      </c>
      <c r="B453" s="3">
        <v>45947</v>
      </c>
      <c r="C453" t="s">
        <v>464</v>
      </c>
      <c r="D453" t="s">
        <v>95</v>
      </c>
      <c r="E453" t="s">
        <v>48</v>
      </c>
      <c r="F453" t="s">
        <v>113</v>
      </c>
      <c r="G453">
        <v>4</v>
      </c>
      <c r="H453" s="5">
        <v>2744.93</v>
      </c>
      <c r="I453" s="4">
        <v>0</v>
      </c>
      <c r="J453" s="5">
        <v>10979.72</v>
      </c>
      <c r="K453" s="5">
        <v>8812.26</v>
      </c>
      <c r="L453" s="5">
        <v>2167.46</v>
      </c>
      <c r="M453" t="s">
        <v>35</v>
      </c>
      <c r="N453" t="s">
        <v>71</v>
      </c>
      <c r="O453" t="s">
        <v>44</v>
      </c>
    </row>
    <row r="454" spans="1:15">
      <c r="A454" t="s">
        <v>841</v>
      </c>
      <c r="B454" s="3">
        <v>45989</v>
      </c>
      <c r="C454" t="s">
        <v>538</v>
      </c>
      <c r="D454" t="s">
        <v>74</v>
      </c>
      <c r="E454" t="s">
        <v>33</v>
      </c>
      <c r="F454" t="s">
        <v>176</v>
      </c>
      <c r="G454">
        <v>4</v>
      </c>
      <c r="H454" s="5">
        <v>361.77</v>
      </c>
      <c r="I454" s="4">
        <v>0.2</v>
      </c>
      <c r="J454" s="5">
        <v>1157.6600000000001</v>
      </c>
      <c r="K454" s="5">
        <v>964.78</v>
      </c>
      <c r="L454" s="5">
        <v>192.88</v>
      </c>
      <c r="M454" t="s">
        <v>35</v>
      </c>
      <c r="N454" t="s">
        <v>36</v>
      </c>
      <c r="O454" t="s">
        <v>44</v>
      </c>
    </row>
    <row r="455" spans="1:15">
      <c r="A455" t="s">
        <v>842</v>
      </c>
      <c r="B455" s="3">
        <v>46258</v>
      </c>
      <c r="C455" t="s">
        <v>843</v>
      </c>
      <c r="D455" t="s">
        <v>134</v>
      </c>
      <c r="E455" t="s">
        <v>41</v>
      </c>
      <c r="F455" t="s">
        <v>119</v>
      </c>
      <c r="G455">
        <v>6</v>
      </c>
      <c r="H455" s="5">
        <v>2897.18</v>
      </c>
      <c r="I455" s="4">
        <v>0</v>
      </c>
      <c r="J455" s="5">
        <v>17383.080000000002</v>
      </c>
      <c r="K455" s="5">
        <v>10561.77</v>
      </c>
      <c r="L455" s="5">
        <v>6821.31</v>
      </c>
      <c r="M455" t="s">
        <v>35</v>
      </c>
      <c r="N455" t="s">
        <v>43</v>
      </c>
      <c r="O455" t="s">
        <v>44</v>
      </c>
    </row>
    <row r="456" spans="1:15">
      <c r="A456" t="s">
        <v>844</v>
      </c>
      <c r="B456" s="3">
        <v>46127</v>
      </c>
      <c r="C456" t="s">
        <v>611</v>
      </c>
      <c r="D456" t="s">
        <v>134</v>
      </c>
      <c r="E456" t="s">
        <v>61</v>
      </c>
      <c r="F456" t="s">
        <v>129</v>
      </c>
      <c r="G456">
        <v>4</v>
      </c>
      <c r="H456" s="5">
        <v>2239.38</v>
      </c>
      <c r="I456" s="4">
        <v>0.1</v>
      </c>
      <c r="J456" s="5">
        <v>8061.77</v>
      </c>
      <c r="K456" s="5">
        <v>6036.33</v>
      </c>
      <c r="L456" s="5">
        <v>2025.44</v>
      </c>
      <c r="M456" t="s">
        <v>57</v>
      </c>
      <c r="N456" t="s">
        <v>36</v>
      </c>
      <c r="O456" t="s">
        <v>44</v>
      </c>
    </row>
    <row r="457" spans="1:15">
      <c r="A457" t="s">
        <v>845</v>
      </c>
      <c r="B457" s="3">
        <v>46175</v>
      </c>
      <c r="C457" t="s">
        <v>846</v>
      </c>
      <c r="D457" t="s">
        <v>32</v>
      </c>
      <c r="E457" t="s">
        <v>48</v>
      </c>
      <c r="F457" t="s">
        <v>49</v>
      </c>
      <c r="G457">
        <v>5</v>
      </c>
      <c r="H457" s="5">
        <v>4546.8999999999996</v>
      </c>
      <c r="I457" s="4">
        <v>0</v>
      </c>
      <c r="J457" s="5">
        <v>22734.5</v>
      </c>
      <c r="K457" s="5">
        <v>13334.6</v>
      </c>
      <c r="L457" s="5">
        <v>9399.9</v>
      </c>
      <c r="M457" t="s">
        <v>57</v>
      </c>
      <c r="N457" t="s">
        <v>43</v>
      </c>
      <c r="O457" t="s">
        <v>44</v>
      </c>
    </row>
    <row r="458" spans="1:15">
      <c r="A458" t="s">
        <v>847</v>
      </c>
      <c r="B458" s="3">
        <v>45982</v>
      </c>
      <c r="C458" t="s">
        <v>708</v>
      </c>
      <c r="D458" t="s">
        <v>40</v>
      </c>
      <c r="E458" t="s">
        <v>48</v>
      </c>
      <c r="F458" t="s">
        <v>70</v>
      </c>
      <c r="G458">
        <v>6</v>
      </c>
      <c r="H458" s="5">
        <v>2041.35</v>
      </c>
      <c r="I458" s="4">
        <v>0.05</v>
      </c>
      <c r="J458" s="5">
        <v>11635.69</v>
      </c>
      <c r="K458" s="5">
        <v>6935.36</v>
      </c>
      <c r="L458" s="5">
        <v>4700.33</v>
      </c>
      <c r="M458" t="s">
        <v>57</v>
      </c>
      <c r="N458" t="s">
        <v>71</v>
      </c>
      <c r="O458" t="s">
        <v>44</v>
      </c>
    </row>
    <row r="459" spans="1:15">
      <c r="A459" t="s">
        <v>848</v>
      </c>
      <c r="B459" s="3">
        <v>46152</v>
      </c>
      <c r="C459" t="s">
        <v>849</v>
      </c>
      <c r="D459" t="s">
        <v>40</v>
      </c>
      <c r="E459" t="s">
        <v>48</v>
      </c>
      <c r="F459" t="s">
        <v>49</v>
      </c>
      <c r="G459">
        <v>3</v>
      </c>
      <c r="H459" s="5">
        <v>2722.45</v>
      </c>
      <c r="I459" s="4">
        <v>0.15</v>
      </c>
      <c r="J459" s="5">
        <v>6942.25</v>
      </c>
      <c r="K459" s="5">
        <v>5327.36</v>
      </c>
      <c r="L459" s="5">
        <v>1614.89</v>
      </c>
      <c r="M459" t="s">
        <v>35</v>
      </c>
      <c r="N459" t="s">
        <v>63</v>
      </c>
      <c r="O459" t="s">
        <v>44</v>
      </c>
    </row>
    <row r="460" spans="1:15">
      <c r="A460" t="s">
        <v>850</v>
      </c>
      <c r="B460" s="3">
        <v>45903</v>
      </c>
      <c r="C460" t="s">
        <v>851</v>
      </c>
      <c r="D460" t="s">
        <v>66</v>
      </c>
      <c r="E460" t="s">
        <v>41</v>
      </c>
      <c r="F460" t="s">
        <v>53</v>
      </c>
      <c r="G460">
        <v>2</v>
      </c>
      <c r="H460" s="5">
        <v>1667.23</v>
      </c>
      <c r="I460" s="4">
        <v>0.2</v>
      </c>
      <c r="J460" s="5">
        <v>2667.57</v>
      </c>
      <c r="K460" s="5">
        <v>2172.59</v>
      </c>
      <c r="L460" s="5">
        <v>494.98</v>
      </c>
      <c r="M460" t="s">
        <v>35</v>
      </c>
      <c r="N460" t="s">
        <v>63</v>
      </c>
      <c r="O460" t="s">
        <v>44</v>
      </c>
    </row>
    <row r="461" spans="1:15">
      <c r="A461" t="s">
        <v>852</v>
      </c>
      <c r="B461" s="3">
        <v>46090</v>
      </c>
      <c r="C461" t="s">
        <v>499</v>
      </c>
      <c r="D461" t="s">
        <v>134</v>
      </c>
      <c r="E461" t="s">
        <v>41</v>
      </c>
      <c r="F461" t="s">
        <v>53</v>
      </c>
      <c r="G461">
        <v>3</v>
      </c>
      <c r="H461" s="5">
        <v>1909.6</v>
      </c>
      <c r="I461" s="4">
        <v>0.1</v>
      </c>
      <c r="J461" s="5">
        <v>5155.92</v>
      </c>
      <c r="K461" s="5">
        <v>2905.8</v>
      </c>
      <c r="L461" s="5">
        <v>2250.12</v>
      </c>
      <c r="M461" t="s">
        <v>35</v>
      </c>
      <c r="N461" t="s">
        <v>71</v>
      </c>
      <c r="O461" t="s">
        <v>37</v>
      </c>
    </row>
    <row r="462" spans="1:15">
      <c r="A462" t="s">
        <v>853</v>
      </c>
      <c r="B462" s="3">
        <v>46001</v>
      </c>
      <c r="C462" t="s">
        <v>203</v>
      </c>
      <c r="D462" t="s">
        <v>56</v>
      </c>
      <c r="E462" t="s">
        <v>48</v>
      </c>
      <c r="F462" t="s">
        <v>102</v>
      </c>
      <c r="G462">
        <v>2</v>
      </c>
      <c r="H462" s="5">
        <v>1697.89</v>
      </c>
      <c r="I462" s="4">
        <v>0.05</v>
      </c>
      <c r="J462" s="5">
        <v>3225.99</v>
      </c>
      <c r="K462" s="5">
        <v>2541.77</v>
      </c>
      <c r="L462" s="5">
        <v>684.22</v>
      </c>
      <c r="M462" t="s">
        <v>35</v>
      </c>
      <c r="N462" t="s">
        <v>36</v>
      </c>
      <c r="O462" t="s">
        <v>44</v>
      </c>
    </row>
    <row r="463" spans="1:15">
      <c r="A463" t="s">
        <v>854</v>
      </c>
      <c r="B463" s="3">
        <v>46170</v>
      </c>
      <c r="C463" t="s">
        <v>682</v>
      </c>
      <c r="D463" t="s">
        <v>32</v>
      </c>
      <c r="E463" t="s">
        <v>33</v>
      </c>
      <c r="F463" t="s">
        <v>34</v>
      </c>
      <c r="G463">
        <v>6</v>
      </c>
      <c r="H463" s="5">
        <v>3491.88</v>
      </c>
      <c r="I463" s="4">
        <v>0.2</v>
      </c>
      <c r="J463" s="5">
        <v>16761.02</v>
      </c>
      <c r="K463" s="5">
        <v>11002.13</v>
      </c>
      <c r="L463" s="5">
        <v>5758.89</v>
      </c>
      <c r="M463" t="s">
        <v>57</v>
      </c>
      <c r="N463" t="s">
        <v>71</v>
      </c>
      <c r="O463" t="s">
        <v>44</v>
      </c>
    </row>
    <row r="464" spans="1:15">
      <c r="A464" t="s">
        <v>855</v>
      </c>
      <c r="B464" s="3">
        <v>46010</v>
      </c>
      <c r="C464" t="s">
        <v>725</v>
      </c>
      <c r="D464" t="s">
        <v>74</v>
      </c>
      <c r="E464" t="s">
        <v>48</v>
      </c>
      <c r="F464" t="s">
        <v>113</v>
      </c>
      <c r="G464">
        <v>2</v>
      </c>
      <c r="H464" s="5">
        <v>4906.79</v>
      </c>
      <c r="I464" s="4">
        <v>0.05</v>
      </c>
      <c r="J464" s="5">
        <v>9322.9</v>
      </c>
      <c r="K464" s="5">
        <v>6610.08</v>
      </c>
      <c r="L464" s="5">
        <v>2712.82</v>
      </c>
      <c r="M464" t="s">
        <v>57</v>
      </c>
      <c r="N464" t="s">
        <v>71</v>
      </c>
      <c r="O464" t="s">
        <v>44</v>
      </c>
    </row>
    <row r="465" spans="1:15">
      <c r="A465" t="s">
        <v>856</v>
      </c>
      <c r="B465" s="3">
        <v>45749</v>
      </c>
      <c r="C465" t="s">
        <v>857</v>
      </c>
      <c r="D465" t="s">
        <v>60</v>
      </c>
      <c r="E465" t="s">
        <v>41</v>
      </c>
      <c r="F465" t="s">
        <v>119</v>
      </c>
      <c r="G465">
        <v>6</v>
      </c>
      <c r="H465" s="5">
        <v>4364.38</v>
      </c>
      <c r="I465" s="4">
        <v>0</v>
      </c>
      <c r="J465" s="5">
        <v>26186.28</v>
      </c>
      <c r="K465" s="5">
        <v>15649.26</v>
      </c>
      <c r="L465" s="5">
        <v>10537.02</v>
      </c>
      <c r="M465" t="s">
        <v>35</v>
      </c>
      <c r="N465" t="s">
        <v>36</v>
      </c>
      <c r="O465" t="s">
        <v>44</v>
      </c>
    </row>
    <row r="466" spans="1:15">
      <c r="A466" t="s">
        <v>858</v>
      </c>
      <c r="B466" s="3">
        <v>45898</v>
      </c>
      <c r="C466" t="s">
        <v>859</v>
      </c>
      <c r="D466" t="s">
        <v>134</v>
      </c>
      <c r="E466" t="s">
        <v>61</v>
      </c>
      <c r="F466" t="s">
        <v>89</v>
      </c>
      <c r="G466">
        <v>3</v>
      </c>
      <c r="H466" s="5">
        <v>1648.68</v>
      </c>
      <c r="I466" s="4">
        <v>0.05</v>
      </c>
      <c r="J466" s="5">
        <v>4698.74</v>
      </c>
      <c r="K466" s="5">
        <v>3701.04</v>
      </c>
      <c r="L466" s="5">
        <v>997.7</v>
      </c>
      <c r="M466" t="s">
        <v>35</v>
      </c>
      <c r="N466" t="s">
        <v>71</v>
      </c>
      <c r="O466" t="s">
        <v>37</v>
      </c>
    </row>
    <row r="467" spans="1:15">
      <c r="A467" t="s">
        <v>860</v>
      </c>
      <c r="B467" s="3">
        <v>46230</v>
      </c>
      <c r="C467" t="s">
        <v>382</v>
      </c>
      <c r="D467" t="s">
        <v>74</v>
      </c>
      <c r="E467" t="s">
        <v>33</v>
      </c>
      <c r="F467" t="s">
        <v>34</v>
      </c>
      <c r="G467">
        <v>6</v>
      </c>
      <c r="H467" s="5">
        <v>4259.66</v>
      </c>
      <c r="I467" s="4">
        <v>0.1</v>
      </c>
      <c r="J467" s="5">
        <v>23002.16</v>
      </c>
      <c r="K467" s="5">
        <v>17048.25</v>
      </c>
      <c r="L467" s="5">
        <v>5953.91</v>
      </c>
      <c r="M467" t="s">
        <v>35</v>
      </c>
      <c r="N467" t="s">
        <v>36</v>
      </c>
      <c r="O467" t="s">
        <v>44</v>
      </c>
    </row>
    <row r="468" spans="1:15">
      <c r="A468" t="s">
        <v>861</v>
      </c>
      <c r="B468" s="3">
        <v>45909</v>
      </c>
      <c r="C468" t="s">
        <v>725</v>
      </c>
      <c r="D468" t="s">
        <v>66</v>
      </c>
      <c r="E468" t="s">
        <v>61</v>
      </c>
      <c r="F468" t="s">
        <v>129</v>
      </c>
      <c r="G468">
        <v>3</v>
      </c>
      <c r="H468" s="5">
        <v>504.44</v>
      </c>
      <c r="I468" s="4">
        <v>0.05</v>
      </c>
      <c r="J468" s="5">
        <v>1437.65</v>
      </c>
      <c r="K468" s="5">
        <v>939.95</v>
      </c>
      <c r="L468" s="5">
        <v>497.7</v>
      </c>
      <c r="M468" t="s">
        <v>35</v>
      </c>
      <c r="N468" t="s">
        <v>63</v>
      </c>
      <c r="O468" t="s">
        <v>44</v>
      </c>
    </row>
    <row r="469" spans="1:15">
      <c r="A469" t="s">
        <v>862</v>
      </c>
      <c r="B469" s="3">
        <v>45987</v>
      </c>
      <c r="C469" t="s">
        <v>232</v>
      </c>
      <c r="D469" t="s">
        <v>134</v>
      </c>
      <c r="E469" t="s">
        <v>33</v>
      </c>
      <c r="F469" t="s">
        <v>34</v>
      </c>
      <c r="G469">
        <v>5</v>
      </c>
      <c r="H469" s="5">
        <v>3190.65</v>
      </c>
      <c r="I469" s="4">
        <v>0.05</v>
      </c>
      <c r="J469" s="5">
        <v>15155.59</v>
      </c>
      <c r="K469" s="5">
        <v>12808.38</v>
      </c>
      <c r="L469" s="5">
        <v>2347.21</v>
      </c>
      <c r="M469" t="s">
        <v>35</v>
      </c>
      <c r="N469" t="s">
        <v>36</v>
      </c>
      <c r="O469" t="s">
        <v>44</v>
      </c>
    </row>
    <row r="470" spans="1:15">
      <c r="A470" t="s">
        <v>863</v>
      </c>
      <c r="B470" s="3">
        <v>46163</v>
      </c>
      <c r="C470" t="s">
        <v>864</v>
      </c>
      <c r="D470" t="s">
        <v>60</v>
      </c>
      <c r="E470" t="s">
        <v>33</v>
      </c>
      <c r="F470" t="s">
        <v>67</v>
      </c>
      <c r="G470">
        <v>1</v>
      </c>
      <c r="H470" s="5">
        <v>957.58</v>
      </c>
      <c r="I470" s="4">
        <v>0</v>
      </c>
      <c r="J470" s="5">
        <v>957.58</v>
      </c>
      <c r="K470" s="5">
        <v>799.09</v>
      </c>
      <c r="L470" s="5">
        <v>158.49</v>
      </c>
      <c r="M470" t="s">
        <v>35</v>
      </c>
      <c r="N470" t="s">
        <v>71</v>
      </c>
      <c r="O470" t="s">
        <v>44</v>
      </c>
    </row>
    <row r="471" spans="1:15">
      <c r="A471" t="s">
        <v>865</v>
      </c>
      <c r="B471" s="3">
        <v>46016</v>
      </c>
      <c r="C471" t="s">
        <v>600</v>
      </c>
      <c r="D471" t="s">
        <v>60</v>
      </c>
      <c r="E471" t="s">
        <v>41</v>
      </c>
      <c r="F471" t="s">
        <v>53</v>
      </c>
      <c r="G471">
        <v>6</v>
      </c>
      <c r="H471" s="5">
        <v>884.67</v>
      </c>
      <c r="I471" s="4">
        <v>0.05</v>
      </c>
      <c r="J471" s="5">
        <v>5042.62</v>
      </c>
      <c r="K471" s="5">
        <v>3281.41</v>
      </c>
      <c r="L471" s="5">
        <v>1761.21</v>
      </c>
      <c r="M471" t="s">
        <v>57</v>
      </c>
      <c r="N471" t="s">
        <v>36</v>
      </c>
      <c r="O471" t="s">
        <v>44</v>
      </c>
    </row>
    <row r="472" spans="1:15">
      <c r="A472" t="s">
        <v>866</v>
      </c>
      <c r="B472" s="3">
        <v>46007</v>
      </c>
      <c r="C472" t="s">
        <v>290</v>
      </c>
      <c r="D472" t="s">
        <v>32</v>
      </c>
      <c r="E472" t="s">
        <v>41</v>
      </c>
      <c r="F472" t="s">
        <v>119</v>
      </c>
      <c r="G472">
        <v>4</v>
      </c>
      <c r="H472" s="5">
        <v>2162.0300000000002</v>
      </c>
      <c r="I472" s="4">
        <v>0.05</v>
      </c>
      <c r="J472" s="5">
        <v>8215.7099999999991</v>
      </c>
      <c r="K472" s="5">
        <v>6895.92</v>
      </c>
      <c r="L472" s="5">
        <v>1319.79</v>
      </c>
      <c r="M472" t="s">
        <v>57</v>
      </c>
      <c r="N472" t="s">
        <v>36</v>
      </c>
      <c r="O472" t="s">
        <v>44</v>
      </c>
    </row>
    <row r="473" spans="1:15">
      <c r="A473" t="s">
        <v>867</v>
      </c>
      <c r="B473" s="3">
        <v>45829</v>
      </c>
      <c r="C473" t="s">
        <v>829</v>
      </c>
      <c r="D473" t="s">
        <v>66</v>
      </c>
      <c r="E473" t="s">
        <v>48</v>
      </c>
      <c r="F473" t="s">
        <v>113</v>
      </c>
      <c r="G473">
        <v>5</v>
      </c>
      <c r="H473" s="5">
        <v>3232.85</v>
      </c>
      <c r="I473" s="4">
        <v>0.15</v>
      </c>
      <c r="J473" s="5">
        <v>13739.61</v>
      </c>
      <c r="K473" s="5">
        <v>11280.44</v>
      </c>
      <c r="L473" s="5">
        <v>2459.17</v>
      </c>
      <c r="M473" t="s">
        <v>57</v>
      </c>
      <c r="N473" t="s">
        <v>63</v>
      </c>
      <c r="O473" t="s">
        <v>37</v>
      </c>
    </row>
    <row r="474" spans="1:15">
      <c r="A474" t="s">
        <v>868</v>
      </c>
      <c r="B474" s="3">
        <v>45694</v>
      </c>
      <c r="C474" t="s">
        <v>236</v>
      </c>
      <c r="D474" t="s">
        <v>56</v>
      </c>
      <c r="E474" t="s">
        <v>61</v>
      </c>
      <c r="F474" t="s">
        <v>62</v>
      </c>
      <c r="G474">
        <v>2</v>
      </c>
      <c r="H474" s="5">
        <v>548.47</v>
      </c>
      <c r="I474" s="4">
        <v>0.15</v>
      </c>
      <c r="J474" s="5">
        <v>932.4</v>
      </c>
      <c r="K474" s="5">
        <v>550.33000000000004</v>
      </c>
      <c r="L474" s="5">
        <v>382.07</v>
      </c>
      <c r="M474" t="s">
        <v>57</v>
      </c>
      <c r="N474" t="s">
        <v>71</v>
      </c>
      <c r="O474" t="s">
        <v>37</v>
      </c>
    </row>
    <row r="475" spans="1:15">
      <c r="A475" t="s">
        <v>869</v>
      </c>
      <c r="B475" s="3">
        <v>46168</v>
      </c>
      <c r="C475" t="s">
        <v>259</v>
      </c>
      <c r="D475" t="s">
        <v>47</v>
      </c>
      <c r="E475" t="s">
        <v>48</v>
      </c>
      <c r="F475" t="s">
        <v>99</v>
      </c>
      <c r="G475">
        <v>2</v>
      </c>
      <c r="H475" s="5">
        <v>4030.57</v>
      </c>
      <c r="I475" s="4">
        <v>0.1</v>
      </c>
      <c r="J475" s="5">
        <v>7255.03</v>
      </c>
      <c r="K475" s="5">
        <v>5574.34</v>
      </c>
      <c r="L475" s="5">
        <v>1680.69</v>
      </c>
      <c r="M475" t="s">
        <v>57</v>
      </c>
      <c r="N475" t="s">
        <v>71</v>
      </c>
      <c r="O475" t="s">
        <v>44</v>
      </c>
    </row>
    <row r="476" spans="1:15">
      <c r="A476" t="s">
        <v>870</v>
      </c>
      <c r="B476" s="3">
        <v>45860</v>
      </c>
      <c r="C476" t="s">
        <v>871</v>
      </c>
      <c r="D476" t="s">
        <v>95</v>
      </c>
      <c r="E476" t="s">
        <v>61</v>
      </c>
      <c r="F476" t="s">
        <v>89</v>
      </c>
      <c r="G476">
        <v>4</v>
      </c>
      <c r="H476" s="5">
        <v>4203.66</v>
      </c>
      <c r="I476" s="4">
        <v>0.2</v>
      </c>
      <c r="J476" s="5">
        <v>13451.71</v>
      </c>
      <c r="K476" s="5">
        <v>8828.34</v>
      </c>
      <c r="L476" s="5">
        <v>4623.37</v>
      </c>
      <c r="M476" t="s">
        <v>35</v>
      </c>
      <c r="N476" t="s">
        <v>71</v>
      </c>
      <c r="O476" t="s">
        <v>44</v>
      </c>
    </row>
    <row r="477" spans="1:15">
      <c r="A477" t="s">
        <v>872</v>
      </c>
      <c r="B477" s="3">
        <v>46163</v>
      </c>
      <c r="C477" t="s">
        <v>466</v>
      </c>
      <c r="D477" t="s">
        <v>40</v>
      </c>
      <c r="E477" t="s">
        <v>41</v>
      </c>
      <c r="F477" t="s">
        <v>153</v>
      </c>
      <c r="G477">
        <v>5</v>
      </c>
      <c r="H477" s="5">
        <v>1726.95</v>
      </c>
      <c r="I477" s="4">
        <v>0</v>
      </c>
      <c r="J477" s="5">
        <v>8634.75</v>
      </c>
      <c r="K477" s="5">
        <v>5041.17</v>
      </c>
      <c r="L477" s="5">
        <v>3593.58</v>
      </c>
      <c r="M477" t="s">
        <v>35</v>
      </c>
      <c r="N477" t="s">
        <v>63</v>
      </c>
      <c r="O477" t="s">
        <v>44</v>
      </c>
    </row>
    <row r="478" spans="1:15">
      <c r="A478" t="s">
        <v>873</v>
      </c>
      <c r="B478" s="3">
        <v>45721</v>
      </c>
      <c r="C478" t="s">
        <v>435</v>
      </c>
      <c r="D478" t="s">
        <v>74</v>
      </c>
      <c r="E478" t="s">
        <v>61</v>
      </c>
      <c r="F478" t="s">
        <v>81</v>
      </c>
      <c r="G478">
        <v>2</v>
      </c>
      <c r="H478" s="5">
        <v>1154.03</v>
      </c>
      <c r="I478" s="4">
        <v>0.15</v>
      </c>
      <c r="J478" s="5">
        <v>1961.85</v>
      </c>
      <c r="K478" s="5">
        <v>1437.6</v>
      </c>
      <c r="L478" s="5">
        <v>524.25</v>
      </c>
      <c r="M478" t="s">
        <v>35</v>
      </c>
      <c r="N478" t="s">
        <v>71</v>
      </c>
      <c r="O478" t="s">
        <v>44</v>
      </c>
    </row>
    <row r="479" spans="1:15">
      <c r="A479" t="s">
        <v>874</v>
      </c>
      <c r="B479" s="3">
        <v>45730</v>
      </c>
      <c r="C479" t="s">
        <v>497</v>
      </c>
      <c r="D479" t="s">
        <v>60</v>
      </c>
      <c r="E479" t="s">
        <v>41</v>
      </c>
      <c r="F479" t="s">
        <v>119</v>
      </c>
      <c r="G479">
        <v>2</v>
      </c>
      <c r="H479" s="5">
        <v>1049.3499999999999</v>
      </c>
      <c r="I479" s="4">
        <v>0.1</v>
      </c>
      <c r="J479" s="5">
        <v>1888.83</v>
      </c>
      <c r="K479" s="5">
        <v>1147.4000000000001</v>
      </c>
      <c r="L479" s="5">
        <v>741.43</v>
      </c>
      <c r="M479" t="s">
        <v>57</v>
      </c>
      <c r="N479" t="s">
        <v>63</v>
      </c>
      <c r="O479" t="s">
        <v>37</v>
      </c>
    </row>
    <row r="480" spans="1:15">
      <c r="A480" t="s">
        <v>875</v>
      </c>
      <c r="B480" s="3">
        <v>45841</v>
      </c>
      <c r="C480" t="s">
        <v>731</v>
      </c>
      <c r="D480" t="s">
        <v>66</v>
      </c>
      <c r="E480" t="s">
        <v>41</v>
      </c>
      <c r="F480" t="s">
        <v>53</v>
      </c>
      <c r="G480">
        <v>5</v>
      </c>
      <c r="H480" s="5">
        <v>1705.63</v>
      </c>
      <c r="I480" s="4">
        <v>0</v>
      </c>
      <c r="J480" s="5">
        <v>8528.15</v>
      </c>
      <c r="K480" s="5">
        <v>7132.13</v>
      </c>
      <c r="L480" s="5">
        <v>1396.02</v>
      </c>
      <c r="M480" t="s">
        <v>57</v>
      </c>
      <c r="N480" t="s">
        <v>36</v>
      </c>
      <c r="O480" t="s">
        <v>44</v>
      </c>
    </row>
    <row r="481" spans="1:15">
      <c r="A481" t="s">
        <v>876</v>
      </c>
      <c r="B481" s="3">
        <v>45848</v>
      </c>
      <c r="C481" t="s">
        <v>288</v>
      </c>
      <c r="D481" t="s">
        <v>47</v>
      </c>
      <c r="E481" t="s">
        <v>33</v>
      </c>
      <c r="F481" t="s">
        <v>176</v>
      </c>
      <c r="G481">
        <v>1</v>
      </c>
      <c r="H481" s="5">
        <v>3506.46</v>
      </c>
      <c r="I481" s="4">
        <v>0.2</v>
      </c>
      <c r="J481" s="5">
        <v>2805.17</v>
      </c>
      <c r="K481" s="5">
        <v>1893.04</v>
      </c>
      <c r="L481" s="5">
        <v>912.13</v>
      </c>
      <c r="M481" t="s">
        <v>57</v>
      </c>
      <c r="N481" t="s">
        <v>71</v>
      </c>
      <c r="O481" t="s">
        <v>44</v>
      </c>
    </row>
    <row r="482" spans="1:15">
      <c r="A482" t="s">
        <v>877</v>
      </c>
      <c r="B482" s="3">
        <v>45809</v>
      </c>
      <c r="C482" t="s">
        <v>550</v>
      </c>
      <c r="D482" t="s">
        <v>52</v>
      </c>
      <c r="E482" t="s">
        <v>48</v>
      </c>
      <c r="F482" t="s">
        <v>99</v>
      </c>
      <c r="G482">
        <v>4</v>
      </c>
      <c r="H482" s="5">
        <v>3582.64</v>
      </c>
      <c r="I482" s="4">
        <v>0.1</v>
      </c>
      <c r="J482" s="5">
        <v>12897.5</v>
      </c>
      <c r="K482" s="5">
        <v>8570.02</v>
      </c>
      <c r="L482" s="5">
        <v>4327.4799999999996</v>
      </c>
      <c r="M482" t="s">
        <v>57</v>
      </c>
      <c r="N482" t="s">
        <v>43</v>
      </c>
      <c r="O482" t="s">
        <v>37</v>
      </c>
    </row>
    <row r="483" spans="1:15">
      <c r="A483" t="s">
        <v>878</v>
      </c>
      <c r="B483" s="3">
        <v>46209</v>
      </c>
      <c r="C483" t="s">
        <v>600</v>
      </c>
      <c r="D483" t="s">
        <v>52</v>
      </c>
      <c r="E483" t="s">
        <v>48</v>
      </c>
      <c r="F483" t="s">
        <v>102</v>
      </c>
      <c r="G483">
        <v>3</v>
      </c>
      <c r="H483" s="5">
        <v>3583.91</v>
      </c>
      <c r="I483" s="4">
        <v>0.15</v>
      </c>
      <c r="J483" s="5">
        <v>9138.9699999999993</v>
      </c>
      <c r="K483" s="5">
        <v>6095.94</v>
      </c>
      <c r="L483" s="5">
        <v>3043.03</v>
      </c>
      <c r="M483" t="s">
        <v>35</v>
      </c>
      <c r="N483" t="s">
        <v>43</v>
      </c>
      <c r="O483" t="s">
        <v>44</v>
      </c>
    </row>
    <row r="484" spans="1:15">
      <c r="A484" t="s">
        <v>879</v>
      </c>
      <c r="B484" s="3">
        <v>45667</v>
      </c>
      <c r="C484" t="s">
        <v>414</v>
      </c>
      <c r="D484" t="s">
        <v>95</v>
      </c>
      <c r="E484" t="s">
        <v>61</v>
      </c>
      <c r="F484" t="s">
        <v>62</v>
      </c>
      <c r="G484">
        <v>4</v>
      </c>
      <c r="H484" s="5">
        <v>5432.19</v>
      </c>
      <c r="I484" s="4">
        <v>0</v>
      </c>
      <c r="J484" s="5">
        <v>21728.76</v>
      </c>
      <c r="K484" s="5">
        <v>12325.45</v>
      </c>
      <c r="L484" s="5">
        <v>9403.31</v>
      </c>
      <c r="M484" t="s">
        <v>57</v>
      </c>
      <c r="N484" t="s">
        <v>43</v>
      </c>
      <c r="O484" t="s">
        <v>44</v>
      </c>
    </row>
    <row r="485" spans="1:15">
      <c r="A485" t="s">
        <v>880</v>
      </c>
      <c r="B485" s="3">
        <v>45984</v>
      </c>
      <c r="C485" t="s">
        <v>59</v>
      </c>
      <c r="D485" t="s">
        <v>32</v>
      </c>
      <c r="E485" t="s">
        <v>61</v>
      </c>
      <c r="F485" t="s">
        <v>84</v>
      </c>
      <c r="G485">
        <v>6</v>
      </c>
      <c r="H485" s="5">
        <v>3562.24</v>
      </c>
      <c r="I485" s="4">
        <v>0.05</v>
      </c>
      <c r="J485" s="5">
        <v>20304.77</v>
      </c>
      <c r="K485" s="5">
        <v>16031.51</v>
      </c>
      <c r="L485" s="5">
        <v>4273.26</v>
      </c>
      <c r="M485" t="s">
        <v>35</v>
      </c>
      <c r="N485" t="s">
        <v>43</v>
      </c>
      <c r="O485" t="s">
        <v>44</v>
      </c>
    </row>
    <row r="486" spans="1:15">
      <c r="A486" t="s">
        <v>881</v>
      </c>
      <c r="B486" s="3">
        <v>46093</v>
      </c>
      <c r="C486" t="s">
        <v>573</v>
      </c>
      <c r="D486" t="s">
        <v>74</v>
      </c>
      <c r="E486" t="s">
        <v>41</v>
      </c>
      <c r="F486" t="s">
        <v>42</v>
      </c>
      <c r="G486">
        <v>3</v>
      </c>
      <c r="H486" s="5">
        <v>4593.13</v>
      </c>
      <c r="I486" s="4">
        <v>0.15</v>
      </c>
      <c r="J486" s="5">
        <v>11712.48</v>
      </c>
      <c r="K486" s="5">
        <v>9103.6200000000008</v>
      </c>
      <c r="L486" s="5">
        <v>2608.86</v>
      </c>
      <c r="M486" t="s">
        <v>57</v>
      </c>
      <c r="N486" t="s">
        <v>71</v>
      </c>
      <c r="O486" t="s">
        <v>37</v>
      </c>
    </row>
    <row r="487" spans="1:15">
      <c r="A487" t="s">
        <v>882</v>
      </c>
      <c r="B487" s="3">
        <v>46206</v>
      </c>
      <c r="C487" t="s">
        <v>332</v>
      </c>
      <c r="D487" t="s">
        <v>40</v>
      </c>
      <c r="E487" t="s">
        <v>41</v>
      </c>
      <c r="F487" t="s">
        <v>119</v>
      </c>
      <c r="G487">
        <v>2</v>
      </c>
      <c r="H487" s="5">
        <v>2381.56</v>
      </c>
      <c r="I487" s="4">
        <v>0.05</v>
      </c>
      <c r="J487" s="5">
        <v>4524.96</v>
      </c>
      <c r="K487" s="5">
        <v>3706.75</v>
      </c>
      <c r="L487" s="5">
        <v>818.21</v>
      </c>
      <c r="M487" t="s">
        <v>57</v>
      </c>
      <c r="N487" t="s">
        <v>36</v>
      </c>
      <c r="O487" t="s">
        <v>44</v>
      </c>
    </row>
    <row r="488" spans="1:15">
      <c r="A488" t="s">
        <v>883</v>
      </c>
      <c r="B488" s="3">
        <v>45776</v>
      </c>
      <c r="C488" t="s">
        <v>839</v>
      </c>
      <c r="D488" t="s">
        <v>60</v>
      </c>
      <c r="E488" t="s">
        <v>33</v>
      </c>
      <c r="F488" t="s">
        <v>34</v>
      </c>
      <c r="G488">
        <v>2</v>
      </c>
      <c r="H488" s="5">
        <v>1468.97</v>
      </c>
      <c r="I488" s="4">
        <v>0.15</v>
      </c>
      <c r="J488" s="5">
        <v>2497.25</v>
      </c>
      <c r="K488" s="5">
        <v>1460.12</v>
      </c>
      <c r="L488" s="5">
        <v>1037.1300000000001</v>
      </c>
      <c r="M488" t="s">
        <v>57</v>
      </c>
      <c r="N488" t="s">
        <v>63</v>
      </c>
      <c r="O488" t="s">
        <v>44</v>
      </c>
    </row>
    <row r="489" spans="1:15">
      <c r="A489" t="s">
        <v>884</v>
      </c>
      <c r="B489" s="3">
        <v>46147</v>
      </c>
      <c r="C489" t="s">
        <v>885</v>
      </c>
      <c r="D489" t="s">
        <v>66</v>
      </c>
      <c r="E489" t="s">
        <v>33</v>
      </c>
      <c r="F489" t="s">
        <v>176</v>
      </c>
      <c r="G489">
        <v>4</v>
      </c>
      <c r="H489" s="5">
        <v>3585.56</v>
      </c>
      <c r="I489" s="4">
        <v>0</v>
      </c>
      <c r="J489" s="5">
        <v>14342.24</v>
      </c>
      <c r="K489" s="5">
        <v>8676.68</v>
      </c>
      <c r="L489" s="5">
        <v>5665.56</v>
      </c>
      <c r="M489" t="s">
        <v>35</v>
      </c>
      <c r="N489" t="s">
        <v>43</v>
      </c>
      <c r="O489" t="s">
        <v>37</v>
      </c>
    </row>
    <row r="490" spans="1:15">
      <c r="A490" t="s">
        <v>886</v>
      </c>
      <c r="B490" s="3">
        <v>45803</v>
      </c>
      <c r="C490" t="s">
        <v>808</v>
      </c>
      <c r="D490" t="s">
        <v>40</v>
      </c>
      <c r="E490" t="s">
        <v>41</v>
      </c>
      <c r="F490" t="s">
        <v>119</v>
      </c>
      <c r="G490">
        <v>5</v>
      </c>
      <c r="H490" s="5">
        <v>886.88</v>
      </c>
      <c r="I490" s="4">
        <v>0.2</v>
      </c>
      <c r="J490" s="5">
        <v>3547.52</v>
      </c>
      <c r="K490" s="5">
        <v>2837.62</v>
      </c>
      <c r="L490" s="5">
        <v>709.9</v>
      </c>
      <c r="M490" t="s">
        <v>57</v>
      </c>
      <c r="N490" t="s">
        <v>36</v>
      </c>
      <c r="O490" t="s">
        <v>44</v>
      </c>
    </row>
    <row r="491" spans="1:15">
      <c r="A491" t="s">
        <v>887</v>
      </c>
      <c r="B491" s="3">
        <v>45847</v>
      </c>
      <c r="C491" t="s">
        <v>888</v>
      </c>
      <c r="D491" t="s">
        <v>134</v>
      </c>
      <c r="E491" t="s">
        <v>48</v>
      </c>
      <c r="F491" t="s">
        <v>102</v>
      </c>
      <c r="G491">
        <v>5</v>
      </c>
      <c r="H491" s="5">
        <v>5469.13</v>
      </c>
      <c r="I491" s="4">
        <v>0</v>
      </c>
      <c r="J491" s="5">
        <v>27345.65</v>
      </c>
      <c r="K491" s="5">
        <v>16749.45</v>
      </c>
      <c r="L491" s="5">
        <v>10596.2</v>
      </c>
      <c r="M491" t="s">
        <v>57</v>
      </c>
      <c r="N491" t="s">
        <v>36</v>
      </c>
      <c r="O491" t="s">
        <v>44</v>
      </c>
    </row>
    <row r="492" spans="1:15">
      <c r="A492" t="s">
        <v>889</v>
      </c>
      <c r="B492" s="3">
        <v>46035</v>
      </c>
      <c r="C492" t="s">
        <v>445</v>
      </c>
      <c r="D492" t="s">
        <v>40</v>
      </c>
      <c r="E492" t="s">
        <v>41</v>
      </c>
      <c r="F492" t="s">
        <v>153</v>
      </c>
      <c r="G492">
        <v>6</v>
      </c>
      <c r="H492" s="5">
        <v>3477.95</v>
      </c>
      <c r="I492" s="4">
        <v>0.2</v>
      </c>
      <c r="J492" s="5">
        <v>16694.16</v>
      </c>
      <c r="K492" s="5">
        <v>13343.13</v>
      </c>
      <c r="L492" s="5">
        <v>3351.03</v>
      </c>
      <c r="M492" t="s">
        <v>57</v>
      </c>
      <c r="N492" t="s">
        <v>63</v>
      </c>
      <c r="O492" t="s">
        <v>44</v>
      </c>
    </row>
    <row r="493" spans="1:15">
      <c r="A493" t="s">
        <v>890</v>
      </c>
      <c r="B493" s="3">
        <v>46243</v>
      </c>
      <c r="C493" t="s">
        <v>725</v>
      </c>
      <c r="D493" t="s">
        <v>60</v>
      </c>
      <c r="E493" t="s">
        <v>61</v>
      </c>
      <c r="F493" t="s">
        <v>129</v>
      </c>
      <c r="G493">
        <v>5</v>
      </c>
      <c r="H493" s="5">
        <v>5058.66</v>
      </c>
      <c r="I493" s="4">
        <v>0</v>
      </c>
      <c r="J493" s="5">
        <v>25293.3</v>
      </c>
      <c r="K493" s="5">
        <v>19413.650000000001</v>
      </c>
      <c r="L493" s="5">
        <v>5879.65</v>
      </c>
      <c r="M493" t="s">
        <v>35</v>
      </c>
      <c r="N493" t="s">
        <v>36</v>
      </c>
      <c r="O493" t="s">
        <v>37</v>
      </c>
    </row>
    <row r="494" spans="1:15">
      <c r="A494" t="s">
        <v>891</v>
      </c>
      <c r="B494" s="3">
        <v>45785</v>
      </c>
      <c r="C494" t="s">
        <v>150</v>
      </c>
      <c r="D494" t="s">
        <v>60</v>
      </c>
      <c r="E494" t="s">
        <v>33</v>
      </c>
      <c r="F494" t="s">
        <v>176</v>
      </c>
      <c r="G494">
        <v>2</v>
      </c>
      <c r="H494" s="5">
        <v>5190.76</v>
      </c>
      <c r="I494" s="4">
        <v>0.15</v>
      </c>
      <c r="J494" s="5">
        <v>8824.2900000000009</v>
      </c>
      <c r="K494" s="5">
        <v>4946.45</v>
      </c>
      <c r="L494" s="5">
        <v>3877.84</v>
      </c>
      <c r="M494" t="s">
        <v>35</v>
      </c>
      <c r="N494" t="s">
        <v>36</v>
      </c>
      <c r="O494" t="s">
        <v>37</v>
      </c>
    </row>
    <row r="495" spans="1:15">
      <c r="A495" t="s">
        <v>892</v>
      </c>
      <c r="B495" s="3">
        <v>46031</v>
      </c>
      <c r="C495" t="s">
        <v>382</v>
      </c>
      <c r="D495" t="s">
        <v>32</v>
      </c>
      <c r="E495" t="s">
        <v>61</v>
      </c>
      <c r="F495" t="s">
        <v>84</v>
      </c>
      <c r="G495">
        <v>1</v>
      </c>
      <c r="H495" s="5">
        <v>350.12</v>
      </c>
      <c r="I495" s="4">
        <v>0.05</v>
      </c>
      <c r="J495" s="5">
        <v>332.61</v>
      </c>
      <c r="K495" s="5">
        <v>230.35</v>
      </c>
      <c r="L495" s="5">
        <v>102.26</v>
      </c>
      <c r="M495" t="s">
        <v>35</v>
      </c>
      <c r="N495" t="s">
        <v>63</v>
      </c>
      <c r="O495" t="s">
        <v>44</v>
      </c>
    </row>
    <row r="496" spans="1:15">
      <c r="A496" t="s">
        <v>893</v>
      </c>
      <c r="B496" s="3">
        <v>45891</v>
      </c>
      <c r="C496" t="s">
        <v>894</v>
      </c>
      <c r="D496" t="s">
        <v>47</v>
      </c>
      <c r="E496" t="s">
        <v>61</v>
      </c>
      <c r="F496" t="s">
        <v>81</v>
      </c>
      <c r="G496">
        <v>2</v>
      </c>
      <c r="H496" s="5">
        <v>2653.48</v>
      </c>
      <c r="I496" s="4">
        <v>0.2</v>
      </c>
      <c r="J496" s="5">
        <v>4245.57</v>
      </c>
      <c r="K496" s="5">
        <v>2779</v>
      </c>
      <c r="L496" s="5">
        <v>1466.57</v>
      </c>
      <c r="M496" t="s">
        <v>57</v>
      </c>
      <c r="N496" t="s">
        <v>71</v>
      </c>
      <c r="O496" t="s">
        <v>44</v>
      </c>
    </row>
    <row r="497" spans="1:15">
      <c r="A497" t="s">
        <v>895</v>
      </c>
      <c r="B497" s="3">
        <v>45893</v>
      </c>
      <c r="C497" t="s">
        <v>431</v>
      </c>
      <c r="D497" t="s">
        <v>74</v>
      </c>
      <c r="E497" t="s">
        <v>61</v>
      </c>
      <c r="F497" t="s">
        <v>62</v>
      </c>
      <c r="G497">
        <v>2</v>
      </c>
      <c r="H497" s="5">
        <v>3242.24</v>
      </c>
      <c r="I497" s="4">
        <v>0</v>
      </c>
      <c r="J497" s="5">
        <v>6484.48</v>
      </c>
      <c r="K497" s="5">
        <v>4193.07</v>
      </c>
      <c r="L497" s="5">
        <v>2291.41</v>
      </c>
      <c r="M497" t="s">
        <v>35</v>
      </c>
      <c r="N497" t="s">
        <v>43</v>
      </c>
      <c r="O497" t="s">
        <v>44</v>
      </c>
    </row>
    <row r="498" spans="1:15">
      <c r="A498" t="s">
        <v>896</v>
      </c>
      <c r="B498" s="3">
        <v>46257</v>
      </c>
      <c r="C498" t="s">
        <v>897</v>
      </c>
      <c r="D498" t="s">
        <v>74</v>
      </c>
      <c r="E498" t="s">
        <v>33</v>
      </c>
      <c r="F498" t="s">
        <v>176</v>
      </c>
      <c r="G498">
        <v>3</v>
      </c>
      <c r="H498" s="5">
        <v>346.26</v>
      </c>
      <c r="I498" s="4">
        <v>0</v>
      </c>
      <c r="J498" s="5">
        <v>1038.78</v>
      </c>
      <c r="K498" s="5">
        <v>817.86</v>
      </c>
      <c r="L498" s="5">
        <v>220.92</v>
      </c>
      <c r="M498" t="s">
        <v>35</v>
      </c>
      <c r="N498" t="s">
        <v>36</v>
      </c>
      <c r="O498" t="s">
        <v>44</v>
      </c>
    </row>
    <row r="499" spans="1:15">
      <c r="A499" t="s">
        <v>898</v>
      </c>
      <c r="B499" s="3">
        <v>46104</v>
      </c>
      <c r="C499" t="s">
        <v>536</v>
      </c>
      <c r="D499" t="s">
        <v>60</v>
      </c>
      <c r="E499" t="s">
        <v>41</v>
      </c>
      <c r="F499" t="s">
        <v>124</v>
      </c>
      <c r="G499">
        <v>4</v>
      </c>
      <c r="H499" s="5">
        <v>3175.7</v>
      </c>
      <c r="I499" s="4">
        <v>0.15</v>
      </c>
      <c r="J499" s="5">
        <v>10797.38</v>
      </c>
      <c r="K499" s="5">
        <v>7270.71</v>
      </c>
      <c r="L499" s="5">
        <v>3526.67</v>
      </c>
      <c r="M499" t="s">
        <v>57</v>
      </c>
      <c r="N499" t="s">
        <v>71</v>
      </c>
      <c r="O499" t="s">
        <v>44</v>
      </c>
    </row>
    <row r="500" spans="1:15">
      <c r="A500" t="s">
        <v>899</v>
      </c>
      <c r="B500" s="3">
        <v>45716</v>
      </c>
      <c r="C500" t="s">
        <v>193</v>
      </c>
      <c r="D500" t="s">
        <v>95</v>
      </c>
      <c r="E500" t="s">
        <v>33</v>
      </c>
      <c r="F500" t="s">
        <v>67</v>
      </c>
      <c r="G500">
        <v>4</v>
      </c>
      <c r="H500" s="5">
        <v>2711.42</v>
      </c>
      <c r="I500" s="4">
        <v>0.1</v>
      </c>
      <c r="J500" s="5">
        <v>9761.11</v>
      </c>
      <c r="K500" s="5">
        <v>8293.15</v>
      </c>
      <c r="L500" s="5">
        <v>1467.96</v>
      </c>
      <c r="M500" t="s">
        <v>57</v>
      </c>
      <c r="N500" t="s">
        <v>36</v>
      </c>
      <c r="O500" t="s">
        <v>44</v>
      </c>
    </row>
    <row r="501" spans="1:15">
      <c r="A501" t="s">
        <v>900</v>
      </c>
      <c r="B501" s="3">
        <v>45931</v>
      </c>
      <c r="C501" t="s">
        <v>901</v>
      </c>
      <c r="D501" t="s">
        <v>47</v>
      </c>
      <c r="E501" t="s">
        <v>61</v>
      </c>
      <c r="F501" t="s">
        <v>62</v>
      </c>
      <c r="G501">
        <v>1</v>
      </c>
      <c r="H501" s="5">
        <v>2461.6799999999998</v>
      </c>
      <c r="I501" s="4">
        <v>0.1</v>
      </c>
      <c r="J501" s="5">
        <v>2215.5100000000002</v>
      </c>
      <c r="K501" s="5">
        <v>1397</v>
      </c>
      <c r="L501" s="5">
        <v>818.51</v>
      </c>
      <c r="M501" t="s">
        <v>35</v>
      </c>
      <c r="N501" t="s">
        <v>71</v>
      </c>
      <c r="O501" t="s">
        <v>44</v>
      </c>
    </row>
    <row r="502" spans="1:15">
      <c r="A502" t="s">
        <v>902</v>
      </c>
      <c r="B502" s="3">
        <v>46256</v>
      </c>
      <c r="C502" t="s">
        <v>903</v>
      </c>
      <c r="D502" t="s">
        <v>74</v>
      </c>
      <c r="E502" t="s">
        <v>48</v>
      </c>
      <c r="F502" t="s">
        <v>49</v>
      </c>
      <c r="G502">
        <v>3</v>
      </c>
      <c r="H502" s="5">
        <v>540.44000000000005</v>
      </c>
      <c r="I502" s="4">
        <v>0.1</v>
      </c>
      <c r="J502" s="5">
        <v>1459.19</v>
      </c>
      <c r="K502" s="5">
        <v>1055.4100000000001</v>
      </c>
      <c r="L502" s="5">
        <v>403.78</v>
      </c>
      <c r="M502" t="s">
        <v>57</v>
      </c>
      <c r="N502" t="s">
        <v>43</v>
      </c>
      <c r="O502" t="s">
        <v>44</v>
      </c>
    </row>
    <row r="503" spans="1:15">
      <c r="A503" t="s">
        <v>904</v>
      </c>
      <c r="B503" s="3">
        <v>46203</v>
      </c>
      <c r="C503" t="s">
        <v>722</v>
      </c>
      <c r="D503" t="s">
        <v>52</v>
      </c>
      <c r="E503" t="s">
        <v>48</v>
      </c>
      <c r="F503" t="s">
        <v>113</v>
      </c>
      <c r="G503">
        <v>4</v>
      </c>
      <c r="H503" s="5">
        <v>4669.24</v>
      </c>
      <c r="I503" s="4">
        <v>0</v>
      </c>
      <c r="J503" s="5">
        <v>18676.96</v>
      </c>
      <c r="K503" s="5">
        <v>12772.89</v>
      </c>
      <c r="L503" s="5">
        <v>5904.07</v>
      </c>
      <c r="M503" t="s">
        <v>57</v>
      </c>
      <c r="N503" t="s">
        <v>43</v>
      </c>
      <c r="O503" t="s">
        <v>44</v>
      </c>
    </row>
    <row r="504" spans="1:15">
      <c r="A504" t="s">
        <v>905</v>
      </c>
      <c r="B504" s="3">
        <v>45959</v>
      </c>
      <c r="C504" t="s">
        <v>108</v>
      </c>
      <c r="D504" t="s">
        <v>32</v>
      </c>
      <c r="E504" t="s">
        <v>41</v>
      </c>
      <c r="F504" t="s">
        <v>124</v>
      </c>
      <c r="G504">
        <v>5</v>
      </c>
      <c r="H504" s="5">
        <v>1526.96</v>
      </c>
      <c r="I504" s="4">
        <v>0.2</v>
      </c>
      <c r="J504" s="5">
        <v>6107.84</v>
      </c>
      <c r="K504" s="5">
        <v>5000.24</v>
      </c>
      <c r="L504" s="5">
        <v>1107.5999999999999</v>
      </c>
      <c r="M504" t="s">
        <v>57</v>
      </c>
      <c r="N504" t="s">
        <v>71</v>
      </c>
      <c r="O504" t="s">
        <v>44</v>
      </c>
    </row>
    <row r="505" spans="1:15">
      <c r="A505" t="s">
        <v>906</v>
      </c>
      <c r="B505" s="3">
        <v>46214</v>
      </c>
      <c r="C505" t="s">
        <v>521</v>
      </c>
      <c r="D505" t="s">
        <v>66</v>
      </c>
      <c r="E505" t="s">
        <v>61</v>
      </c>
      <c r="F505" t="s">
        <v>84</v>
      </c>
      <c r="G505">
        <v>4</v>
      </c>
      <c r="H505" s="5">
        <v>4640.28</v>
      </c>
      <c r="I505" s="4">
        <v>0.15</v>
      </c>
      <c r="J505" s="5">
        <v>15776.95</v>
      </c>
      <c r="K505" s="5">
        <v>12984.2</v>
      </c>
      <c r="L505" s="5">
        <v>2792.75</v>
      </c>
      <c r="M505" t="s">
        <v>57</v>
      </c>
      <c r="N505" t="s">
        <v>63</v>
      </c>
      <c r="O505" t="s">
        <v>37</v>
      </c>
    </row>
    <row r="506" spans="1:15">
      <c r="A506" t="s">
        <v>907</v>
      </c>
      <c r="B506" s="3">
        <v>45715</v>
      </c>
      <c r="C506" t="s">
        <v>78</v>
      </c>
      <c r="D506" t="s">
        <v>95</v>
      </c>
      <c r="E506" t="s">
        <v>41</v>
      </c>
      <c r="F506" t="s">
        <v>153</v>
      </c>
      <c r="G506">
        <v>4</v>
      </c>
      <c r="H506" s="5">
        <v>2266.6999999999998</v>
      </c>
      <c r="I506" s="4">
        <v>0.2</v>
      </c>
      <c r="J506" s="5">
        <v>7253.44</v>
      </c>
      <c r="K506" s="5">
        <v>6126.86</v>
      </c>
      <c r="L506" s="5">
        <v>1126.58</v>
      </c>
      <c r="M506" t="s">
        <v>35</v>
      </c>
      <c r="N506" t="s">
        <v>71</v>
      </c>
      <c r="O506" t="s">
        <v>44</v>
      </c>
    </row>
    <row r="507" spans="1:15">
      <c r="A507" t="s">
        <v>908</v>
      </c>
      <c r="B507" s="3">
        <v>45661</v>
      </c>
      <c r="C507" t="s">
        <v>909</v>
      </c>
      <c r="D507" t="s">
        <v>66</v>
      </c>
      <c r="E507" t="s">
        <v>48</v>
      </c>
      <c r="F507" t="s">
        <v>113</v>
      </c>
      <c r="G507">
        <v>2</v>
      </c>
      <c r="H507" s="5">
        <v>5232.8500000000004</v>
      </c>
      <c r="I507" s="4">
        <v>0.2</v>
      </c>
      <c r="J507" s="5">
        <v>8372.56</v>
      </c>
      <c r="K507" s="5">
        <v>6490.14</v>
      </c>
      <c r="L507" s="5">
        <v>1882.42</v>
      </c>
      <c r="M507" t="s">
        <v>35</v>
      </c>
      <c r="N507" t="s">
        <v>43</v>
      </c>
      <c r="O507" t="s">
        <v>44</v>
      </c>
    </row>
    <row r="508" spans="1:15">
      <c r="A508" t="s">
        <v>910</v>
      </c>
      <c r="B508" s="3">
        <v>45921</v>
      </c>
      <c r="C508" t="s">
        <v>51</v>
      </c>
      <c r="D508" t="s">
        <v>47</v>
      </c>
      <c r="E508" t="s">
        <v>48</v>
      </c>
      <c r="F508" t="s">
        <v>102</v>
      </c>
      <c r="G508">
        <v>6</v>
      </c>
      <c r="H508" s="5">
        <v>3520.23</v>
      </c>
      <c r="I508" s="4">
        <v>0.05</v>
      </c>
      <c r="J508" s="5">
        <v>20065.310000000001</v>
      </c>
      <c r="K508" s="5">
        <v>16390.34</v>
      </c>
      <c r="L508" s="5">
        <v>3674.97</v>
      </c>
      <c r="M508" t="s">
        <v>35</v>
      </c>
      <c r="N508" t="s">
        <v>43</v>
      </c>
      <c r="O508" t="s">
        <v>37</v>
      </c>
    </row>
    <row r="509" spans="1:15">
      <c r="A509" t="s">
        <v>911</v>
      </c>
      <c r="B509" s="3">
        <v>45804</v>
      </c>
      <c r="C509" t="s">
        <v>271</v>
      </c>
      <c r="D509" t="s">
        <v>52</v>
      </c>
      <c r="E509" t="s">
        <v>61</v>
      </c>
      <c r="F509" t="s">
        <v>62</v>
      </c>
      <c r="G509">
        <v>2</v>
      </c>
      <c r="H509" s="5">
        <v>4938.6400000000003</v>
      </c>
      <c r="I509" s="4">
        <v>0.1</v>
      </c>
      <c r="J509" s="5">
        <v>8889.5499999999993</v>
      </c>
      <c r="K509" s="5">
        <v>5542.23</v>
      </c>
      <c r="L509" s="5">
        <v>3347.32</v>
      </c>
      <c r="M509" t="s">
        <v>35</v>
      </c>
      <c r="N509" t="s">
        <v>36</v>
      </c>
      <c r="O509" t="s">
        <v>44</v>
      </c>
    </row>
    <row r="510" spans="1:15">
      <c r="A510" t="s">
        <v>912</v>
      </c>
      <c r="B510" s="3">
        <v>45705</v>
      </c>
      <c r="C510" t="s">
        <v>545</v>
      </c>
      <c r="D510" t="s">
        <v>40</v>
      </c>
      <c r="E510" t="s">
        <v>41</v>
      </c>
      <c r="F510" t="s">
        <v>124</v>
      </c>
      <c r="G510">
        <v>2</v>
      </c>
      <c r="H510" s="5">
        <v>4975.09</v>
      </c>
      <c r="I510" s="4">
        <v>0.05</v>
      </c>
      <c r="J510" s="5">
        <v>9452.67</v>
      </c>
      <c r="K510" s="5">
        <v>7371.27</v>
      </c>
      <c r="L510" s="5">
        <v>2081.4</v>
      </c>
      <c r="M510" t="s">
        <v>35</v>
      </c>
      <c r="N510" t="s">
        <v>71</v>
      </c>
      <c r="O510" t="s">
        <v>44</v>
      </c>
    </row>
    <row r="511" spans="1:15">
      <c r="A511" t="s">
        <v>913</v>
      </c>
      <c r="B511" s="3">
        <v>46061</v>
      </c>
      <c r="C511" t="s">
        <v>914</v>
      </c>
      <c r="D511" t="s">
        <v>32</v>
      </c>
      <c r="E511" t="s">
        <v>41</v>
      </c>
      <c r="F511" t="s">
        <v>42</v>
      </c>
      <c r="G511">
        <v>4</v>
      </c>
      <c r="H511" s="5">
        <v>1844.55</v>
      </c>
      <c r="I511" s="4">
        <v>0.05</v>
      </c>
      <c r="J511" s="5">
        <v>7009.29</v>
      </c>
      <c r="K511" s="5">
        <v>5391.82</v>
      </c>
      <c r="L511" s="5">
        <v>1617.47</v>
      </c>
      <c r="M511" t="s">
        <v>57</v>
      </c>
      <c r="N511" t="s">
        <v>71</v>
      </c>
      <c r="O511" t="s">
        <v>44</v>
      </c>
    </row>
    <row r="512" spans="1:15">
      <c r="A512" t="s">
        <v>915</v>
      </c>
      <c r="B512" s="3">
        <v>46192</v>
      </c>
      <c r="C512" t="s">
        <v>115</v>
      </c>
      <c r="D512" t="s">
        <v>66</v>
      </c>
      <c r="E512" t="s">
        <v>33</v>
      </c>
      <c r="F512" t="s">
        <v>96</v>
      </c>
      <c r="G512">
        <v>6</v>
      </c>
      <c r="H512" s="5">
        <v>4662.4799999999996</v>
      </c>
      <c r="I512" s="4">
        <v>0</v>
      </c>
      <c r="J512" s="5">
        <v>27974.880000000001</v>
      </c>
      <c r="K512" s="5">
        <v>22084.720000000001</v>
      </c>
      <c r="L512" s="5">
        <v>5890.16</v>
      </c>
      <c r="M512" t="s">
        <v>35</v>
      </c>
      <c r="N512" t="s">
        <v>63</v>
      </c>
      <c r="O512" t="s">
        <v>37</v>
      </c>
    </row>
    <row r="513" spans="1:15">
      <c r="A513" t="s">
        <v>916</v>
      </c>
      <c r="B513" s="3">
        <v>45658</v>
      </c>
      <c r="C513" t="s">
        <v>596</v>
      </c>
      <c r="D513" t="s">
        <v>74</v>
      </c>
      <c r="E513" t="s">
        <v>41</v>
      </c>
      <c r="F513" t="s">
        <v>124</v>
      </c>
      <c r="G513">
        <v>2</v>
      </c>
      <c r="H513" s="5">
        <v>4863.7299999999996</v>
      </c>
      <c r="I513" s="4">
        <v>0</v>
      </c>
      <c r="J513" s="5">
        <v>9727.4599999999991</v>
      </c>
      <c r="K513" s="5">
        <v>7632.73</v>
      </c>
      <c r="L513" s="5">
        <v>2094.73</v>
      </c>
      <c r="M513" t="s">
        <v>57</v>
      </c>
      <c r="N513" t="s">
        <v>43</v>
      </c>
      <c r="O513" t="s">
        <v>44</v>
      </c>
    </row>
    <row r="514" spans="1:15">
      <c r="A514" t="s">
        <v>917</v>
      </c>
      <c r="B514" s="3">
        <v>46008</v>
      </c>
      <c r="C514" t="s">
        <v>540</v>
      </c>
      <c r="D514" t="s">
        <v>95</v>
      </c>
      <c r="E514" t="s">
        <v>48</v>
      </c>
      <c r="F514" t="s">
        <v>113</v>
      </c>
      <c r="G514">
        <v>4</v>
      </c>
      <c r="H514" s="5">
        <v>3640.66</v>
      </c>
      <c r="I514" s="4">
        <v>0.2</v>
      </c>
      <c r="J514" s="5">
        <v>11650.11</v>
      </c>
      <c r="K514" s="5">
        <v>8839.99</v>
      </c>
      <c r="L514" s="5">
        <v>2810.12</v>
      </c>
      <c r="M514" t="s">
        <v>35</v>
      </c>
      <c r="N514" t="s">
        <v>63</v>
      </c>
      <c r="O514" t="s">
        <v>37</v>
      </c>
    </row>
    <row r="515" spans="1:15">
      <c r="A515" t="s">
        <v>918</v>
      </c>
      <c r="B515" s="3">
        <v>45896</v>
      </c>
      <c r="C515" t="s">
        <v>802</v>
      </c>
      <c r="D515" t="s">
        <v>134</v>
      </c>
      <c r="E515" t="s">
        <v>48</v>
      </c>
      <c r="F515" t="s">
        <v>99</v>
      </c>
      <c r="G515">
        <v>2</v>
      </c>
      <c r="H515" s="5">
        <v>3358.68</v>
      </c>
      <c r="I515" s="4">
        <v>0.15</v>
      </c>
      <c r="J515" s="5">
        <v>5709.76</v>
      </c>
      <c r="K515" s="5">
        <v>4743.2299999999996</v>
      </c>
      <c r="L515" s="5">
        <v>966.53</v>
      </c>
      <c r="M515" t="s">
        <v>35</v>
      </c>
      <c r="N515" t="s">
        <v>36</v>
      </c>
      <c r="O515" t="s">
        <v>44</v>
      </c>
    </row>
    <row r="516" spans="1:15">
      <c r="A516" t="s">
        <v>919</v>
      </c>
      <c r="B516" s="3">
        <v>45710</v>
      </c>
      <c r="C516" t="s">
        <v>191</v>
      </c>
      <c r="D516" t="s">
        <v>95</v>
      </c>
      <c r="E516" t="s">
        <v>48</v>
      </c>
      <c r="F516" t="s">
        <v>70</v>
      </c>
      <c r="G516">
        <v>5</v>
      </c>
      <c r="H516" s="5">
        <v>2581.0500000000002</v>
      </c>
      <c r="I516" s="4">
        <v>0</v>
      </c>
      <c r="J516" s="5">
        <v>12905.25</v>
      </c>
      <c r="K516" s="5">
        <v>9221.31</v>
      </c>
      <c r="L516" s="5">
        <v>3683.94</v>
      </c>
      <c r="M516" t="s">
        <v>35</v>
      </c>
      <c r="N516" t="s">
        <v>63</v>
      </c>
      <c r="O516" t="s">
        <v>44</v>
      </c>
    </row>
    <row r="517" spans="1:15">
      <c r="A517" t="s">
        <v>920</v>
      </c>
      <c r="B517" s="3">
        <v>45956</v>
      </c>
      <c r="C517" t="s">
        <v>304</v>
      </c>
      <c r="D517" t="s">
        <v>60</v>
      </c>
      <c r="E517" t="s">
        <v>61</v>
      </c>
      <c r="F517" t="s">
        <v>81</v>
      </c>
      <c r="G517">
        <v>3</v>
      </c>
      <c r="H517" s="5">
        <v>1154.3699999999999</v>
      </c>
      <c r="I517" s="4">
        <v>0.2</v>
      </c>
      <c r="J517" s="5">
        <v>2770.49</v>
      </c>
      <c r="K517" s="5">
        <v>2230.4499999999998</v>
      </c>
      <c r="L517" s="5">
        <v>540.04</v>
      </c>
      <c r="M517" t="s">
        <v>35</v>
      </c>
      <c r="N517" t="s">
        <v>63</v>
      </c>
      <c r="O517" t="s">
        <v>37</v>
      </c>
    </row>
    <row r="518" spans="1:15">
      <c r="A518" t="s">
        <v>921</v>
      </c>
      <c r="B518" s="3">
        <v>45977</v>
      </c>
      <c r="C518" t="s">
        <v>901</v>
      </c>
      <c r="D518" t="s">
        <v>52</v>
      </c>
      <c r="E518" t="s">
        <v>33</v>
      </c>
      <c r="F518" t="s">
        <v>67</v>
      </c>
      <c r="G518">
        <v>6</v>
      </c>
      <c r="H518" s="5">
        <v>5050.8</v>
      </c>
      <c r="I518" s="4">
        <v>0.05</v>
      </c>
      <c r="J518" s="5">
        <v>28789.56</v>
      </c>
      <c r="K518" s="5">
        <v>22297.31</v>
      </c>
      <c r="L518" s="5">
        <v>6492.25</v>
      </c>
      <c r="M518" t="s">
        <v>35</v>
      </c>
      <c r="N518" t="s">
        <v>43</v>
      </c>
      <c r="O518" t="s">
        <v>44</v>
      </c>
    </row>
    <row r="519" spans="1:15">
      <c r="A519" t="s">
        <v>922</v>
      </c>
      <c r="B519" s="3">
        <v>45930</v>
      </c>
      <c r="C519" t="s">
        <v>923</v>
      </c>
      <c r="D519" t="s">
        <v>74</v>
      </c>
      <c r="E519" t="s">
        <v>33</v>
      </c>
      <c r="F519" t="s">
        <v>92</v>
      </c>
      <c r="G519">
        <v>3</v>
      </c>
      <c r="H519" s="5">
        <v>4969.43</v>
      </c>
      <c r="I519" s="4">
        <v>0.05</v>
      </c>
      <c r="J519" s="5">
        <v>14162.88</v>
      </c>
      <c r="K519" s="5">
        <v>10135.66</v>
      </c>
      <c r="L519" s="5">
        <v>4027.22</v>
      </c>
      <c r="M519" t="s">
        <v>35</v>
      </c>
      <c r="N519" t="s">
        <v>63</v>
      </c>
      <c r="O519" t="s">
        <v>37</v>
      </c>
    </row>
    <row r="520" spans="1:15">
      <c r="A520" t="s">
        <v>924</v>
      </c>
      <c r="B520" s="3">
        <v>45939</v>
      </c>
      <c r="C520" t="s">
        <v>318</v>
      </c>
      <c r="D520" t="s">
        <v>32</v>
      </c>
      <c r="E520" t="s">
        <v>33</v>
      </c>
      <c r="F520" t="s">
        <v>67</v>
      </c>
      <c r="G520">
        <v>1</v>
      </c>
      <c r="H520" s="5">
        <v>1401.98</v>
      </c>
      <c r="I520" s="4">
        <v>0</v>
      </c>
      <c r="J520" s="5">
        <v>1401.98</v>
      </c>
      <c r="K520" s="5">
        <v>960.85</v>
      </c>
      <c r="L520" s="5">
        <v>441.13</v>
      </c>
      <c r="M520" t="s">
        <v>57</v>
      </c>
      <c r="N520" t="s">
        <v>71</v>
      </c>
      <c r="O520" t="s">
        <v>44</v>
      </c>
    </row>
    <row r="521" spans="1:15">
      <c r="A521" t="s">
        <v>925</v>
      </c>
      <c r="B521" s="3">
        <v>45763</v>
      </c>
      <c r="C521" t="s">
        <v>372</v>
      </c>
      <c r="D521" t="s">
        <v>47</v>
      </c>
      <c r="E521" t="s">
        <v>41</v>
      </c>
      <c r="F521" t="s">
        <v>42</v>
      </c>
      <c r="G521">
        <v>4</v>
      </c>
      <c r="H521" s="5">
        <v>3178.74</v>
      </c>
      <c r="I521" s="4">
        <v>0.15</v>
      </c>
      <c r="J521" s="5">
        <v>10807.72</v>
      </c>
      <c r="K521" s="5">
        <v>7884.99</v>
      </c>
      <c r="L521" s="5">
        <v>2922.73</v>
      </c>
      <c r="M521" t="s">
        <v>57</v>
      </c>
      <c r="N521" t="s">
        <v>63</v>
      </c>
      <c r="O521" t="s">
        <v>44</v>
      </c>
    </row>
    <row r="522" spans="1:15">
      <c r="A522" t="s">
        <v>926</v>
      </c>
      <c r="B522" s="3">
        <v>45989</v>
      </c>
      <c r="C522" t="s">
        <v>927</v>
      </c>
      <c r="D522" t="s">
        <v>52</v>
      </c>
      <c r="E522" t="s">
        <v>33</v>
      </c>
      <c r="F522" t="s">
        <v>92</v>
      </c>
      <c r="G522">
        <v>6</v>
      </c>
      <c r="H522" s="5">
        <v>4721.8900000000003</v>
      </c>
      <c r="I522" s="4">
        <v>0.2</v>
      </c>
      <c r="J522" s="5">
        <v>22665.07</v>
      </c>
      <c r="K522" s="5">
        <v>16387.52</v>
      </c>
      <c r="L522" s="5">
        <v>6277.55</v>
      </c>
      <c r="M522" t="s">
        <v>35</v>
      </c>
      <c r="N522" t="s">
        <v>63</v>
      </c>
      <c r="O522" t="s">
        <v>44</v>
      </c>
    </row>
    <row r="523" spans="1:15">
      <c r="A523" t="s">
        <v>928</v>
      </c>
      <c r="B523" s="3">
        <v>46117</v>
      </c>
      <c r="C523" t="s">
        <v>273</v>
      </c>
      <c r="D523" t="s">
        <v>134</v>
      </c>
      <c r="E523" t="s">
        <v>61</v>
      </c>
      <c r="F523" t="s">
        <v>89</v>
      </c>
      <c r="G523">
        <v>6</v>
      </c>
      <c r="H523" s="5">
        <v>787.09</v>
      </c>
      <c r="I523" s="4">
        <v>0.1</v>
      </c>
      <c r="J523" s="5">
        <v>4250.29</v>
      </c>
      <c r="K523" s="5">
        <v>2533</v>
      </c>
      <c r="L523" s="5">
        <v>1717.29</v>
      </c>
      <c r="M523" t="s">
        <v>57</v>
      </c>
      <c r="N523" t="s">
        <v>63</v>
      </c>
      <c r="O523" t="s">
        <v>44</v>
      </c>
    </row>
    <row r="524" spans="1:15">
      <c r="A524" t="s">
        <v>929</v>
      </c>
      <c r="B524" s="3">
        <v>45944</v>
      </c>
      <c r="C524" t="s">
        <v>259</v>
      </c>
      <c r="D524" t="s">
        <v>95</v>
      </c>
      <c r="E524" t="s">
        <v>48</v>
      </c>
      <c r="F524" t="s">
        <v>113</v>
      </c>
      <c r="G524">
        <v>6</v>
      </c>
      <c r="H524" s="5">
        <v>4135.3</v>
      </c>
      <c r="I524" s="4">
        <v>0.2</v>
      </c>
      <c r="J524" s="5">
        <v>19849.439999999999</v>
      </c>
      <c r="K524" s="5">
        <v>13237.44</v>
      </c>
      <c r="L524" s="5">
        <v>6612</v>
      </c>
      <c r="M524" t="s">
        <v>35</v>
      </c>
      <c r="N524" t="s">
        <v>63</v>
      </c>
      <c r="O524" t="s">
        <v>37</v>
      </c>
    </row>
    <row r="525" spans="1:15">
      <c r="A525" t="s">
        <v>930</v>
      </c>
      <c r="B525" s="3">
        <v>46122</v>
      </c>
      <c r="C525" t="s">
        <v>931</v>
      </c>
      <c r="D525" t="s">
        <v>32</v>
      </c>
      <c r="E525" t="s">
        <v>41</v>
      </c>
      <c r="F525" t="s">
        <v>153</v>
      </c>
      <c r="G525">
        <v>6</v>
      </c>
      <c r="H525" s="5">
        <v>3962.61</v>
      </c>
      <c r="I525" s="4">
        <v>0.15</v>
      </c>
      <c r="J525" s="5">
        <v>20209.310000000001</v>
      </c>
      <c r="K525" s="5">
        <v>13905.35</v>
      </c>
      <c r="L525" s="5">
        <v>6303.96</v>
      </c>
      <c r="M525" t="s">
        <v>57</v>
      </c>
      <c r="N525" t="s">
        <v>63</v>
      </c>
      <c r="O525" t="s">
        <v>44</v>
      </c>
    </row>
    <row r="526" spans="1:15">
      <c r="A526" t="s">
        <v>932</v>
      </c>
      <c r="B526" s="3">
        <v>45922</v>
      </c>
      <c r="C526" t="s">
        <v>106</v>
      </c>
      <c r="D526" t="s">
        <v>66</v>
      </c>
      <c r="E526" t="s">
        <v>48</v>
      </c>
      <c r="F526" t="s">
        <v>113</v>
      </c>
      <c r="G526">
        <v>1</v>
      </c>
      <c r="H526" s="5">
        <v>1309.21</v>
      </c>
      <c r="I526" s="4">
        <v>0.2</v>
      </c>
      <c r="J526" s="5">
        <v>1047.3699999999999</v>
      </c>
      <c r="K526" s="5">
        <v>788.35</v>
      </c>
      <c r="L526" s="5">
        <v>259.02</v>
      </c>
      <c r="M526" t="s">
        <v>57</v>
      </c>
      <c r="N526" t="s">
        <v>36</v>
      </c>
      <c r="O526" t="s">
        <v>44</v>
      </c>
    </row>
    <row r="527" spans="1:15">
      <c r="A527" t="s">
        <v>933</v>
      </c>
      <c r="B527" s="3">
        <v>46057</v>
      </c>
      <c r="C527" t="s">
        <v>934</v>
      </c>
      <c r="D527" t="s">
        <v>60</v>
      </c>
      <c r="E527" t="s">
        <v>33</v>
      </c>
      <c r="F527" t="s">
        <v>34</v>
      </c>
      <c r="G527">
        <v>3</v>
      </c>
      <c r="H527" s="5">
        <v>752.36</v>
      </c>
      <c r="I527" s="4">
        <v>0.05</v>
      </c>
      <c r="J527" s="5">
        <v>2144.23</v>
      </c>
      <c r="K527" s="5">
        <v>1182.0899999999999</v>
      </c>
      <c r="L527" s="5">
        <v>962.14</v>
      </c>
      <c r="M527" t="s">
        <v>57</v>
      </c>
      <c r="N527" t="s">
        <v>36</v>
      </c>
      <c r="O527" t="s">
        <v>37</v>
      </c>
    </row>
    <row r="528" spans="1:15">
      <c r="A528" t="s">
        <v>935</v>
      </c>
      <c r="B528" s="3">
        <v>46022</v>
      </c>
      <c r="C528" t="s">
        <v>936</v>
      </c>
      <c r="D528" t="s">
        <v>95</v>
      </c>
      <c r="E528" t="s">
        <v>48</v>
      </c>
      <c r="F528" t="s">
        <v>99</v>
      </c>
      <c r="G528">
        <v>6</v>
      </c>
      <c r="H528" s="5">
        <v>2851.97</v>
      </c>
      <c r="I528" s="4">
        <v>0.05</v>
      </c>
      <c r="J528" s="5">
        <v>16256.23</v>
      </c>
      <c r="K528" s="5">
        <v>12647.79</v>
      </c>
      <c r="L528" s="5">
        <v>3608.44</v>
      </c>
      <c r="M528" t="s">
        <v>35</v>
      </c>
      <c r="N528" t="s">
        <v>43</v>
      </c>
      <c r="O528" t="s">
        <v>37</v>
      </c>
    </row>
    <row r="529" spans="1:15">
      <c r="A529" t="s">
        <v>937</v>
      </c>
      <c r="B529" s="3">
        <v>46161</v>
      </c>
      <c r="C529" t="s">
        <v>159</v>
      </c>
      <c r="D529" t="s">
        <v>74</v>
      </c>
      <c r="E529" t="s">
        <v>33</v>
      </c>
      <c r="F529" t="s">
        <v>92</v>
      </c>
      <c r="G529">
        <v>1</v>
      </c>
      <c r="H529" s="5">
        <v>3395.48</v>
      </c>
      <c r="I529" s="4">
        <v>0</v>
      </c>
      <c r="J529" s="5">
        <v>3395.48</v>
      </c>
      <c r="K529" s="5">
        <v>2311.85</v>
      </c>
      <c r="L529" s="5">
        <v>1083.6300000000001</v>
      </c>
      <c r="M529" t="s">
        <v>57</v>
      </c>
      <c r="N529" t="s">
        <v>36</v>
      </c>
      <c r="O529" t="s">
        <v>44</v>
      </c>
    </row>
    <row r="530" spans="1:15">
      <c r="A530" t="s">
        <v>938</v>
      </c>
      <c r="B530" s="3">
        <v>45805</v>
      </c>
      <c r="C530" t="s">
        <v>939</v>
      </c>
      <c r="D530" t="s">
        <v>66</v>
      </c>
      <c r="E530" t="s">
        <v>33</v>
      </c>
      <c r="F530" t="s">
        <v>96</v>
      </c>
      <c r="G530">
        <v>1</v>
      </c>
      <c r="H530" s="5">
        <v>2597.3200000000002</v>
      </c>
      <c r="I530" s="4">
        <v>0</v>
      </c>
      <c r="J530" s="5">
        <v>2597.3200000000002</v>
      </c>
      <c r="K530" s="5">
        <v>1856.8</v>
      </c>
      <c r="L530" s="5">
        <v>740.52</v>
      </c>
      <c r="M530" t="s">
        <v>35</v>
      </c>
      <c r="N530" t="s">
        <v>36</v>
      </c>
      <c r="O530" t="s">
        <v>44</v>
      </c>
    </row>
    <row r="531" spans="1:15">
      <c r="A531" t="s">
        <v>940</v>
      </c>
      <c r="B531" s="3">
        <v>46169</v>
      </c>
      <c r="C531" t="s">
        <v>941</v>
      </c>
      <c r="D531" t="s">
        <v>134</v>
      </c>
      <c r="E531" t="s">
        <v>33</v>
      </c>
      <c r="F531" t="s">
        <v>96</v>
      </c>
      <c r="G531">
        <v>1</v>
      </c>
      <c r="H531" s="5">
        <v>4653.55</v>
      </c>
      <c r="I531" s="4">
        <v>0</v>
      </c>
      <c r="J531" s="5">
        <v>4653.55</v>
      </c>
      <c r="K531" s="5">
        <v>3123.69</v>
      </c>
      <c r="L531" s="5">
        <v>1529.86</v>
      </c>
      <c r="M531" t="s">
        <v>57</v>
      </c>
      <c r="N531" t="s">
        <v>43</v>
      </c>
      <c r="O531" t="s">
        <v>44</v>
      </c>
    </row>
    <row r="532" spans="1:15">
      <c r="A532" t="s">
        <v>942</v>
      </c>
      <c r="B532" s="3">
        <v>45837</v>
      </c>
      <c r="C532" t="s">
        <v>943</v>
      </c>
      <c r="D532" t="s">
        <v>52</v>
      </c>
      <c r="E532" t="s">
        <v>48</v>
      </c>
      <c r="F532" t="s">
        <v>113</v>
      </c>
      <c r="G532">
        <v>3</v>
      </c>
      <c r="H532" s="5">
        <v>4386.79</v>
      </c>
      <c r="I532" s="4">
        <v>0.05</v>
      </c>
      <c r="J532" s="5">
        <v>12502.35</v>
      </c>
      <c r="K532" s="5">
        <v>9913.8700000000008</v>
      </c>
      <c r="L532" s="5">
        <v>2588.48</v>
      </c>
      <c r="M532" t="s">
        <v>57</v>
      </c>
      <c r="N532" t="s">
        <v>63</v>
      </c>
      <c r="O532" t="s">
        <v>37</v>
      </c>
    </row>
    <row r="533" spans="1:15">
      <c r="A533" t="s">
        <v>944</v>
      </c>
      <c r="B533" s="3">
        <v>45985</v>
      </c>
      <c r="C533" t="s">
        <v>894</v>
      </c>
      <c r="D533" t="s">
        <v>47</v>
      </c>
      <c r="E533" t="s">
        <v>48</v>
      </c>
      <c r="F533" t="s">
        <v>102</v>
      </c>
      <c r="G533">
        <v>5</v>
      </c>
      <c r="H533" s="5">
        <v>165.05</v>
      </c>
      <c r="I533" s="4">
        <v>0.15</v>
      </c>
      <c r="J533" s="5">
        <v>701.46</v>
      </c>
      <c r="K533" s="5">
        <v>590.42999999999995</v>
      </c>
      <c r="L533" s="5">
        <v>111.03</v>
      </c>
      <c r="M533" t="s">
        <v>35</v>
      </c>
      <c r="N533" t="s">
        <v>36</v>
      </c>
      <c r="O533" t="s">
        <v>37</v>
      </c>
    </row>
    <row r="534" spans="1:15">
      <c r="A534" t="s">
        <v>945</v>
      </c>
      <c r="B534" s="3">
        <v>45763</v>
      </c>
      <c r="C534" t="s">
        <v>175</v>
      </c>
      <c r="D534" t="s">
        <v>74</v>
      </c>
      <c r="E534" t="s">
        <v>33</v>
      </c>
      <c r="F534" t="s">
        <v>34</v>
      </c>
      <c r="G534">
        <v>3</v>
      </c>
      <c r="H534" s="5">
        <v>346.65</v>
      </c>
      <c r="I534" s="4">
        <v>0.1</v>
      </c>
      <c r="J534" s="5">
        <v>935.95</v>
      </c>
      <c r="K534" s="5">
        <v>583.25</v>
      </c>
      <c r="L534" s="5">
        <v>352.7</v>
      </c>
      <c r="M534" t="s">
        <v>35</v>
      </c>
      <c r="N534" t="s">
        <v>36</v>
      </c>
      <c r="O534" t="s">
        <v>44</v>
      </c>
    </row>
    <row r="535" spans="1:15">
      <c r="A535" t="s">
        <v>946</v>
      </c>
      <c r="B535" s="3">
        <v>45666</v>
      </c>
      <c r="C535" t="s">
        <v>376</v>
      </c>
      <c r="D535" t="s">
        <v>134</v>
      </c>
      <c r="E535" t="s">
        <v>41</v>
      </c>
      <c r="F535" t="s">
        <v>119</v>
      </c>
      <c r="G535">
        <v>1</v>
      </c>
      <c r="H535" s="5">
        <v>1506.09</v>
      </c>
      <c r="I535" s="4">
        <v>0</v>
      </c>
      <c r="J535" s="5">
        <v>1506.09</v>
      </c>
      <c r="K535" s="5">
        <v>1209.31</v>
      </c>
      <c r="L535" s="5">
        <v>296.77999999999997</v>
      </c>
      <c r="M535" t="s">
        <v>57</v>
      </c>
      <c r="N535" t="s">
        <v>36</v>
      </c>
      <c r="O535" t="s">
        <v>37</v>
      </c>
    </row>
    <row r="536" spans="1:15">
      <c r="A536" t="s">
        <v>947</v>
      </c>
      <c r="B536" s="3">
        <v>45936</v>
      </c>
      <c r="C536" t="s">
        <v>948</v>
      </c>
      <c r="D536" t="s">
        <v>47</v>
      </c>
      <c r="E536" t="s">
        <v>41</v>
      </c>
      <c r="F536" t="s">
        <v>42</v>
      </c>
      <c r="G536">
        <v>3</v>
      </c>
      <c r="H536" s="5">
        <v>4693.49</v>
      </c>
      <c r="I536" s="4">
        <v>0.15</v>
      </c>
      <c r="J536" s="5">
        <v>11968.4</v>
      </c>
      <c r="K536" s="5">
        <v>8637.02</v>
      </c>
      <c r="L536" s="5">
        <v>3331.38</v>
      </c>
      <c r="M536" t="s">
        <v>57</v>
      </c>
      <c r="N536" t="s">
        <v>43</v>
      </c>
      <c r="O536" t="s">
        <v>44</v>
      </c>
    </row>
    <row r="537" spans="1:15">
      <c r="A537" t="s">
        <v>949</v>
      </c>
      <c r="B537" s="3">
        <v>46199</v>
      </c>
      <c r="C537" t="s">
        <v>322</v>
      </c>
      <c r="D537" t="s">
        <v>134</v>
      </c>
      <c r="E537" t="s">
        <v>61</v>
      </c>
      <c r="F537" t="s">
        <v>129</v>
      </c>
      <c r="G537">
        <v>5</v>
      </c>
      <c r="H537" s="5">
        <v>1587.33</v>
      </c>
      <c r="I537" s="4">
        <v>0</v>
      </c>
      <c r="J537" s="5">
        <v>7936.65</v>
      </c>
      <c r="K537" s="5">
        <v>6512.22</v>
      </c>
      <c r="L537" s="5">
        <v>1424.43</v>
      </c>
      <c r="M537" t="s">
        <v>57</v>
      </c>
      <c r="N537" t="s">
        <v>71</v>
      </c>
      <c r="O537" t="s">
        <v>44</v>
      </c>
    </row>
    <row r="538" spans="1:15">
      <c r="A538" t="s">
        <v>950</v>
      </c>
      <c r="B538" s="3">
        <v>45988</v>
      </c>
      <c r="C538" t="s">
        <v>78</v>
      </c>
      <c r="D538" t="s">
        <v>52</v>
      </c>
      <c r="E538" t="s">
        <v>48</v>
      </c>
      <c r="F538" t="s">
        <v>113</v>
      </c>
      <c r="G538">
        <v>3</v>
      </c>
      <c r="H538" s="5">
        <v>2555.38</v>
      </c>
      <c r="I538" s="4">
        <v>0.15</v>
      </c>
      <c r="J538" s="5">
        <v>6516.22</v>
      </c>
      <c r="K538" s="5">
        <v>4948.67</v>
      </c>
      <c r="L538" s="5">
        <v>1567.55</v>
      </c>
      <c r="M538" t="s">
        <v>35</v>
      </c>
      <c r="N538" t="s">
        <v>63</v>
      </c>
      <c r="O538" t="s">
        <v>44</v>
      </c>
    </row>
    <row r="539" spans="1:15">
      <c r="A539" t="s">
        <v>951</v>
      </c>
      <c r="B539" s="3">
        <v>45945</v>
      </c>
      <c r="C539" t="s">
        <v>374</v>
      </c>
      <c r="D539" t="s">
        <v>56</v>
      </c>
      <c r="E539" t="s">
        <v>33</v>
      </c>
      <c r="F539" t="s">
        <v>34</v>
      </c>
      <c r="G539">
        <v>1</v>
      </c>
      <c r="H539" s="5">
        <v>5308.49</v>
      </c>
      <c r="I539" s="4">
        <v>0</v>
      </c>
      <c r="J539" s="5">
        <v>5308.49</v>
      </c>
      <c r="K539" s="5">
        <v>4269.13</v>
      </c>
      <c r="L539" s="5">
        <v>1039.3599999999999</v>
      </c>
      <c r="M539" t="s">
        <v>57</v>
      </c>
      <c r="N539" t="s">
        <v>36</v>
      </c>
      <c r="O539" t="s">
        <v>44</v>
      </c>
    </row>
    <row r="540" spans="1:15">
      <c r="A540" t="s">
        <v>952</v>
      </c>
      <c r="B540" s="3">
        <v>45705</v>
      </c>
      <c r="C540" t="s">
        <v>815</v>
      </c>
      <c r="D540" t="s">
        <v>56</v>
      </c>
      <c r="E540" t="s">
        <v>33</v>
      </c>
      <c r="F540" t="s">
        <v>67</v>
      </c>
      <c r="G540">
        <v>1</v>
      </c>
      <c r="H540" s="5">
        <v>1034.3900000000001</v>
      </c>
      <c r="I540" s="4">
        <v>0</v>
      </c>
      <c r="J540" s="5">
        <v>1034.3900000000001</v>
      </c>
      <c r="K540" s="5">
        <v>872.19</v>
      </c>
      <c r="L540" s="5">
        <v>162.19999999999999</v>
      </c>
      <c r="M540" t="s">
        <v>35</v>
      </c>
      <c r="N540" t="s">
        <v>36</v>
      </c>
      <c r="O540" t="s">
        <v>37</v>
      </c>
    </row>
    <row r="541" spans="1:15">
      <c r="A541" t="s">
        <v>953</v>
      </c>
      <c r="B541" s="3">
        <v>46055</v>
      </c>
      <c r="C541" t="s">
        <v>954</v>
      </c>
      <c r="D541" t="s">
        <v>66</v>
      </c>
      <c r="E541" t="s">
        <v>48</v>
      </c>
      <c r="F541" t="s">
        <v>102</v>
      </c>
      <c r="G541">
        <v>5</v>
      </c>
      <c r="H541" s="5">
        <v>1474.12</v>
      </c>
      <c r="I541" s="4">
        <v>0.1</v>
      </c>
      <c r="J541" s="5">
        <v>6633.54</v>
      </c>
      <c r="K541" s="5">
        <v>3706.91</v>
      </c>
      <c r="L541" s="5">
        <v>2926.63</v>
      </c>
      <c r="M541" t="s">
        <v>57</v>
      </c>
      <c r="N541" t="s">
        <v>63</v>
      </c>
      <c r="O541" t="s">
        <v>44</v>
      </c>
    </row>
    <row r="542" spans="1:15">
      <c r="A542" t="s">
        <v>955</v>
      </c>
      <c r="B542" s="3">
        <v>45885</v>
      </c>
      <c r="C542" t="s">
        <v>956</v>
      </c>
      <c r="D542" t="s">
        <v>60</v>
      </c>
      <c r="E542" t="s">
        <v>61</v>
      </c>
      <c r="F542" t="s">
        <v>84</v>
      </c>
      <c r="G542">
        <v>2</v>
      </c>
      <c r="H542" s="5">
        <v>3956.61</v>
      </c>
      <c r="I542" s="4">
        <v>0.15</v>
      </c>
      <c r="J542" s="5">
        <v>6726.24</v>
      </c>
      <c r="K542" s="5">
        <v>3756.94</v>
      </c>
      <c r="L542" s="5">
        <v>2969.3</v>
      </c>
      <c r="M542" t="s">
        <v>57</v>
      </c>
      <c r="N542" t="s">
        <v>36</v>
      </c>
      <c r="O542" t="s">
        <v>44</v>
      </c>
    </row>
    <row r="543" spans="1:15">
      <c r="A543" t="s">
        <v>957</v>
      </c>
      <c r="B543" s="3">
        <v>45884</v>
      </c>
      <c r="C543" t="s">
        <v>948</v>
      </c>
      <c r="D543" t="s">
        <v>95</v>
      </c>
      <c r="E543" t="s">
        <v>33</v>
      </c>
      <c r="F543" t="s">
        <v>176</v>
      </c>
      <c r="G543">
        <v>5</v>
      </c>
      <c r="H543" s="5">
        <v>4813.63</v>
      </c>
      <c r="I543" s="4">
        <v>0.15</v>
      </c>
      <c r="J543" s="5">
        <v>20457.93</v>
      </c>
      <c r="K543" s="5">
        <v>12172.89</v>
      </c>
      <c r="L543" s="5">
        <v>8285.0400000000009</v>
      </c>
      <c r="M543" t="s">
        <v>35</v>
      </c>
      <c r="N543" t="s">
        <v>43</v>
      </c>
      <c r="O543" t="s">
        <v>44</v>
      </c>
    </row>
    <row r="544" spans="1:15">
      <c r="A544" t="s">
        <v>958</v>
      </c>
      <c r="B544" s="3">
        <v>45864</v>
      </c>
      <c r="C544" t="s">
        <v>155</v>
      </c>
      <c r="D544" t="s">
        <v>47</v>
      </c>
      <c r="E544" t="s">
        <v>33</v>
      </c>
      <c r="F544" t="s">
        <v>67</v>
      </c>
      <c r="G544">
        <v>2</v>
      </c>
      <c r="H544" s="5">
        <v>5309.36</v>
      </c>
      <c r="I544" s="4">
        <v>0.2</v>
      </c>
      <c r="J544" s="5">
        <v>8494.98</v>
      </c>
      <c r="K544" s="5">
        <v>6452.94</v>
      </c>
      <c r="L544" s="5">
        <v>2042.04</v>
      </c>
      <c r="M544" t="s">
        <v>57</v>
      </c>
      <c r="N544" t="s">
        <v>43</v>
      </c>
      <c r="O544" t="s">
        <v>44</v>
      </c>
    </row>
    <row r="545" spans="1:15">
      <c r="A545" t="s">
        <v>959</v>
      </c>
      <c r="B545" s="3">
        <v>45881</v>
      </c>
      <c r="C545" t="s">
        <v>401</v>
      </c>
      <c r="D545" t="s">
        <v>134</v>
      </c>
      <c r="E545" t="s">
        <v>33</v>
      </c>
      <c r="F545" t="s">
        <v>176</v>
      </c>
      <c r="G545">
        <v>5</v>
      </c>
      <c r="H545" s="5">
        <v>1350.74</v>
      </c>
      <c r="I545" s="4">
        <v>0</v>
      </c>
      <c r="J545" s="5">
        <v>6753.7</v>
      </c>
      <c r="K545" s="5">
        <v>5170.2299999999996</v>
      </c>
      <c r="L545" s="5">
        <v>1583.47</v>
      </c>
      <c r="M545" t="s">
        <v>57</v>
      </c>
      <c r="N545" t="s">
        <v>36</v>
      </c>
      <c r="O545" t="s">
        <v>44</v>
      </c>
    </row>
    <row r="546" spans="1:15">
      <c r="A546" t="s">
        <v>960</v>
      </c>
      <c r="B546" s="3">
        <v>45872</v>
      </c>
      <c r="C546" t="s">
        <v>422</v>
      </c>
      <c r="D546" t="s">
        <v>52</v>
      </c>
      <c r="E546" t="s">
        <v>41</v>
      </c>
      <c r="F546" t="s">
        <v>119</v>
      </c>
      <c r="G546">
        <v>3</v>
      </c>
      <c r="H546" s="5">
        <v>5233.4799999999996</v>
      </c>
      <c r="I546" s="4">
        <v>0.15</v>
      </c>
      <c r="J546" s="5">
        <v>13345.37</v>
      </c>
      <c r="K546" s="5">
        <v>8009.47</v>
      </c>
      <c r="L546" s="5">
        <v>5335.9</v>
      </c>
      <c r="M546" t="s">
        <v>35</v>
      </c>
      <c r="N546" t="s">
        <v>43</v>
      </c>
      <c r="O546" t="s">
        <v>37</v>
      </c>
    </row>
    <row r="547" spans="1:15">
      <c r="A547" t="s">
        <v>961</v>
      </c>
      <c r="B547" s="3">
        <v>46157</v>
      </c>
      <c r="C547" t="s">
        <v>962</v>
      </c>
      <c r="D547" t="s">
        <v>52</v>
      </c>
      <c r="E547" t="s">
        <v>61</v>
      </c>
      <c r="F547" t="s">
        <v>89</v>
      </c>
      <c r="G547">
        <v>2</v>
      </c>
      <c r="H547" s="5">
        <v>4129.57</v>
      </c>
      <c r="I547" s="4">
        <v>0</v>
      </c>
      <c r="J547" s="5">
        <v>8259.14</v>
      </c>
      <c r="K547" s="5">
        <v>5657.06</v>
      </c>
      <c r="L547" s="5">
        <v>2602.08</v>
      </c>
      <c r="M547" t="s">
        <v>35</v>
      </c>
      <c r="N547" t="s">
        <v>71</v>
      </c>
      <c r="O547" t="s">
        <v>44</v>
      </c>
    </row>
    <row r="548" spans="1:15">
      <c r="A548" t="s">
        <v>963</v>
      </c>
      <c r="B548" s="3">
        <v>46088</v>
      </c>
      <c r="C548" t="s">
        <v>964</v>
      </c>
      <c r="D548" t="s">
        <v>40</v>
      </c>
      <c r="E548" t="s">
        <v>33</v>
      </c>
      <c r="F548" t="s">
        <v>96</v>
      </c>
      <c r="G548">
        <v>4</v>
      </c>
      <c r="H548" s="5">
        <v>1691.91</v>
      </c>
      <c r="I548" s="4">
        <v>0</v>
      </c>
      <c r="J548" s="5">
        <v>6767.64</v>
      </c>
      <c r="K548" s="5">
        <v>4992.58</v>
      </c>
      <c r="L548" s="5">
        <v>1775.06</v>
      </c>
      <c r="M548" t="s">
        <v>57</v>
      </c>
      <c r="N548" t="s">
        <v>36</v>
      </c>
      <c r="O548" t="s">
        <v>44</v>
      </c>
    </row>
    <row r="549" spans="1:15">
      <c r="A549" t="s">
        <v>965</v>
      </c>
      <c r="B549" s="3">
        <v>46223</v>
      </c>
      <c r="C549" t="s">
        <v>328</v>
      </c>
      <c r="D549" t="s">
        <v>66</v>
      </c>
      <c r="E549" t="s">
        <v>48</v>
      </c>
      <c r="F549" t="s">
        <v>49</v>
      </c>
      <c r="G549">
        <v>4</v>
      </c>
      <c r="H549" s="5">
        <v>1088.71</v>
      </c>
      <c r="I549" s="4">
        <v>0</v>
      </c>
      <c r="J549" s="5">
        <v>4354.84</v>
      </c>
      <c r="K549" s="5">
        <v>3474.32</v>
      </c>
      <c r="L549" s="5">
        <v>880.52</v>
      </c>
      <c r="M549" t="s">
        <v>57</v>
      </c>
      <c r="N549" t="s">
        <v>36</v>
      </c>
      <c r="O549" t="s">
        <v>44</v>
      </c>
    </row>
    <row r="550" spans="1:15">
      <c r="A550" t="s">
        <v>966</v>
      </c>
      <c r="B550" s="3">
        <v>46242</v>
      </c>
      <c r="C550" t="s">
        <v>967</v>
      </c>
      <c r="D550" t="s">
        <v>74</v>
      </c>
      <c r="E550" t="s">
        <v>48</v>
      </c>
      <c r="F550" t="s">
        <v>113</v>
      </c>
      <c r="G550">
        <v>6</v>
      </c>
      <c r="H550" s="5">
        <v>711.85</v>
      </c>
      <c r="I550" s="4">
        <v>0.15</v>
      </c>
      <c r="J550" s="5">
        <v>3630.44</v>
      </c>
      <c r="K550" s="5">
        <v>2014.92</v>
      </c>
      <c r="L550" s="5">
        <v>1615.52</v>
      </c>
      <c r="M550" t="s">
        <v>35</v>
      </c>
      <c r="N550" t="s">
        <v>36</v>
      </c>
      <c r="O550" t="s">
        <v>44</v>
      </c>
    </row>
    <row r="551" spans="1:15">
      <c r="A551" t="s">
        <v>968</v>
      </c>
      <c r="B551" s="3">
        <v>45685</v>
      </c>
      <c r="C551" t="s">
        <v>138</v>
      </c>
      <c r="D551" t="s">
        <v>60</v>
      </c>
      <c r="E551" t="s">
        <v>33</v>
      </c>
      <c r="F551" t="s">
        <v>96</v>
      </c>
      <c r="G551">
        <v>6</v>
      </c>
      <c r="H551" s="5">
        <v>1244.97</v>
      </c>
      <c r="I551" s="4">
        <v>0</v>
      </c>
      <c r="J551" s="5">
        <v>7469.82</v>
      </c>
      <c r="K551" s="5">
        <v>5862.54</v>
      </c>
      <c r="L551" s="5">
        <v>1607.28</v>
      </c>
      <c r="M551" t="s">
        <v>35</v>
      </c>
      <c r="N551" t="s">
        <v>71</v>
      </c>
      <c r="O551" t="s">
        <v>44</v>
      </c>
    </row>
    <row r="552" spans="1:15">
      <c r="A552" t="s">
        <v>969</v>
      </c>
      <c r="B552" s="3">
        <v>46164</v>
      </c>
      <c r="C552" t="s">
        <v>970</v>
      </c>
      <c r="D552" t="s">
        <v>52</v>
      </c>
      <c r="E552" t="s">
        <v>33</v>
      </c>
      <c r="F552" t="s">
        <v>92</v>
      </c>
      <c r="G552">
        <v>5</v>
      </c>
      <c r="H552" s="5">
        <v>1258.53</v>
      </c>
      <c r="I552" s="4">
        <v>0</v>
      </c>
      <c r="J552" s="5">
        <v>6292.65</v>
      </c>
      <c r="K552" s="5">
        <v>4625.0600000000004</v>
      </c>
      <c r="L552" s="5">
        <v>1667.59</v>
      </c>
      <c r="M552" t="s">
        <v>57</v>
      </c>
      <c r="N552" t="s">
        <v>71</v>
      </c>
      <c r="O552" t="s">
        <v>44</v>
      </c>
    </row>
    <row r="553" spans="1:15">
      <c r="A553" t="s">
        <v>971</v>
      </c>
      <c r="B553" s="3">
        <v>45695</v>
      </c>
      <c r="C553" t="s">
        <v>712</v>
      </c>
      <c r="D553" t="s">
        <v>56</v>
      </c>
      <c r="E553" t="s">
        <v>33</v>
      </c>
      <c r="F553" t="s">
        <v>96</v>
      </c>
      <c r="G553">
        <v>4</v>
      </c>
      <c r="H553" s="5">
        <v>2131.98</v>
      </c>
      <c r="I553" s="4">
        <v>0.1</v>
      </c>
      <c r="J553" s="5">
        <v>7675.13</v>
      </c>
      <c r="K553" s="5">
        <v>5425.2</v>
      </c>
      <c r="L553" s="5">
        <v>2249.9299999999998</v>
      </c>
      <c r="M553" t="s">
        <v>35</v>
      </c>
      <c r="N553" t="s">
        <v>71</v>
      </c>
      <c r="O553" t="s">
        <v>37</v>
      </c>
    </row>
    <row r="554" spans="1:15">
      <c r="A554" t="s">
        <v>972</v>
      </c>
      <c r="B554" s="3">
        <v>46152</v>
      </c>
      <c r="C554" t="s">
        <v>203</v>
      </c>
      <c r="D554" t="s">
        <v>52</v>
      </c>
      <c r="E554" t="s">
        <v>41</v>
      </c>
      <c r="F554" t="s">
        <v>119</v>
      </c>
      <c r="G554">
        <v>2</v>
      </c>
      <c r="H554" s="5">
        <v>2612.64</v>
      </c>
      <c r="I554" s="4">
        <v>0.1</v>
      </c>
      <c r="J554" s="5">
        <v>4702.75</v>
      </c>
      <c r="K554" s="5">
        <v>3125.16</v>
      </c>
      <c r="L554" s="5">
        <v>1577.59</v>
      </c>
      <c r="M554" t="s">
        <v>57</v>
      </c>
      <c r="N554" t="s">
        <v>43</v>
      </c>
      <c r="O554" t="s">
        <v>44</v>
      </c>
    </row>
    <row r="555" spans="1:15">
      <c r="A555" t="s">
        <v>973</v>
      </c>
      <c r="B555" s="3">
        <v>45735</v>
      </c>
      <c r="C555" t="s">
        <v>974</v>
      </c>
      <c r="D555" t="s">
        <v>66</v>
      </c>
      <c r="E555" t="s">
        <v>41</v>
      </c>
      <c r="F555" t="s">
        <v>153</v>
      </c>
      <c r="G555">
        <v>2</v>
      </c>
      <c r="H555" s="5">
        <v>5161.1400000000003</v>
      </c>
      <c r="I555" s="4">
        <v>0.1</v>
      </c>
      <c r="J555" s="5">
        <v>9290.0499999999993</v>
      </c>
      <c r="K555" s="5">
        <v>7435.34</v>
      </c>
      <c r="L555" s="5">
        <v>1854.71</v>
      </c>
      <c r="M555" t="s">
        <v>57</v>
      </c>
      <c r="N555" t="s">
        <v>71</v>
      </c>
      <c r="O555" t="s">
        <v>37</v>
      </c>
    </row>
    <row r="556" spans="1:15">
      <c r="A556" t="s">
        <v>975</v>
      </c>
      <c r="B556" s="3">
        <v>46262</v>
      </c>
      <c r="C556" t="s">
        <v>846</v>
      </c>
      <c r="D556" t="s">
        <v>60</v>
      </c>
      <c r="E556" t="s">
        <v>33</v>
      </c>
      <c r="F556" t="s">
        <v>92</v>
      </c>
      <c r="G556">
        <v>5</v>
      </c>
      <c r="H556" s="5">
        <v>2998.11</v>
      </c>
      <c r="I556" s="4">
        <v>0.2</v>
      </c>
      <c r="J556" s="5">
        <v>11992.44</v>
      </c>
      <c r="K556" s="5">
        <v>8450.7000000000007</v>
      </c>
      <c r="L556" s="5">
        <v>3541.74</v>
      </c>
      <c r="M556" t="s">
        <v>35</v>
      </c>
      <c r="N556" t="s">
        <v>71</v>
      </c>
      <c r="O556" t="s">
        <v>44</v>
      </c>
    </row>
    <row r="557" spans="1:15">
      <c r="A557" t="s">
        <v>976</v>
      </c>
      <c r="B557" s="3">
        <v>46205</v>
      </c>
      <c r="C557" t="s">
        <v>703</v>
      </c>
      <c r="D557" t="s">
        <v>95</v>
      </c>
      <c r="E557" t="s">
        <v>48</v>
      </c>
      <c r="F557" t="s">
        <v>113</v>
      </c>
      <c r="G557">
        <v>3</v>
      </c>
      <c r="H557" s="5">
        <v>4993.29</v>
      </c>
      <c r="I557" s="4">
        <v>0.2</v>
      </c>
      <c r="J557" s="5">
        <v>11983.9</v>
      </c>
      <c r="K557" s="5">
        <v>9001.27</v>
      </c>
      <c r="L557" s="5">
        <v>2982.63</v>
      </c>
      <c r="M557" t="s">
        <v>35</v>
      </c>
      <c r="N557" t="s">
        <v>71</v>
      </c>
      <c r="O557" t="s">
        <v>44</v>
      </c>
    </row>
    <row r="558" spans="1:15">
      <c r="A558" t="s">
        <v>977</v>
      </c>
      <c r="B558" s="3">
        <v>45827</v>
      </c>
      <c r="C558" t="s">
        <v>978</v>
      </c>
      <c r="D558" t="s">
        <v>56</v>
      </c>
      <c r="E558" t="s">
        <v>61</v>
      </c>
      <c r="F558" t="s">
        <v>62</v>
      </c>
      <c r="G558">
        <v>6</v>
      </c>
      <c r="H558" s="5">
        <v>3999.67</v>
      </c>
      <c r="I558" s="4">
        <v>0.1</v>
      </c>
      <c r="J558" s="5">
        <v>21598.22</v>
      </c>
      <c r="K558" s="5">
        <v>14161.02</v>
      </c>
      <c r="L558" s="5">
        <v>7437.2</v>
      </c>
      <c r="M558" t="s">
        <v>57</v>
      </c>
      <c r="N558" t="s">
        <v>36</v>
      </c>
      <c r="O558" t="s">
        <v>44</v>
      </c>
    </row>
    <row r="559" spans="1:15">
      <c r="A559" t="s">
        <v>979</v>
      </c>
      <c r="B559" s="3">
        <v>46071</v>
      </c>
      <c r="C559" t="s">
        <v>980</v>
      </c>
      <c r="D559" t="s">
        <v>74</v>
      </c>
      <c r="E559" t="s">
        <v>41</v>
      </c>
      <c r="F559" t="s">
        <v>53</v>
      </c>
      <c r="G559">
        <v>3</v>
      </c>
      <c r="H559" s="5">
        <v>3322.44</v>
      </c>
      <c r="I559" s="4">
        <v>0</v>
      </c>
      <c r="J559" s="5">
        <v>9967.32</v>
      </c>
      <c r="K559" s="5">
        <v>6851.04</v>
      </c>
      <c r="L559" s="5">
        <v>3116.28</v>
      </c>
      <c r="M559" t="s">
        <v>35</v>
      </c>
      <c r="N559" t="s">
        <v>43</v>
      </c>
      <c r="O559" t="s">
        <v>44</v>
      </c>
    </row>
    <row r="560" spans="1:15">
      <c r="A560" t="s">
        <v>981</v>
      </c>
      <c r="B560" s="3">
        <v>45669</v>
      </c>
      <c r="C560" t="s">
        <v>170</v>
      </c>
      <c r="D560" t="s">
        <v>134</v>
      </c>
      <c r="E560" t="s">
        <v>61</v>
      </c>
      <c r="F560" t="s">
        <v>129</v>
      </c>
      <c r="G560">
        <v>3</v>
      </c>
      <c r="H560" s="5">
        <v>799.41</v>
      </c>
      <c r="I560" s="4">
        <v>0</v>
      </c>
      <c r="J560" s="5">
        <v>2398.23</v>
      </c>
      <c r="K560" s="5">
        <v>1370.27</v>
      </c>
      <c r="L560" s="5">
        <v>1027.96</v>
      </c>
      <c r="M560" t="s">
        <v>57</v>
      </c>
      <c r="N560" t="s">
        <v>36</v>
      </c>
      <c r="O560" t="s">
        <v>44</v>
      </c>
    </row>
    <row r="561" spans="1:15">
      <c r="A561" t="s">
        <v>982</v>
      </c>
      <c r="B561" s="3">
        <v>45718</v>
      </c>
      <c r="C561" t="s">
        <v>533</v>
      </c>
      <c r="D561" t="s">
        <v>47</v>
      </c>
      <c r="E561" t="s">
        <v>41</v>
      </c>
      <c r="F561" t="s">
        <v>53</v>
      </c>
      <c r="G561">
        <v>3</v>
      </c>
      <c r="H561" s="5">
        <v>1259.3599999999999</v>
      </c>
      <c r="I561" s="4">
        <v>0.2</v>
      </c>
      <c r="J561" s="5">
        <v>3022.46</v>
      </c>
      <c r="K561" s="5">
        <v>1905.5</v>
      </c>
      <c r="L561" s="5">
        <v>1116.96</v>
      </c>
      <c r="M561" t="s">
        <v>35</v>
      </c>
      <c r="N561" t="s">
        <v>63</v>
      </c>
      <c r="O561" t="s">
        <v>44</v>
      </c>
    </row>
    <row r="562" spans="1:15">
      <c r="A562" t="s">
        <v>983</v>
      </c>
      <c r="B562" s="3">
        <v>46045</v>
      </c>
      <c r="C562" t="s">
        <v>427</v>
      </c>
      <c r="D562" t="s">
        <v>52</v>
      </c>
      <c r="E562" t="s">
        <v>33</v>
      </c>
      <c r="F562" t="s">
        <v>176</v>
      </c>
      <c r="G562">
        <v>5</v>
      </c>
      <c r="H562" s="5">
        <v>3900.66</v>
      </c>
      <c r="I562" s="4">
        <v>0.2</v>
      </c>
      <c r="J562" s="5">
        <v>15602.64</v>
      </c>
      <c r="K562" s="5">
        <v>12039.75</v>
      </c>
      <c r="L562" s="5">
        <v>3562.89</v>
      </c>
      <c r="M562" t="s">
        <v>57</v>
      </c>
      <c r="N562" t="s">
        <v>43</v>
      </c>
      <c r="O562" t="s">
        <v>37</v>
      </c>
    </row>
    <row r="563" spans="1:15">
      <c r="A563" t="s">
        <v>984</v>
      </c>
      <c r="B563" s="3">
        <v>46156</v>
      </c>
      <c r="C563" t="s">
        <v>284</v>
      </c>
      <c r="D563" t="s">
        <v>40</v>
      </c>
      <c r="E563" t="s">
        <v>41</v>
      </c>
      <c r="F563" t="s">
        <v>42</v>
      </c>
      <c r="G563">
        <v>3</v>
      </c>
      <c r="H563" s="5">
        <v>1282.05</v>
      </c>
      <c r="I563" s="4">
        <v>0.2</v>
      </c>
      <c r="J563" s="5">
        <v>3076.92</v>
      </c>
      <c r="K563" s="5">
        <v>1869.49</v>
      </c>
      <c r="L563" s="5">
        <v>1207.43</v>
      </c>
      <c r="M563" t="s">
        <v>57</v>
      </c>
      <c r="N563" t="s">
        <v>36</v>
      </c>
      <c r="O563" t="s">
        <v>37</v>
      </c>
    </row>
    <row r="564" spans="1:15">
      <c r="A564" t="s">
        <v>985</v>
      </c>
      <c r="B564" s="3">
        <v>46042</v>
      </c>
      <c r="C564" t="s">
        <v>986</v>
      </c>
      <c r="D564" t="s">
        <v>95</v>
      </c>
      <c r="E564" t="s">
        <v>41</v>
      </c>
      <c r="F564" t="s">
        <v>42</v>
      </c>
      <c r="G564">
        <v>5</v>
      </c>
      <c r="H564" s="5">
        <v>3520.63</v>
      </c>
      <c r="I564" s="4">
        <v>0.1</v>
      </c>
      <c r="J564" s="5">
        <v>15842.84</v>
      </c>
      <c r="K564" s="5">
        <v>11806.6</v>
      </c>
      <c r="L564" s="5">
        <v>4036.24</v>
      </c>
      <c r="M564" t="s">
        <v>35</v>
      </c>
      <c r="N564" t="s">
        <v>63</v>
      </c>
      <c r="O564" t="s">
        <v>44</v>
      </c>
    </row>
    <row r="565" spans="1:15">
      <c r="A565" t="s">
        <v>987</v>
      </c>
      <c r="B565" s="3">
        <v>45774</v>
      </c>
      <c r="C565" t="s">
        <v>988</v>
      </c>
      <c r="D565" t="s">
        <v>74</v>
      </c>
      <c r="E565" t="s">
        <v>48</v>
      </c>
      <c r="F565" t="s">
        <v>113</v>
      </c>
      <c r="G565">
        <v>3</v>
      </c>
      <c r="H565" s="5">
        <v>3770.24</v>
      </c>
      <c r="I565" s="4">
        <v>0.1</v>
      </c>
      <c r="J565" s="5">
        <v>10179.65</v>
      </c>
      <c r="K565" s="5">
        <v>6359.58</v>
      </c>
      <c r="L565" s="5">
        <v>3820.07</v>
      </c>
      <c r="M565" t="s">
        <v>57</v>
      </c>
      <c r="N565" t="s">
        <v>43</v>
      </c>
      <c r="O565" t="s">
        <v>44</v>
      </c>
    </row>
    <row r="566" spans="1:15">
      <c r="A566" t="s">
        <v>989</v>
      </c>
      <c r="B566" s="3">
        <v>46220</v>
      </c>
      <c r="C566" t="s">
        <v>990</v>
      </c>
      <c r="D566" t="s">
        <v>32</v>
      </c>
      <c r="E566" t="s">
        <v>48</v>
      </c>
      <c r="F566" t="s">
        <v>102</v>
      </c>
      <c r="G566">
        <v>2</v>
      </c>
      <c r="H566" s="5">
        <v>3299.56</v>
      </c>
      <c r="I566" s="4">
        <v>0.15</v>
      </c>
      <c r="J566" s="5">
        <v>5609.25</v>
      </c>
      <c r="K566" s="5">
        <v>4501.78</v>
      </c>
      <c r="L566" s="5">
        <v>1107.47</v>
      </c>
      <c r="M566" t="s">
        <v>35</v>
      </c>
      <c r="N566" t="s">
        <v>43</v>
      </c>
      <c r="O566" t="s">
        <v>37</v>
      </c>
    </row>
    <row r="567" spans="1:15">
      <c r="A567" t="s">
        <v>991</v>
      </c>
      <c r="B567" s="3">
        <v>45666</v>
      </c>
      <c r="C567" t="s">
        <v>468</v>
      </c>
      <c r="D567" t="s">
        <v>66</v>
      </c>
      <c r="E567" t="s">
        <v>33</v>
      </c>
      <c r="F567" t="s">
        <v>176</v>
      </c>
      <c r="G567">
        <v>1</v>
      </c>
      <c r="H567" s="5">
        <v>3218.3</v>
      </c>
      <c r="I567" s="4">
        <v>0</v>
      </c>
      <c r="J567" s="5">
        <v>3218.3</v>
      </c>
      <c r="K567" s="5">
        <v>1985.08</v>
      </c>
      <c r="L567" s="5">
        <v>1233.22</v>
      </c>
      <c r="M567" t="s">
        <v>57</v>
      </c>
      <c r="N567" t="s">
        <v>71</v>
      </c>
      <c r="O567" t="s">
        <v>44</v>
      </c>
    </row>
    <row r="568" spans="1:15">
      <c r="A568" t="s">
        <v>992</v>
      </c>
      <c r="B568" s="3">
        <v>45720</v>
      </c>
      <c r="C568" t="s">
        <v>768</v>
      </c>
      <c r="D568" t="s">
        <v>40</v>
      </c>
      <c r="E568" t="s">
        <v>33</v>
      </c>
      <c r="F568" t="s">
        <v>96</v>
      </c>
      <c r="G568">
        <v>2</v>
      </c>
      <c r="H568" s="5">
        <v>968.57</v>
      </c>
      <c r="I568" s="4">
        <v>0.2</v>
      </c>
      <c r="J568" s="5">
        <v>1549.71</v>
      </c>
      <c r="K568" s="5">
        <v>1001.06</v>
      </c>
      <c r="L568" s="5">
        <v>548.65</v>
      </c>
      <c r="M568" t="s">
        <v>35</v>
      </c>
      <c r="N568" t="s">
        <v>71</v>
      </c>
      <c r="O568" t="s">
        <v>44</v>
      </c>
    </row>
    <row r="569" spans="1:15">
      <c r="A569" t="s">
        <v>993</v>
      </c>
      <c r="B569" s="3">
        <v>45765</v>
      </c>
      <c r="C569" t="s">
        <v>762</v>
      </c>
      <c r="D569" t="s">
        <v>40</v>
      </c>
      <c r="E569" t="s">
        <v>33</v>
      </c>
      <c r="F569" t="s">
        <v>34</v>
      </c>
      <c r="G569">
        <v>3</v>
      </c>
      <c r="H569" s="5">
        <v>5312.65</v>
      </c>
      <c r="I569" s="4">
        <v>0.05</v>
      </c>
      <c r="J569" s="5">
        <v>15141.05</v>
      </c>
      <c r="K569" s="5">
        <v>10083.450000000001</v>
      </c>
      <c r="L569" s="5">
        <v>5057.6000000000004</v>
      </c>
      <c r="M569" t="s">
        <v>35</v>
      </c>
      <c r="N569" t="s">
        <v>36</v>
      </c>
      <c r="O569" t="s">
        <v>44</v>
      </c>
    </row>
    <row r="570" spans="1:15">
      <c r="A570" t="s">
        <v>994</v>
      </c>
      <c r="B570" s="3">
        <v>46163</v>
      </c>
      <c r="C570" t="s">
        <v>115</v>
      </c>
      <c r="D570" t="s">
        <v>52</v>
      </c>
      <c r="E570" t="s">
        <v>61</v>
      </c>
      <c r="F570" t="s">
        <v>129</v>
      </c>
      <c r="G570">
        <v>6</v>
      </c>
      <c r="H570" s="5">
        <v>591.79999999999995</v>
      </c>
      <c r="I570" s="4">
        <v>0</v>
      </c>
      <c r="J570" s="5">
        <v>3550.8</v>
      </c>
      <c r="K570" s="5">
        <v>2395.85</v>
      </c>
      <c r="L570" s="5">
        <v>1154.95</v>
      </c>
      <c r="M570" t="s">
        <v>35</v>
      </c>
      <c r="N570" t="s">
        <v>71</v>
      </c>
      <c r="O570" t="s">
        <v>44</v>
      </c>
    </row>
    <row r="571" spans="1:15">
      <c r="A571" t="s">
        <v>995</v>
      </c>
      <c r="B571" s="3">
        <v>45950</v>
      </c>
      <c r="C571" t="s">
        <v>523</v>
      </c>
      <c r="D571" t="s">
        <v>60</v>
      </c>
      <c r="E571" t="s">
        <v>33</v>
      </c>
      <c r="F571" t="s">
        <v>96</v>
      </c>
      <c r="G571">
        <v>3</v>
      </c>
      <c r="H571" s="5">
        <v>693.06</v>
      </c>
      <c r="I571" s="4">
        <v>0</v>
      </c>
      <c r="J571" s="5">
        <v>2079.1799999999998</v>
      </c>
      <c r="K571" s="5">
        <v>1224.1500000000001</v>
      </c>
      <c r="L571" s="5">
        <v>855.03</v>
      </c>
      <c r="M571" t="s">
        <v>35</v>
      </c>
      <c r="N571" t="s">
        <v>71</v>
      </c>
      <c r="O571" t="s">
        <v>44</v>
      </c>
    </row>
    <row r="572" spans="1:15">
      <c r="A572" t="s">
        <v>996</v>
      </c>
      <c r="B572" s="3">
        <v>45697</v>
      </c>
      <c r="C572" t="s">
        <v>634</v>
      </c>
      <c r="D572" t="s">
        <v>134</v>
      </c>
      <c r="E572" t="s">
        <v>61</v>
      </c>
      <c r="F572" t="s">
        <v>62</v>
      </c>
      <c r="G572">
        <v>6</v>
      </c>
      <c r="H572" s="5">
        <v>156.94</v>
      </c>
      <c r="I572" s="4">
        <v>0.1</v>
      </c>
      <c r="J572" s="5">
        <v>847.48</v>
      </c>
      <c r="K572" s="5">
        <v>584.29</v>
      </c>
      <c r="L572" s="5">
        <v>263.19</v>
      </c>
      <c r="M572" t="s">
        <v>57</v>
      </c>
      <c r="N572" t="s">
        <v>43</v>
      </c>
      <c r="O572" t="s">
        <v>37</v>
      </c>
    </row>
    <row r="573" spans="1:15">
      <c r="A573" t="s">
        <v>997</v>
      </c>
      <c r="B573" s="3">
        <v>46095</v>
      </c>
      <c r="C573" t="s">
        <v>998</v>
      </c>
      <c r="D573" t="s">
        <v>40</v>
      </c>
      <c r="E573" t="s">
        <v>48</v>
      </c>
      <c r="F573" t="s">
        <v>70</v>
      </c>
      <c r="G573">
        <v>1</v>
      </c>
      <c r="H573" s="5">
        <v>985.67</v>
      </c>
      <c r="I573" s="4">
        <v>0.15</v>
      </c>
      <c r="J573" s="5">
        <v>837.82</v>
      </c>
      <c r="K573" s="5">
        <v>703.78</v>
      </c>
      <c r="L573" s="5">
        <v>134.04</v>
      </c>
      <c r="M573" t="s">
        <v>57</v>
      </c>
      <c r="N573" t="s">
        <v>36</v>
      </c>
      <c r="O573" t="s">
        <v>44</v>
      </c>
    </row>
    <row r="574" spans="1:15">
      <c r="A574" t="s">
        <v>999</v>
      </c>
      <c r="B574" s="3">
        <v>45748</v>
      </c>
      <c r="C574" t="s">
        <v>1000</v>
      </c>
      <c r="D574" t="s">
        <v>60</v>
      </c>
      <c r="E574" t="s">
        <v>48</v>
      </c>
      <c r="F574" t="s">
        <v>99</v>
      </c>
      <c r="G574">
        <v>3</v>
      </c>
      <c r="H574" s="5">
        <v>4012.59</v>
      </c>
      <c r="I574" s="4">
        <v>0.05</v>
      </c>
      <c r="J574" s="5">
        <v>11435.88</v>
      </c>
      <c r="K574" s="5">
        <v>6934.33</v>
      </c>
      <c r="L574" s="5">
        <v>4501.55</v>
      </c>
      <c r="M574" t="s">
        <v>35</v>
      </c>
      <c r="N574" t="s">
        <v>36</v>
      </c>
      <c r="O574" t="s">
        <v>37</v>
      </c>
    </row>
    <row r="575" spans="1:15">
      <c r="A575" t="s">
        <v>1001</v>
      </c>
      <c r="B575" s="3">
        <v>45973</v>
      </c>
      <c r="C575" t="s">
        <v>1002</v>
      </c>
      <c r="D575" t="s">
        <v>47</v>
      </c>
      <c r="E575" t="s">
        <v>41</v>
      </c>
      <c r="F575" t="s">
        <v>42</v>
      </c>
      <c r="G575">
        <v>1</v>
      </c>
      <c r="H575" s="5">
        <v>4031.06</v>
      </c>
      <c r="I575" s="4">
        <v>0.2</v>
      </c>
      <c r="J575" s="5">
        <v>3224.85</v>
      </c>
      <c r="K575" s="5">
        <v>2692.61</v>
      </c>
      <c r="L575" s="5">
        <v>532.24</v>
      </c>
      <c r="M575" t="s">
        <v>35</v>
      </c>
      <c r="N575" t="s">
        <v>43</v>
      </c>
      <c r="O575" t="s">
        <v>44</v>
      </c>
    </row>
    <row r="576" spans="1:15">
      <c r="A576" t="s">
        <v>1003</v>
      </c>
      <c r="B576" s="3">
        <v>46217</v>
      </c>
      <c r="C576" t="s">
        <v>454</v>
      </c>
      <c r="D576" t="s">
        <v>56</v>
      </c>
      <c r="E576" t="s">
        <v>61</v>
      </c>
      <c r="F576" t="s">
        <v>129</v>
      </c>
      <c r="G576">
        <v>5</v>
      </c>
      <c r="H576" s="5">
        <v>4351.67</v>
      </c>
      <c r="I576" s="4">
        <v>0</v>
      </c>
      <c r="J576" s="5">
        <v>21758.35</v>
      </c>
      <c r="K576" s="5">
        <v>16760.04</v>
      </c>
      <c r="L576" s="5">
        <v>4998.3100000000004</v>
      </c>
      <c r="M576" t="s">
        <v>57</v>
      </c>
      <c r="N576" t="s">
        <v>43</v>
      </c>
      <c r="O576" t="s">
        <v>44</v>
      </c>
    </row>
    <row r="577" spans="1:15">
      <c r="A577" t="s">
        <v>1004</v>
      </c>
      <c r="B577" s="3">
        <v>45794</v>
      </c>
      <c r="C577" t="s">
        <v>474</v>
      </c>
      <c r="D577" t="s">
        <v>134</v>
      </c>
      <c r="E577" t="s">
        <v>33</v>
      </c>
      <c r="F577" t="s">
        <v>92</v>
      </c>
      <c r="G577">
        <v>6</v>
      </c>
      <c r="H577" s="5">
        <v>3030.83</v>
      </c>
      <c r="I577" s="4">
        <v>0</v>
      </c>
      <c r="J577" s="5">
        <v>18184.98</v>
      </c>
      <c r="K577" s="5">
        <v>15173.23</v>
      </c>
      <c r="L577" s="5">
        <v>3011.75</v>
      </c>
      <c r="M577" t="s">
        <v>57</v>
      </c>
      <c r="N577" t="s">
        <v>43</v>
      </c>
      <c r="O577" t="s">
        <v>37</v>
      </c>
    </row>
    <row r="578" spans="1:15">
      <c r="A578" t="s">
        <v>1005</v>
      </c>
      <c r="B578" s="3">
        <v>45945</v>
      </c>
      <c r="C578" t="s">
        <v>267</v>
      </c>
      <c r="D578" t="s">
        <v>74</v>
      </c>
      <c r="E578" t="s">
        <v>48</v>
      </c>
      <c r="F578" t="s">
        <v>99</v>
      </c>
      <c r="G578">
        <v>4</v>
      </c>
      <c r="H578" s="5">
        <v>1122.32</v>
      </c>
      <c r="I578" s="4">
        <v>0.05</v>
      </c>
      <c r="J578" s="5">
        <v>4264.82</v>
      </c>
      <c r="K578" s="5">
        <v>3102.57</v>
      </c>
      <c r="L578" s="5">
        <v>1162.25</v>
      </c>
      <c r="M578" t="s">
        <v>57</v>
      </c>
      <c r="N578" t="s">
        <v>71</v>
      </c>
      <c r="O578" t="s">
        <v>37</v>
      </c>
    </row>
    <row r="579" spans="1:15">
      <c r="A579" t="s">
        <v>1006</v>
      </c>
      <c r="B579" s="3">
        <v>46202</v>
      </c>
      <c r="C579" t="s">
        <v>1007</v>
      </c>
      <c r="D579" t="s">
        <v>95</v>
      </c>
      <c r="E579" t="s">
        <v>61</v>
      </c>
      <c r="F579" t="s">
        <v>84</v>
      </c>
      <c r="G579">
        <v>4</v>
      </c>
      <c r="H579" s="5">
        <v>3890.88</v>
      </c>
      <c r="I579" s="4">
        <v>0.05</v>
      </c>
      <c r="J579" s="5">
        <v>14785.34</v>
      </c>
      <c r="K579" s="5">
        <v>9278.01</v>
      </c>
      <c r="L579" s="5">
        <v>5507.33</v>
      </c>
      <c r="M579" t="s">
        <v>35</v>
      </c>
      <c r="N579" t="s">
        <v>36</v>
      </c>
      <c r="O579" t="s">
        <v>44</v>
      </c>
    </row>
    <row r="580" spans="1:15">
      <c r="A580" t="s">
        <v>1008</v>
      </c>
      <c r="B580" s="3">
        <v>45749</v>
      </c>
      <c r="C580" t="s">
        <v>439</v>
      </c>
      <c r="D580" t="s">
        <v>32</v>
      </c>
      <c r="E580" t="s">
        <v>41</v>
      </c>
      <c r="F580" t="s">
        <v>53</v>
      </c>
      <c r="G580">
        <v>4</v>
      </c>
      <c r="H580" s="5">
        <v>5440.62</v>
      </c>
      <c r="I580" s="4">
        <v>0</v>
      </c>
      <c r="J580" s="5">
        <v>21762.48</v>
      </c>
      <c r="K580" s="5">
        <v>12599.03</v>
      </c>
      <c r="L580" s="5">
        <v>9163.4500000000007</v>
      </c>
      <c r="M580" t="s">
        <v>35</v>
      </c>
      <c r="N580" t="s">
        <v>36</v>
      </c>
      <c r="O580" t="s">
        <v>44</v>
      </c>
    </row>
    <row r="581" spans="1:15">
      <c r="A581" t="s">
        <v>1009</v>
      </c>
      <c r="B581" s="3">
        <v>46064</v>
      </c>
      <c r="C581" t="s">
        <v>1010</v>
      </c>
      <c r="D581" t="s">
        <v>134</v>
      </c>
      <c r="E581" t="s">
        <v>48</v>
      </c>
      <c r="F581" t="s">
        <v>99</v>
      </c>
      <c r="G581">
        <v>3</v>
      </c>
      <c r="H581" s="5">
        <v>4510.3900000000003</v>
      </c>
      <c r="I581" s="4">
        <v>0</v>
      </c>
      <c r="J581" s="5">
        <v>13531.17</v>
      </c>
      <c r="K581" s="5">
        <v>10436.299999999999</v>
      </c>
      <c r="L581" s="5">
        <v>3094.87</v>
      </c>
      <c r="M581" t="s">
        <v>35</v>
      </c>
      <c r="N581" t="s">
        <v>71</v>
      </c>
      <c r="O581" t="s">
        <v>37</v>
      </c>
    </row>
    <row r="582" spans="1:15">
      <c r="A582" t="s">
        <v>1011</v>
      </c>
      <c r="B582" s="3">
        <v>45723</v>
      </c>
      <c r="C582" t="s">
        <v>186</v>
      </c>
      <c r="D582" t="s">
        <v>74</v>
      </c>
      <c r="E582" t="s">
        <v>61</v>
      </c>
      <c r="F582" t="s">
        <v>84</v>
      </c>
      <c r="G582">
        <v>3</v>
      </c>
      <c r="H582" s="5">
        <v>5416.94</v>
      </c>
      <c r="I582" s="4">
        <v>0.1</v>
      </c>
      <c r="J582" s="5">
        <v>14625.74</v>
      </c>
      <c r="K582" s="5">
        <v>8546.68</v>
      </c>
      <c r="L582" s="5">
        <v>6079.06</v>
      </c>
      <c r="M582" t="s">
        <v>57</v>
      </c>
      <c r="N582" t="s">
        <v>43</v>
      </c>
      <c r="O582" t="s">
        <v>44</v>
      </c>
    </row>
    <row r="583" spans="1:15">
      <c r="A583" t="s">
        <v>1012</v>
      </c>
      <c r="B583" s="3">
        <v>46144</v>
      </c>
      <c r="C583" t="s">
        <v>310</v>
      </c>
      <c r="D583" t="s">
        <v>47</v>
      </c>
      <c r="E583" t="s">
        <v>41</v>
      </c>
      <c r="F583" t="s">
        <v>124</v>
      </c>
      <c r="G583">
        <v>3</v>
      </c>
      <c r="H583" s="5">
        <v>187.54</v>
      </c>
      <c r="I583" s="4">
        <v>0</v>
      </c>
      <c r="J583" s="5">
        <v>562.62</v>
      </c>
      <c r="K583" s="5">
        <v>316.25</v>
      </c>
      <c r="L583" s="5">
        <v>246.37</v>
      </c>
      <c r="M583" t="s">
        <v>35</v>
      </c>
      <c r="N583" t="s">
        <v>36</v>
      </c>
      <c r="O583" t="s">
        <v>44</v>
      </c>
    </row>
    <row r="584" spans="1:15">
      <c r="A584" t="s">
        <v>1013</v>
      </c>
      <c r="B584" s="3">
        <v>46078</v>
      </c>
      <c r="C584" t="s">
        <v>369</v>
      </c>
      <c r="D584" t="s">
        <v>32</v>
      </c>
      <c r="E584" t="s">
        <v>33</v>
      </c>
      <c r="F584" t="s">
        <v>34</v>
      </c>
      <c r="G584">
        <v>4</v>
      </c>
      <c r="H584" s="5">
        <v>1443.52</v>
      </c>
      <c r="I584" s="4">
        <v>0.15</v>
      </c>
      <c r="J584" s="5">
        <v>4907.97</v>
      </c>
      <c r="K584" s="5">
        <v>2754.71</v>
      </c>
      <c r="L584" s="5">
        <v>2153.2600000000002</v>
      </c>
      <c r="M584" t="s">
        <v>35</v>
      </c>
      <c r="N584" t="s">
        <v>43</v>
      </c>
      <c r="O584" t="s">
        <v>37</v>
      </c>
    </row>
    <row r="585" spans="1:15">
      <c r="A585" t="s">
        <v>1014</v>
      </c>
      <c r="B585" s="3">
        <v>45913</v>
      </c>
      <c r="C585" t="s">
        <v>422</v>
      </c>
      <c r="D585" t="s">
        <v>52</v>
      </c>
      <c r="E585" t="s">
        <v>33</v>
      </c>
      <c r="F585" t="s">
        <v>176</v>
      </c>
      <c r="G585">
        <v>6</v>
      </c>
      <c r="H585" s="5">
        <v>3601.51</v>
      </c>
      <c r="I585" s="4">
        <v>0.15</v>
      </c>
      <c r="J585" s="5">
        <v>18367.7</v>
      </c>
      <c r="K585" s="5">
        <v>12010.74</v>
      </c>
      <c r="L585" s="5">
        <v>6356.96</v>
      </c>
      <c r="M585" t="s">
        <v>35</v>
      </c>
      <c r="N585" t="s">
        <v>36</v>
      </c>
      <c r="O585" t="s">
        <v>44</v>
      </c>
    </row>
    <row r="586" spans="1:15">
      <c r="A586" t="s">
        <v>1015</v>
      </c>
      <c r="B586" s="3">
        <v>45672</v>
      </c>
      <c r="C586" t="s">
        <v>1016</v>
      </c>
      <c r="D586" t="s">
        <v>56</v>
      </c>
      <c r="E586" t="s">
        <v>48</v>
      </c>
      <c r="F586" t="s">
        <v>99</v>
      </c>
      <c r="G586">
        <v>1</v>
      </c>
      <c r="H586" s="5">
        <v>1260.23</v>
      </c>
      <c r="I586" s="4">
        <v>0.05</v>
      </c>
      <c r="J586" s="5">
        <v>1197.22</v>
      </c>
      <c r="K586" s="5">
        <v>1015.11</v>
      </c>
      <c r="L586" s="5">
        <v>182.11</v>
      </c>
      <c r="M586" t="s">
        <v>35</v>
      </c>
      <c r="N586" t="s">
        <v>71</v>
      </c>
      <c r="O586" t="s">
        <v>44</v>
      </c>
    </row>
    <row r="587" spans="1:15">
      <c r="A587" t="s">
        <v>1017</v>
      </c>
      <c r="B587" s="3">
        <v>45818</v>
      </c>
      <c r="C587" t="s">
        <v>956</v>
      </c>
      <c r="D587" t="s">
        <v>95</v>
      </c>
      <c r="E587" t="s">
        <v>61</v>
      </c>
      <c r="F587" t="s">
        <v>62</v>
      </c>
      <c r="G587">
        <v>5</v>
      </c>
      <c r="H587" s="5">
        <v>333.12</v>
      </c>
      <c r="I587" s="4">
        <v>0.2</v>
      </c>
      <c r="J587" s="5">
        <v>1332.48</v>
      </c>
      <c r="K587" s="5">
        <v>870.74</v>
      </c>
      <c r="L587" s="5">
        <v>461.74</v>
      </c>
      <c r="M587" t="s">
        <v>57</v>
      </c>
      <c r="N587" t="s">
        <v>63</v>
      </c>
      <c r="O587" t="s">
        <v>44</v>
      </c>
    </row>
    <row r="588" spans="1:15">
      <c r="A588" t="s">
        <v>1018</v>
      </c>
      <c r="B588" s="3">
        <v>46082</v>
      </c>
      <c r="C588" t="s">
        <v>276</v>
      </c>
      <c r="D588" t="s">
        <v>60</v>
      </c>
      <c r="E588" t="s">
        <v>41</v>
      </c>
      <c r="F588" t="s">
        <v>42</v>
      </c>
      <c r="G588">
        <v>1</v>
      </c>
      <c r="H588" s="5">
        <v>4235.4399999999996</v>
      </c>
      <c r="I588" s="4">
        <v>0.1</v>
      </c>
      <c r="J588" s="5">
        <v>3811.9</v>
      </c>
      <c r="K588" s="5">
        <v>2292.06</v>
      </c>
      <c r="L588" s="5">
        <v>1519.84</v>
      </c>
      <c r="M588" t="s">
        <v>57</v>
      </c>
      <c r="N588" t="s">
        <v>43</v>
      </c>
      <c r="O588" t="s">
        <v>44</v>
      </c>
    </row>
    <row r="589" spans="1:15">
      <c r="A589" t="s">
        <v>1019</v>
      </c>
      <c r="B589" s="3">
        <v>45943</v>
      </c>
      <c r="C589" t="s">
        <v>393</v>
      </c>
      <c r="D589" t="s">
        <v>32</v>
      </c>
      <c r="E589" t="s">
        <v>41</v>
      </c>
      <c r="F589" t="s">
        <v>124</v>
      </c>
      <c r="G589">
        <v>5</v>
      </c>
      <c r="H589" s="5">
        <v>4088.02</v>
      </c>
      <c r="I589" s="4">
        <v>0.15</v>
      </c>
      <c r="J589" s="5">
        <v>17374.080000000002</v>
      </c>
      <c r="K589" s="5">
        <v>12991.69</v>
      </c>
      <c r="L589" s="5">
        <v>4382.3900000000003</v>
      </c>
      <c r="M589" t="s">
        <v>57</v>
      </c>
      <c r="N589" t="s">
        <v>71</v>
      </c>
      <c r="O589" t="s">
        <v>44</v>
      </c>
    </row>
    <row r="590" spans="1:15">
      <c r="A590" t="s">
        <v>1020</v>
      </c>
      <c r="B590" s="3">
        <v>45906</v>
      </c>
      <c r="C590" t="s">
        <v>811</v>
      </c>
      <c r="D590" t="s">
        <v>66</v>
      </c>
      <c r="E590" t="s">
        <v>33</v>
      </c>
      <c r="F590" t="s">
        <v>96</v>
      </c>
      <c r="G590">
        <v>5</v>
      </c>
      <c r="H590" s="5">
        <v>5393.48</v>
      </c>
      <c r="I590" s="4">
        <v>0.1</v>
      </c>
      <c r="J590" s="5">
        <v>24270.66</v>
      </c>
      <c r="K590" s="5">
        <v>13951.7</v>
      </c>
      <c r="L590" s="5">
        <v>10318.959999999999</v>
      </c>
      <c r="M590" t="s">
        <v>57</v>
      </c>
      <c r="N590" t="s">
        <v>36</v>
      </c>
      <c r="O590" t="s">
        <v>37</v>
      </c>
    </row>
    <row r="591" spans="1:15">
      <c r="A591" t="s">
        <v>1021</v>
      </c>
      <c r="B591" s="3">
        <v>46046</v>
      </c>
      <c r="C591" t="s">
        <v>577</v>
      </c>
      <c r="D591" t="s">
        <v>134</v>
      </c>
      <c r="E591" t="s">
        <v>61</v>
      </c>
      <c r="F591" t="s">
        <v>129</v>
      </c>
      <c r="G591">
        <v>1</v>
      </c>
      <c r="H591" s="5">
        <v>3562.55</v>
      </c>
      <c r="I591" s="4">
        <v>0</v>
      </c>
      <c r="J591" s="5">
        <v>3562.55</v>
      </c>
      <c r="K591" s="5">
        <v>2338.25</v>
      </c>
      <c r="L591" s="5">
        <v>1224.3</v>
      </c>
      <c r="M591" t="s">
        <v>57</v>
      </c>
      <c r="N591" t="s">
        <v>71</v>
      </c>
      <c r="O591" t="s">
        <v>37</v>
      </c>
    </row>
    <row r="592" spans="1:15">
      <c r="A592" t="s">
        <v>1022</v>
      </c>
      <c r="B592" s="3">
        <v>45827</v>
      </c>
      <c r="C592" t="s">
        <v>294</v>
      </c>
      <c r="D592" t="s">
        <v>66</v>
      </c>
      <c r="E592" t="s">
        <v>61</v>
      </c>
      <c r="F592" t="s">
        <v>89</v>
      </c>
      <c r="G592">
        <v>5</v>
      </c>
      <c r="H592" s="5">
        <v>2592.61</v>
      </c>
      <c r="I592" s="4">
        <v>0</v>
      </c>
      <c r="J592" s="5">
        <v>12963.05</v>
      </c>
      <c r="K592" s="5">
        <v>9805.26</v>
      </c>
      <c r="L592" s="5">
        <v>3157.79</v>
      </c>
      <c r="M592" t="s">
        <v>35</v>
      </c>
      <c r="N592" t="s">
        <v>36</v>
      </c>
      <c r="O592" t="s">
        <v>37</v>
      </c>
    </row>
    <row r="593" spans="1:15">
      <c r="A593" t="s">
        <v>1023</v>
      </c>
      <c r="B593" s="3">
        <v>46030</v>
      </c>
      <c r="C593" t="s">
        <v>179</v>
      </c>
      <c r="D593" t="s">
        <v>95</v>
      </c>
      <c r="E593" t="s">
        <v>48</v>
      </c>
      <c r="F593" t="s">
        <v>99</v>
      </c>
      <c r="G593">
        <v>5</v>
      </c>
      <c r="H593" s="5">
        <v>4215.03</v>
      </c>
      <c r="I593" s="4">
        <v>0.2</v>
      </c>
      <c r="J593" s="5">
        <v>16860.12</v>
      </c>
      <c r="K593" s="5">
        <v>9452.6299999999992</v>
      </c>
      <c r="L593" s="5">
        <v>7407.49</v>
      </c>
      <c r="M593" t="s">
        <v>57</v>
      </c>
      <c r="N593" t="s">
        <v>36</v>
      </c>
      <c r="O593" t="s">
        <v>44</v>
      </c>
    </row>
    <row r="594" spans="1:15">
      <c r="A594" t="s">
        <v>1024</v>
      </c>
      <c r="B594" s="3">
        <v>46057</v>
      </c>
      <c r="C594" t="s">
        <v>420</v>
      </c>
      <c r="D594" t="s">
        <v>66</v>
      </c>
      <c r="E594" t="s">
        <v>61</v>
      </c>
      <c r="F594" t="s">
        <v>89</v>
      </c>
      <c r="G594">
        <v>2</v>
      </c>
      <c r="H594" s="5">
        <v>3862.72</v>
      </c>
      <c r="I594" s="4">
        <v>0</v>
      </c>
      <c r="J594" s="5">
        <v>7725.44</v>
      </c>
      <c r="K594" s="5">
        <v>6144.29</v>
      </c>
      <c r="L594" s="5">
        <v>1581.15</v>
      </c>
      <c r="M594" t="s">
        <v>57</v>
      </c>
      <c r="N594" t="s">
        <v>36</v>
      </c>
      <c r="O594" t="s">
        <v>37</v>
      </c>
    </row>
    <row r="595" spans="1:15">
      <c r="A595" t="s">
        <v>1025</v>
      </c>
      <c r="B595" s="3">
        <v>45881</v>
      </c>
      <c r="C595" t="s">
        <v>339</v>
      </c>
      <c r="D595" t="s">
        <v>47</v>
      </c>
      <c r="E595" t="s">
        <v>33</v>
      </c>
      <c r="F595" t="s">
        <v>176</v>
      </c>
      <c r="G595">
        <v>3</v>
      </c>
      <c r="H595" s="5">
        <v>803.06</v>
      </c>
      <c r="I595" s="4">
        <v>0.05</v>
      </c>
      <c r="J595" s="5">
        <v>2288.7199999999998</v>
      </c>
      <c r="K595" s="5">
        <v>1385.73</v>
      </c>
      <c r="L595" s="5">
        <v>902.99</v>
      </c>
      <c r="M595" t="s">
        <v>57</v>
      </c>
      <c r="N595" t="s">
        <v>71</v>
      </c>
      <c r="O595" t="s">
        <v>44</v>
      </c>
    </row>
    <row r="596" spans="1:15">
      <c r="A596" t="s">
        <v>1026</v>
      </c>
      <c r="B596" s="3">
        <v>46080</v>
      </c>
      <c r="C596" t="s">
        <v>243</v>
      </c>
      <c r="D596" t="s">
        <v>56</v>
      </c>
      <c r="E596" t="s">
        <v>33</v>
      </c>
      <c r="F596" t="s">
        <v>67</v>
      </c>
      <c r="G596">
        <v>4</v>
      </c>
      <c r="H596" s="5">
        <v>1185.51</v>
      </c>
      <c r="I596" s="4">
        <v>0</v>
      </c>
      <c r="J596" s="5">
        <v>4742.04</v>
      </c>
      <c r="K596" s="5">
        <v>3007.87</v>
      </c>
      <c r="L596" s="5">
        <v>1734.17</v>
      </c>
      <c r="M596" t="s">
        <v>35</v>
      </c>
      <c r="N596" t="s">
        <v>71</v>
      </c>
      <c r="O596" t="s">
        <v>44</v>
      </c>
    </row>
    <row r="597" spans="1:15">
      <c r="A597" t="s">
        <v>1027</v>
      </c>
      <c r="B597" s="3">
        <v>45723</v>
      </c>
      <c r="C597" t="s">
        <v>292</v>
      </c>
      <c r="D597" t="s">
        <v>32</v>
      </c>
      <c r="E597" t="s">
        <v>33</v>
      </c>
      <c r="F597" t="s">
        <v>92</v>
      </c>
      <c r="G597">
        <v>3</v>
      </c>
      <c r="H597" s="5">
        <v>4011.42</v>
      </c>
      <c r="I597" s="4">
        <v>0.2</v>
      </c>
      <c r="J597" s="5">
        <v>9627.41</v>
      </c>
      <c r="K597" s="5">
        <v>6907.92</v>
      </c>
      <c r="L597" s="5">
        <v>2719.49</v>
      </c>
      <c r="M597" t="s">
        <v>35</v>
      </c>
      <c r="N597" t="s">
        <v>36</v>
      </c>
      <c r="O597" t="s">
        <v>44</v>
      </c>
    </row>
    <row r="598" spans="1:15">
      <c r="A598" t="s">
        <v>1028</v>
      </c>
      <c r="B598" s="3">
        <v>46119</v>
      </c>
      <c r="C598" t="s">
        <v>112</v>
      </c>
      <c r="D598" t="s">
        <v>66</v>
      </c>
      <c r="E598" t="s">
        <v>61</v>
      </c>
      <c r="F598" t="s">
        <v>62</v>
      </c>
      <c r="G598">
        <v>3</v>
      </c>
      <c r="H598" s="5">
        <v>1472.12</v>
      </c>
      <c r="I598" s="4">
        <v>0</v>
      </c>
      <c r="J598" s="5">
        <v>4416.3599999999997</v>
      </c>
      <c r="K598" s="5">
        <v>3659.48</v>
      </c>
      <c r="L598" s="5">
        <v>756.88</v>
      </c>
      <c r="M598" t="s">
        <v>35</v>
      </c>
      <c r="N598" t="s">
        <v>43</v>
      </c>
      <c r="O598" t="s">
        <v>44</v>
      </c>
    </row>
    <row r="599" spans="1:15">
      <c r="A599" t="s">
        <v>1029</v>
      </c>
      <c r="B599" s="3">
        <v>45772</v>
      </c>
      <c r="C599" t="s">
        <v>1030</v>
      </c>
      <c r="D599" t="s">
        <v>47</v>
      </c>
      <c r="E599" t="s">
        <v>41</v>
      </c>
      <c r="F599" t="s">
        <v>119</v>
      </c>
      <c r="G599">
        <v>6</v>
      </c>
      <c r="H599" s="5">
        <v>3577.95</v>
      </c>
      <c r="I599" s="4">
        <v>0.2</v>
      </c>
      <c r="J599" s="5">
        <v>17174.16</v>
      </c>
      <c r="K599" s="5">
        <v>11282.8</v>
      </c>
      <c r="L599" s="5">
        <v>5891.36</v>
      </c>
      <c r="M599" t="s">
        <v>35</v>
      </c>
      <c r="N599" t="s">
        <v>63</v>
      </c>
      <c r="O599" t="s">
        <v>37</v>
      </c>
    </row>
    <row r="600" spans="1:15">
      <c r="A600" t="s">
        <v>1031</v>
      </c>
      <c r="B600" s="3">
        <v>46138</v>
      </c>
      <c r="C600" t="s">
        <v>1032</v>
      </c>
      <c r="D600" t="s">
        <v>32</v>
      </c>
      <c r="E600" t="s">
        <v>33</v>
      </c>
      <c r="F600" t="s">
        <v>96</v>
      </c>
      <c r="G600">
        <v>2</v>
      </c>
      <c r="H600" s="5">
        <v>3516.07</v>
      </c>
      <c r="I600" s="4">
        <v>0.1</v>
      </c>
      <c r="J600" s="5">
        <v>6328.93</v>
      </c>
      <c r="K600" s="5">
        <v>4577.4799999999996</v>
      </c>
      <c r="L600" s="5">
        <v>1751.45</v>
      </c>
      <c r="M600" t="s">
        <v>35</v>
      </c>
      <c r="N600" t="s">
        <v>43</v>
      </c>
      <c r="O600" t="s">
        <v>37</v>
      </c>
    </row>
    <row r="601" spans="1:15">
      <c r="A601" t="s">
        <v>1033</v>
      </c>
      <c r="B601" s="3">
        <v>46148</v>
      </c>
      <c r="C601" t="s">
        <v>1034</v>
      </c>
      <c r="D601" t="s">
        <v>40</v>
      </c>
      <c r="E601" t="s">
        <v>33</v>
      </c>
      <c r="F601" t="s">
        <v>96</v>
      </c>
      <c r="G601">
        <v>3</v>
      </c>
      <c r="H601" s="5">
        <v>695.2</v>
      </c>
      <c r="I601" s="4">
        <v>0</v>
      </c>
      <c r="J601" s="5">
        <v>2085.6</v>
      </c>
      <c r="K601" s="5">
        <v>1678.66</v>
      </c>
      <c r="L601" s="5">
        <v>406.94</v>
      </c>
      <c r="M601" t="s">
        <v>35</v>
      </c>
      <c r="N601" t="s">
        <v>63</v>
      </c>
      <c r="O601" t="s">
        <v>37</v>
      </c>
    </row>
    <row r="602" spans="1:15">
      <c r="A602" t="s">
        <v>1035</v>
      </c>
      <c r="B602" s="3">
        <v>45758</v>
      </c>
      <c r="C602" t="s">
        <v>65</v>
      </c>
      <c r="D602" t="s">
        <v>56</v>
      </c>
      <c r="E602" t="s">
        <v>33</v>
      </c>
      <c r="F602" t="s">
        <v>67</v>
      </c>
      <c r="G602">
        <v>1</v>
      </c>
      <c r="H602" s="5">
        <v>1323.07</v>
      </c>
      <c r="I602" s="4">
        <v>0.15</v>
      </c>
      <c r="J602" s="5">
        <v>1124.6099999999999</v>
      </c>
      <c r="K602" s="5">
        <v>703.73</v>
      </c>
      <c r="L602" s="5">
        <v>420.88</v>
      </c>
      <c r="M602" t="s">
        <v>35</v>
      </c>
      <c r="N602" t="s">
        <v>63</v>
      </c>
      <c r="O602" t="s">
        <v>44</v>
      </c>
    </row>
    <row r="603" spans="1:15">
      <c r="A603" t="s">
        <v>1036</v>
      </c>
      <c r="B603" s="3">
        <v>46072</v>
      </c>
      <c r="C603" t="s">
        <v>288</v>
      </c>
      <c r="D603" t="s">
        <v>47</v>
      </c>
      <c r="E603" t="s">
        <v>61</v>
      </c>
      <c r="F603" t="s">
        <v>84</v>
      </c>
      <c r="G603">
        <v>3</v>
      </c>
      <c r="H603" s="5">
        <v>848.96</v>
      </c>
      <c r="I603" s="4">
        <v>0.15</v>
      </c>
      <c r="J603" s="5">
        <v>2164.85</v>
      </c>
      <c r="K603" s="5">
        <v>1497.13</v>
      </c>
      <c r="L603" s="5">
        <v>667.72</v>
      </c>
      <c r="M603" t="s">
        <v>35</v>
      </c>
      <c r="N603" t="s">
        <v>71</v>
      </c>
      <c r="O603" t="s">
        <v>37</v>
      </c>
    </row>
    <row r="604" spans="1:15">
      <c r="A604" t="s">
        <v>1037</v>
      </c>
      <c r="B604" s="3">
        <v>45767</v>
      </c>
      <c r="C604" t="s">
        <v>648</v>
      </c>
      <c r="D604" t="s">
        <v>56</v>
      </c>
      <c r="E604" t="s">
        <v>41</v>
      </c>
      <c r="F604" t="s">
        <v>42</v>
      </c>
      <c r="G604">
        <v>3</v>
      </c>
      <c r="H604" s="5">
        <v>778.03</v>
      </c>
      <c r="I604" s="4">
        <v>0.2</v>
      </c>
      <c r="J604" s="5">
        <v>1867.27</v>
      </c>
      <c r="K604" s="5">
        <v>1324.88</v>
      </c>
      <c r="L604" s="5">
        <v>542.39</v>
      </c>
      <c r="M604" t="s">
        <v>57</v>
      </c>
      <c r="N604" t="s">
        <v>63</v>
      </c>
      <c r="O604" t="s">
        <v>44</v>
      </c>
    </row>
    <row r="605" spans="1:15">
      <c r="A605" t="s">
        <v>1038</v>
      </c>
      <c r="B605" s="3">
        <v>45840</v>
      </c>
      <c r="C605" t="s">
        <v>131</v>
      </c>
      <c r="D605" t="s">
        <v>47</v>
      </c>
      <c r="E605" t="s">
        <v>48</v>
      </c>
      <c r="F605" t="s">
        <v>70</v>
      </c>
      <c r="G605">
        <v>4</v>
      </c>
      <c r="H605" s="5">
        <v>1445.64</v>
      </c>
      <c r="I605" s="4">
        <v>0</v>
      </c>
      <c r="J605" s="5">
        <v>5782.56</v>
      </c>
      <c r="K605" s="5">
        <v>3750.96</v>
      </c>
      <c r="L605" s="5">
        <v>2031.6</v>
      </c>
      <c r="M605" t="s">
        <v>57</v>
      </c>
      <c r="N605" t="s">
        <v>63</v>
      </c>
      <c r="O605" t="s">
        <v>37</v>
      </c>
    </row>
    <row r="606" spans="1:15">
      <c r="A606" t="s">
        <v>1039</v>
      </c>
      <c r="B606" s="3">
        <v>46193</v>
      </c>
      <c r="C606" t="s">
        <v>1040</v>
      </c>
      <c r="D606" t="s">
        <v>134</v>
      </c>
      <c r="E606" t="s">
        <v>61</v>
      </c>
      <c r="F606" t="s">
        <v>62</v>
      </c>
      <c r="G606">
        <v>2</v>
      </c>
      <c r="H606" s="5">
        <v>4592.32</v>
      </c>
      <c r="I606" s="4">
        <v>0</v>
      </c>
      <c r="J606" s="5">
        <v>9184.64</v>
      </c>
      <c r="K606" s="5">
        <v>7212.21</v>
      </c>
      <c r="L606" s="5">
        <v>1972.43</v>
      </c>
      <c r="M606" t="s">
        <v>57</v>
      </c>
      <c r="N606" t="s">
        <v>43</v>
      </c>
      <c r="O606" t="s">
        <v>44</v>
      </c>
    </row>
    <row r="607" spans="1:15">
      <c r="A607" t="s">
        <v>1041</v>
      </c>
      <c r="B607" s="3">
        <v>45907</v>
      </c>
      <c r="C607" t="s">
        <v>1042</v>
      </c>
      <c r="D607" t="s">
        <v>66</v>
      </c>
      <c r="E607" t="s">
        <v>61</v>
      </c>
      <c r="F607" t="s">
        <v>129</v>
      </c>
      <c r="G607">
        <v>1</v>
      </c>
      <c r="H607" s="5">
        <v>3850.47</v>
      </c>
      <c r="I607" s="4">
        <v>0.2</v>
      </c>
      <c r="J607" s="5">
        <v>3080.38</v>
      </c>
      <c r="K607" s="5">
        <v>2247.6799999999998</v>
      </c>
      <c r="L607" s="5">
        <v>832.7</v>
      </c>
      <c r="M607" t="s">
        <v>57</v>
      </c>
      <c r="N607" t="s">
        <v>43</v>
      </c>
      <c r="O607" t="s">
        <v>44</v>
      </c>
    </row>
    <row r="608" spans="1:15">
      <c r="A608" t="s">
        <v>1043</v>
      </c>
      <c r="B608" s="3">
        <v>45888</v>
      </c>
      <c r="C608" t="s">
        <v>661</v>
      </c>
      <c r="D608" t="s">
        <v>66</v>
      </c>
      <c r="E608" t="s">
        <v>33</v>
      </c>
      <c r="F608" t="s">
        <v>96</v>
      </c>
      <c r="G608">
        <v>3</v>
      </c>
      <c r="H608" s="5">
        <v>2861.44</v>
      </c>
      <c r="I608" s="4">
        <v>0.1</v>
      </c>
      <c r="J608" s="5">
        <v>7725.89</v>
      </c>
      <c r="K608" s="5">
        <v>5773.87</v>
      </c>
      <c r="L608" s="5">
        <v>1952.02</v>
      </c>
      <c r="M608" t="s">
        <v>35</v>
      </c>
      <c r="N608" t="s">
        <v>43</v>
      </c>
      <c r="O608" t="s">
        <v>44</v>
      </c>
    </row>
    <row r="609" spans="1:15">
      <c r="A609" t="s">
        <v>1044</v>
      </c>
      <c r="B609" s="3">
        <v>45714</v>
      </c>
      <c r="C609" t="s">
        <v>670</v>
      </c>
      <c r="D609" t="s">
        <v>1045</v>
      </c>
      <c r="E609" t="s">
        <v>48</v>
      </c>
      <c r="F609" t="s">
        <v>102</v>
      </c>
      <c r="G609">
        <v>4</v>
      </c>
      <c r="H609" s="5">
        <v>911.41</v>
      </c>
      <c r="I609" s="4">
        <v>0.2</v>
      </c>
      <c r="J609" s="5">
        <v>2916.51</v>
      </c>
      <c r="K609" s="5">
        <v>1889.82</v>
      </c>
      <c r="L609" s="5">
        <v>1026.69</v>
      </c>
      <c r="M609" t="s">
        <v>57</v>
      </c>
      <c r="N609" t="s">
        <v>36</v>
      </c>
      <c r="O609" t="s">
        <v>44</v>
      </c>
    </row>
    <row r="610" spans="1:15">
      <c r="A610" t="s">
        <v>1046</v>
      </c>
      <c r="B610" s="3">
        <v>45895</v>
      </c>
      <c r="C610" t="s">
        <v>326</v>
      </c>
      <c r="D610" t="s">
        <v>32</v>
      </c>
      <c r="E610" t="s">
        <v>48</v>
      </c>
      <c r="F610" t="s">
        <v>70</v>
      </c>
      <c r="G610">
        <v>2</v>
      </c>
      <c r="H610" s="5">
        <v>3361.07</v>
      </c>
      <c r="I610" s="4">
        <v>0.1</v>
      </c>
      <c r="J610" s="5">
        <v>6049.93</v>
      </c>
      <c r="K610" s="5">
        <v>4896.82</v>
      </c>
      <c r="L610" s="5">
        <v>1153.1099999999999</v>
      </c>
      <c r="M610" t="s">
        <v>35</v>
      </c>
      <c r="N610" t="s">
        <v>43</v>
      </c>
      <c r="O610" t="s">
        <v>44</v>
      </c>
    </row>
    <row r="611" spans="1:15">
      <c r="A611" t="s">
        <v>1047</v>
      </c>
      <c r="B611" s="3">
        <v>45755</v>
      </c>
      <c r="C611" t="s">
        <v>1048</v>
      </c>
      <c r="D611" t="s">
        <v>56</v>
      </c>
      <c r="E611" t="s">
        <v>48</v>
      </c>
      <c r="F611" t="s">
        <v>99</v>
      </c>
      <c r="G611">
        <v>2</v>
      </c>
      <c r="H611" s="5">
        <v>2866.5</v>
      </c>
      <c r="I611" s="4">
        <v>0.05</v>
      </c>
      <c r="J611" s="5">
        <v>5446.35</v>
      </c>
      <c r="K611" s="5">
        <v>3636.74</v>
      </c>
      <c r="L611" s="5">
        <v>1809.61</v>
      </c>
      <c r="M611" t="s">
        <v>57</v>
      </c>
      <c r="N611" t="s">
        <v>71</v>
      </c>
      <c r="O611" t="s">
        <v>37</v>
      </c>
    </row>
    <row r="612" spans="1:15">
      <c r="A612" t="s">
        <v>1049</v>
      </c>
      <c r="B612" s="3">
        <v>45937</v>
      </c>
      <c r="C612" t="s">
        <v>474</v>
      </c>
      <c r="D612" t="s">
        <v>60</v>
      </c>
      <c r="E612" t="s">
        <v>61</v>
      </c>
      <c r="F612" t="s">
        <v>84</v>
      </c>
      <c r="G612">
        <v>6</v>
      </c>
      <c r="H612" s="5">
        <v>3505.62</v>
      </c>
      <c r="I612" s="4">
        <v>0</v>
      </c>
      <c r="J612" s="5">
        <v>21033.72</v>
      </c>
      <c r="K612" s="5">
        <v>13240.96</v>
      </c>
      <c r="L612" s="5">
        <v>7792.76</v>
      </c>
      <c r="M612" t="s">
        <v>57</v>
      </c>
      <c r="N612" t="s">
        <v>36</v>
      </c>
      <c r="O612" t="s">
        <v>44</v>
      </c>
    </row>
    <row r="613" spans="1:15">
      <c r="A613" t="s">
        <v>1050</v>
      </c>
      <c r="B613" s="3">
        <v>45726</v>
      </c>
      <c r="C613" t="s">
        <v>927</v>
      </c>
      <c r="D613" t="s">
        <v>60</v>
      </c>
      <c r="E613" t="s">
        <v>61</v>
      </c>
      <c r="F613" t="s">
        <v>81</v>
      </c>
      <c r="G613">
        <v>2</v>
      </c>
      <c r="H613" s="5">
        <v>258.26</v>
      </c>
      <c r="I613" s="4">
        <v>0</v>
      </c>
      <c r="J613" s="5">
        <v>516.52</v>
      </c>
      <c r="K613" s="5">
        <v>365.53</v>
      </c>
      <c r="L613" s="5">
        <v>150.99</v>
      </c>
      <c r="M613" t="s">
        <v>35</v>
      </c>
      <c r="N613" t="s">
        <v>36</v>
      </c>
      <c r="O613" t="s">
        <v>44</v>
      </c>
    </row>
    <row r="614" spans="1:15">
      <c r="A614" t="s">
        <v>1051</v>
      </c>
      <c r="B614" s="3">
        <v>46211</v>
      </c>
      <c r="C614" t="s">
        <v>1052</v>
      </c>
      <c r="D614" t="s">
        <v>66</v>
      </c>
      <c r="E614" t="s">
        <v>61</v>
      </c>
      <c r="F614" t="s">
        <v>81</v>
      </c>
      <c r="G614">
        <v>3</v>
      </c>
      <c r="H614" s="5">
        <v>1922.91</v>
      </c>
      <c r="I614" s="4">
        <v>0</v>
      </c>
      <c r="J614" s="5">
        <v>5768.73</v>
      </c>
      <c r="K614" s="5">
        <v>3893.92</v>
      </c>
      <c r="L614" s="5">
        <v>1874.81</v>
      </c>
      <c r="M614" t="s">
        <v>35</v>
      </c>
      <c r="N614" t="s">
        <v>43</v>
      </c>
      <c r="O614" t="s">
        <v>44</v>
      </c>
    </row>
    <row r="615" spans="1:15">
      <c r="A615" t="s">
        <v>1053</v>
      </c>
      <c r="B615" s="3">
        <v>45664</v>
      </c>
      <c r="C615" t="s">
        <v>1054</v>
      </c>
      <c r="D615" t="s">
        <v>74</v>
      </c>
      <c r="E615" t="s">
        <v>61</v>
      </c>
      <c r="F615" t="s">
        <v>89</v>
      </c>
      <c r="G615">
        <v>2</v>
      </c>
      <c r="H615" s="5">
        <v>1650.09</v>
      </c>
      <c r="I615" s="4">
        <v>0.05</v>
      </c>
      <c r="J615" s="5">
        <v>3135.17</v>
      </c>
      <c r="K615" s="5">
        <v>2639.13</v>
      </c>
      <c r="L615" s="5">
        <v>496.04</v>
      </c>
      <c r="M615" t="s">
        <v>35</v>
      </c>
      <c r="N615" t="s">
        <v>43</v>
      </c>
      <c r="O615" t="s">
        <v>37</v>
      </c>
    </row>
    <row r="616" spans="1:15">
      <c r="A616" t="s">
        <v>1055</v>
      </c>
      <c r="B616" s="3">
        <v>45868</v>
      </c>
      <c r="C616" t="s">
        <v>39</v>
      </c>
      <c r="D616" t="s">
        <v>134</v>
      </c>
      <c r="E616" t="s">
        <v>61</v>
      </c>
      <c r="F616" t="s">
        <v>84</v>
      </c>
      <c r="G616">
        <v>5</v>
      </c>
      <c r="H616" s="5">
        <v>4261.38</v>
      </c>
      <c r="I616" s="4">
        <v>0</v>
      </c>
      <c r="J616" s="5">
        <v>21306.9</v>
      </c>
      <c r="K616" s="5">
        <v>17874.349999999999</v>
      </c>
      <c r="L616" s="5">
        <v>3432.55</v>
      </c>
      <c r="M616" t="s">
        <v>57</v>
      </c>
      <c r="N616" t="s">
        <v>36</v>
      </c>
      <c r="O616" t="s">
        <v>37</v>
      </c>
    </row>
    <row r="617" spans="1:15">
      <c r="A617" t="s">
        <v>1056</v>
      </c>
      <c r="B617" s="3">
        <v>46136</v>
      </c>
      <c r="C617" t="s">
        <v>708</v>
      </c>
      <c r="D617" t="s">
        <v>66</v>
      </c>
      <c r="E617" t="s">
        <v>48</v>
      </c>
      <c r="F617" t="s">
        <v>70</v>
      </c>
      <c r="G617">
        <v>6</v>
      </c>
      <c r="H617" s="5">
        <v>2678.25</v>
      </c>
      <c r="I617" s="4">
        <v>0.15</v>
      </c>
      <c r="J617" s="5">
        <v>13659.07</v>
      </c>
      <c r="K617" s="5">
        <v>10358.42</v>
      </c>
      <c r="L617" s="5">
        <v>3300.65</v>
      </c>
      <c r="M617" t="s">
        <v>35</v>
      </c>
      <c r="N617" t="s">
        <v>36</v>
      </c>
      <c r="O617" t="s">
        <v>37</v>
      </c>
    </row>
    <row r="618" spans="1:15">
      <c r="A618" t="s">
        <v>1057</v>
      </c>
      <c r="B618" s="3">
        <v>45823</v>
      </c>
      <c r="C618" t="s">
        <v>1058</v>
      </c>
      <c r="D618" t="s">
        <v>56</v>
      </c>
      <c r="E618" t="s">
        <v>33</v>
      </c>
      <c r="F618" t="s">
        <v>92</v>
      </c>
      <c r="G618">
        <v>5</v>
      </c>
      <c r="H618" s="5">
        <v>2955.3</v>
      </c>
      <c r="I618" s="4">
        <v>0.15</v>
      </c>
      <c r="J618" s="5">
        <v>12560.02</v>
      </c>
      <c r="K618" s="5">
        <v>8564.4599999999991</v>
      </c>
      <c r="L618" s="5">
        <v>3995.56</v>
      </c>
      <c r="M618" t="s">
        <v>57</v>
      </c>
      <c r="N618" t="s">
        <v>43</v>
      </c>
      <c r="O618" t="s">
        <v>44</v>
      </c>
    </row>
    <row r="619" spans="1:15">
      <c r="A619" t="s">
        <v>1059</v>
      </c>
      <c r="B619" s="3">
        <v>45676</v>
      </c>
      <c r="C619" t="s">
        <v>1060</v>
      </c>
      <c r="D619" t="s">
        <v>74</v>
      </c>
      <c r="E619" t="s">
        <v>41</v>
      </c>
      <c r="F619" t="s">
        <v>42</v>
      </c>
      <c r="G619">
        <v>6</v>
      </c>
      <c r="H619" s="5">
        <v>5263.44</v>
      </c>
      <c r="I619" s="4">
        <v>0.2</v>
      </c>
      <c r="J619" s="5">
        <v>25264.51</v>
      </c>
      <c r="K619" s="5">
        <v>16095.24</v>
      </c>
      <c r="L619" s="5">
        <v>9169.27</v>
      </c>
      <c r="M619" t="s">
        <v>57</v>
      </c>
      <c r="N619" t="s">
        <v>36</v>
      </c>
      <c r="O619" t="s">
        <v>37</v>
      </c>
    </row>
    <row r="620" spans="1:15">
      <c r="A620" t="s">
        <v>1061</v>
      </c>
      <c r="B620" s="3">
        <v>46176</v>
      </c>
      <c r="C620" t="s">
        <v>207</v>
      </c>
      <c r="D620" t="s">
        <v>134</v>
      </c>
      <c r="E620" t="s">
        <v>61</v>
      </c>
      <c r="F620" t="s">
        <v>62</v>
      </c>
      <c r="G620">
        <v>6</v>
      </c>
      <c r="H620" s="5">
        <v>2235.06</v>
      </c>
      <c r="I620" s="4">
        <v>0</v>
      </c>
      <c r="J620" s="5">
        <v>13410.36</v>
      </c>
      <c r="K620" s="5">
        <v>10850.24</v>
      </c>
      <c r="L620" s="5">
        <v>2560.12</v>
      </c>
      <c r="M620" t="s">
        <v>35</v>
      </c>
      <c r="N620" t="s">
        <v>71</v>
      </c>
      <c r="O620" t="s">
        <v>37</v>
      </c>
    </row>
    <row r="621" spans="1:15">
      <c r="A621" t="s">
        <v>1062</v>
      </c>
      <c r="B621" s="3">
        <v>45954</v>
      </c>
      <c r="C621" t="s">
        <v>292</v>
      </c>
      <c r="D621" t="s">
        <v>95</v>
      </c>
      <c r="E621" t="s">
        <v>61</v>
      </c>
      <c r="F621" t="s">
        <v>129</v>
      </c>
      <c r="G621">
        <v>6</v>
      </c>
      <c r="H621" s="5">
        <v>3791.57</v>
      </c>
      <c r="I621" s="4">
        <v>0.1</v>
      </c>
      <c r="J621" s="5">
        <v>20474.48</v>
      </c>
      <c r="K621" s="5">
        <v>13905.2</v>
      </c>
      <c r="L621" s="5">
        <v>6569.28</v>
      </c>
      <c r="M621" t="s">
        <v>35</v>
      </c>
      <c r="N621" t="s">
        <v>71</v>
      </c>
      <c r="O621" t="s">
        <v>44</v>
      </c>
    </row>
    <row r="622" spans="1:15">
      <c r="A622" t="s">
        <v>1063</v>
      </c>
      <c r="B622" s="3">
        <v>46042</v>
      </c>
      <c r="C622" t="s">
        <v>470</v>
      </c>
      <c r="D622" t="s">
        <v>95</v>
      </c>
      <c r="E622" t="s">
        <v>33</v>
      </c>
      <c r="F622" t="s">
        <v>92</v>
      </c>
      <c r="G622">
        <v>3</v>
      </c>
      <c r="H622" s="5">
        <v>3022.35</v>
      </c>
      <c r="I622" s="4">
        <v>0</v>
      </c>
      <c r="J622" s="5">
        <v>9067.0499999999993</v>
      </c>
      <c r="K622" s="5">
        <v>6393.97</v>
      </c>
      <c r="L622" s="5">
        <v>2673.08</v>
      </c>
      <c r="M622" t="s">
        <v>35</v>
      </c>
      <c r="N622" t="s">
        <v>63</v>
      </c>
      <c r="O622" t="s">
        <v>44</v>
      </c>
    </row>
    <row r="623" spans="1:15">
      <c r="A623" t="s">
        <v>1064</v>
      </c>
      <c r="B623" s="3">
        <v>45974</v>
      </c>
      <c r="C623" t="s">
        <v>300</v>
      </c>
      <c r="D623" t="s">
        <v>32</v>
      </c>
      <c r="E623" t="s">
        <v>33</v>
      </c>
      <c r="F623" t="s">
        <v>96</v>
      </c>
      <c r="G623">
        <v>5</v>
      </c>
      <c r="H623" s="5">
        <v>3186.69</v>
      </c>
      <c r="I623" s="4">
        <v>0.05</v>
      </c>
      <c r="J623" s="5">
        <v>15136.78</v>
      </c>
      <c r="K623" s="5">
        <v>9595.89</v>
      </c>
      <c r="L623" s="5">
        <v>5540.89</v>
      </c>
      <c r="M623" t="s">
        <v>35</v>
      </c>
      <c r="N623" t="s">
        <v>63</v>
      </c>
      <c r="O623" t="s">
        <v>44</v>
      </c>
    </row>
    <row r="624" spans="1:15">
      <c r="A624" t="s">
        <v>1065</v>
      </c>
      <c r="B624" s="3">
        <v>46120</v>
      </c>
      <c r="C624" t="s">
        <v>1066</v>
      </c>
      <c r="D624" t="s">
        <v>32</v>
      </c>
      <c r="E624" t="s">
        <v>48</v>
      </c>
      <c r="F624" t="s">
        <v>102</v>
      </c>
      <c r="G624">
        <v>2</v>
      </c>
      <c r="H624" s="5">
        <v>2273.44</v>
      </c>
      <c r="I624" s="4">
        <v>0.05</v>
      </c>
      <c r="J624" s="5">
        <v>4319.54</v>
      </c>
      <c r="K624" s="5">
        <v>2798.67</v>
      </c>
      <c r="L624" s="5">
        <v>1520.87</v>
      </c>
      <c r="M624" t="s">
        <v>35</v>
      </c>
      <c r="N624" t="s">
        <v>63</v>
      </c>
      <c r="O624" t="s">
        <v>44</v>
      </c>
    </row>
    <row r="625" spans="1:15">
      <c r="A625" t="s">
        <v>1067</v>
      </c>
      <c r="B625" s="3">
        <v>45822</v>
      </c>
      <c r="C625" t="s">
        <v>121</v>
      </c>
      <c r="D625" t="s">
        <v>74</v>
      </c>
      <c r="E625" t="s">
        <v>33</v>
      </c>
      <c r="F625" t="s">
        <v>176</v>
      </c>
      <c r="G625">
        <v>5</v>
      </c>
      <c r="H625" s="5">
        <v>2743.28</v>
      </c>
      <c r="I625" s="4">
        <v>0.15</v>
      </c>
      <c r="J625" s="5">
        <v>11658.94</v>
      </c>
      <c r="K625" s="5">
        <v>9362.0400000000009</v>
      </c>
      <c r="L625" s="5">
        <v>2296.9</v>
      </c>
      <c r="M625" t="s">
        <v>57</v>
      </c>
      <c r="N625" t="s">
        <v>43</v>
      </c>
      <c r="O625" t="s">
        <v>44</v>
      </c>
    </row>
    <row r="626" spans="1:15">
      <c r="A626" t="s">
        <v>1068</v>
      </c>
      <c r="B626" s="3">
        <v>45752</v>
      </c>
      <c r="C626" t="s">
        <v>1069</v>
      </c>
      <c r="D626" t="s">
        <v>40</v>
      </c>
      <c r="E626" t="s">
        <v>61</v>
      </c>
      <c r="F626" t="s">
        <v>84</v>
      </c>
      <c r="G626">
        <v>1</v>
      </c>
      <c r="H626" s="5">
        <v>4064.76</v>
      </c>
      <c r="I626" s="4">
        <v>0.15</v>
      </c>
      <c r="J626" s="5">
        <v>3455.05</v>
      </c>
      <c r="K626" s="5">
        <v>2101.85</v>
      </c>
      <c r="L626" s="5">
        <v>1353.2</v>
      </c>
      <c r="M626" t="s">
        <v>35</v>
      </c>
      <c r="N626" t="s">
        <v>43</v>
      </c>
      <c r="O626" t="s">
        <v>44</v>
      </c>
    </row>
    <row r="627" spans="1:15">
      <c r="A627" t="s">
        <v>1070</v>
      </c>
      <c r="B627" s="3">
        <v>45722</v>
      </c>
      <c r="C627" t="s">
        <v>1071</v>
      </c>
      <c r="D627" t="s">
        <v>95</v>
      </c>
      <c r="E627" t="s">
        <v>33</v>
      </c>
      <c r="F627" t="s">
        <v>176</v>
      </c>
      <c r="G627">
        <v>5</v>
      </c>
      <c r="H627" s="5">
        <v>4427.9399999999996</v>
      </c>
      <c r="I627" s="4">
        <v>0</v>
      </c>
      <c r="J627" s="5">
        <v>22139.7</v>
      </c>
      <c r="K627" s="5">
        <v>13764.45</v>
      </c>
      <c r="L627" s="5">
        <v>8375.25</v>
      </c>
      <c r="M627" t="s">
        <v>57</v>
      </c>
      <c r="N627" t="s">
        <v>36</v>
      </c>
      <c r="O627" t="s">
        <v>44</v>
      </c>
    </row>
    <row r="628" spans="1:15">
      <c r="A628" t="s">
        <v>1072</v>
      </c>
      <c r="B628" s="3">
        <v>46154</v>
      </c>
      <c r="C628" t="s">
        <v>1073</v>
      </c>
      <c r="D628" t="s">
        <v>95</v>
      </c>
      <c r="E628" t="s">
        <v>41</v>
      </c>
      <c r="F628" t="s">
        <v>119</v>
      </c>
      <c r="G628">
        <v>4</v>
      </c>
      <c r="H628" s="5">
        <v>4112.3</v>
      </c>
      <c r="I628" s="4">
        <v>0</v>
      </c>
      <c r="J628" s="5">
        <v>16449.2</v>
      </c>
      <c r="K628" s="5">
        <v>9245.69</v>
      </c>
      <c r="L628" s="5">
        <v>7203.51</v>
      </c>
      <c r="M628" t="s">
        <v>57</v>
      </c>
      <c r="N628" t="s">
        <v>63</v>
      </c>
      <c r="O628" t="s">
        <v>44</v>
      </c>
    </row>
    <row r="629" spans="1:15">
      <c r="A629" t="s">
        <v>1074</v>
      </c>
      <c r="B629" s="3">
        <v>46192</v>
      </c>
      <c r="C629" t="s">
        <v>341</v>
      </c>
      <c r="D629" t="s">
        <v>74</v>
      </c>
      <c r="E629" t="s">
        <v>48</v>
      </c>
      <c r="F629" t="s">
        <v>113</v>
      </c>
      <c r="G629">
        <v>4</v>
      </c>
      <c r="H629" s="5">
        <v>2979.35</v>
      </c>
      <c r="I629" s="4">
        <v>0</v>
      </c>
      <c r="J629" s="5">
        <v>11917.4</v>
      </c>
      <c r="K629" s="5">
        <v>7970.89</v>
      </c>
      <c r="L629" s="5">
        <v>3946.51</v>
      </c>
      <c r="M629" t="s">
        <v>57</v>
      </c>
      <c r="N629" t="s">
        <v>36</v>
      </c>
      <c r="O629" t="s">
        <v>44</v>
      </c>
    </row>
    <row r="630" spans="1:15">
      <c r="A630" t="s">
        <v>1075</v>
      </c>
      <c r="B630" s="3">
        <v>45819</v>
      </c>
      <c r="C630" t="s">
        <v>903</v>
      </c>
      <c r="D630" t="s">
        <v>32</v>
      </c>
      <c r="E630" t="s">
        <v>33</v>
      </c>
      <c r="F630" t="s">
        <v>96</v>
      </c>
      <c r="G630">
        <v>4</v>
      </c>
      <c r="H630" s="5">
        <v>1540.79</v>
      </c>
      <c r="I630" s="4">
        <v>0.15</v>
      </c>
      <c r="J630" s="5">
        <v>5238.6899999999996</v>
      </c>
      <c r="K630" s="5">
        <v>4254.51</v>
      </c>
      <c r="L630" s="5">
        <v>984.18</v>
      </c>
      <c r="M630" t="s">
        <v>57</v>
      </c>
      <c r="N630" t="s">
        <v>71</v>
      </c>
      <c r="O630" t="s">
        <v>37</v>
      </c>
    </row>
    <row r="631" spans="1:15">
      <c r="A631" t="s">
        <v>1076</v>
      </c>
      <c r="B631" s="3">
        <v>46136</v>
      </c>
      <c r="C631" t="s">
        <v>175</v>
      </c>
      <c r="D631" t="s">
        <v>52</v>
      </c>
      <c r="E631" t="s">
        <v>48</v>
      </c>
      <c r="F631" t="s">
        <v>49</v>
      </c>
      <c r="G631">
        <v>5</v>
      </c>
      <c r="H631" s="5">
        <v>2377.37</v>
      </c>
      <c r="I631" s="4">
        <v>0.15</v>
      </c>
      <c r="J631" s="5">
        <v>10103.82</v>
      </c>
      <c r="K631" s="5">
        <v>5709</v>
      </c>
      <c r="L631" s="5">
        <v>4394.82</v>
      </c>
      <c r="M631" t="s">
        <v>57</v>
      </c>
      <c r="N631" t="s">
        <v>63</v>
      </c>
      <c r="O631" t="s">
        <v>44</v>
      </c>
    </row>
    <row r="632" spans="1:15">
      <c r="A632" t="s">
        <v>1077</v>
      </c>
      <c r="B632" s="3">
        <v>46077</v>
      </c>
      <c r="C632" t="s">
        <v>197</v>
      </c>
      <c r="D632" t="s">
        <v>95</v>
      </c>
      <c r="E632" t="s">
        <v>41</v>
      </c>
      <c r="F632" t="s">
        <v>119</v>
      </c>
      <c r="G632">
        <v>5</v>
      </c>
      <c r="H632" s="5">
        <v>5021.3</v>
      </c>
      <c r="I632" s="4">
        <v>0.1</v>
      </c>
      <c r="J632" s="5">
        <v>22595.85</v>
      </c>
      <c r="K632" s="5">
        <v>12743.32</v>
      </c>
      <c r="L632" s="5">
        <v>9852.5300000000007</v>
      </c>
      <c r="M632" t="s">
        <v>57</v>
      </c>
      <c r="N632" t="s">
        <v>63</v>
      </c>
      <c r="O632" t="s">
        <v>44</v>
      </c>
    </row>
    <row r="633" spans="1:15">
      <c r="A633" t="s">
        <v>1078</v>
      </c>
      <c r="B633" s="3">
        <v>45739</v>
      </c>
      <c r="C633" t="s">
        <v>454</v>
      </c>
      <c r="D633" t="s">
        <v>40</v>
      </c>
      <c r="E633" t="s">
        <v>61</v>
      </c>
      <c r="F633" t="s">
        <v>62</v>
      </c>
      <c r="G633">
        <v>5</v>
      </c>
      <c r="H633" s="5">
        <v>1281.83</v>
      </c>
      <c r="I633" s="4">
        <v>0.15</v>
      </c>
      <c r="J633" s="5">
        <v>5447.78</v>
      </c>
      <c r="K633" s="5">
        <v>3916.38</v>
      </c>
      <c r="L633" s="5">
        <v>1531.4</v>
      </c>
      <c r="M633" t="s">
        <v>35</v>
      </c>
      <c r="N633" t="s">
        <v>71</v>
      </c>
      <c r="O633" t="s">
        <v>44</v>
      </c>
    </row>
    <row r="634" spans="1:15">
      <c r="A634" t="s">
        <v>1079</v>
      </c>
      <c r="B634" s="3">
        <v>46257</v>
      </c>
      <c r="C634" t="s">
        <v>312</v>
      </c>
      <c r="D634" t="s">
        <v>32</v>
      </c>
      <c r="E634" t="s">
        <v>48</v>
      </c>
      <c r="F634" t="s">
        <v>49</v>
      </c>
      <c r="G634">
        <v>3</v>
      </c>
      <c r="H634" s="5">
        <v>3275.75</v>
      </c>
      <c r="I634" s="4">
        <v>0.1</v>
      </c>
      <c r="J634" s="5">
        <v>8844.52</v>
      </c>
      <c r="K634" s="5">
        <v>6426.85</v>
      </c>
      <c r="L634" s="5">
        <v>2417.67</v>
      </c>
      <c r="M634" t="s">
        <v>57</v>
      </c>
      <c r="N634" t="s">
        <v>71</v>
      </c>
      <c r="O634" t="s">
        <v>37</v>
      </c>
    </row>
    <row r="635" spans="1:15">
      <c r="A635" t="s">
        <v>1080</v>
      </c>
      <c r="B635" s="3">
        <v>46128</v>
      </c>
      <c r="C635" t="s">
        <v>672</v>
      </c>
      <c r="D635" t="s">
        <v>218</v>
      </c>
      <c r="E635" t="s">
        <v>48</v>
      </c>
      <c r="F635" t="s">
        <v>49</v>
      </c>
      <c r="G635">
        <v>6</v>
      </c>
      <c r="H635" s="5">
        <v>4590.97</v>
      </c>
      <c r="I635" s="4">
        <v>0</v>
      </c>
      <c r="J635" s="5">
        <v>27545.82</v>
      </c>
      <c r="K635" s="5">
        <v>20416.330000000002</v>
      </c>
      <c r="L635" s="5">
        <v>7129.49</v>
      </c>
      <c r="M635" t="s">
        <v>35</v>
      </c>
      <c r="N635" t="s">
        <v>63</v>
      </c>
      <c r="O635" t="s">
        <v>44</v>
      </c>
    </row>
    <row r="636" spans="1:15">
      <c r="A636" t="s">
        <v>1081</v>
      </c>
      <c r="B636" s="3">
        <v>45817</v>
      </c>
      <c r="C636" t="s">
        <v>835</v>
      </c>
      <c r="D636" t="s">
        <v>47</v>
      </c>
      <c r="E636" t="s">
        <v>61</v>
      </c>
      <c r="F636" t="s">
        <v>129</v>
      </c>
      <c r="G636">
        <v>6</v>
      </c>
      <c r="H636" s="5">
        <v>3983.69</v>
      </c>
      <c r="I636" s="4">
        <v>0.1</v>
      </c>
      <c r="J636" s="5">
        <v>21511.93</v>
      </c>
      <c r="K636" s="5">
        <v>12700</v>
      </c>
      <c r="L636" s="5">
        <v>8811.93</v>
      </c>
      <c r="M636" t="s">
        <v>57</v>
      </c>
      <c r="N636" t="s">
        <v>43</v>
      </c>
      <c r="O636" t="s">
        <v>44</v>
      </c>
    </row>
    <row r="637" spans="1:15">
      <c r="A637" t="s">
        <v>1082</v>
      </c>
      <c r="B637" s="3">
        <v>46108</v>
      </c>
      <c r="C637" t="s">
        <v>1083</v>
      </c>
      <c r="D637" t="s">
        <v>52</v>
      </c>
      <c r="E637" t="s">
        <v>61</v>
      </c>
      <c r="F637" t="s">
        <v>62</v>
      </c>
      <c r="G637">
        <v>6</v>
      </c>
      <c r="H637" s="5">
        <v>2185.92</v>
      </c>
      <c r="I637" s="4">
        <v>0.15</v>
      </c>
      <c r="J637" s="5">
        <v>11148.19</v>
      </c>
      <c r="K637" s="5">
        <v>8074.16</v>
      </c>
      <c r="L637" s="5">
        <v>3074.03</v>
      </c>
      <c r="M637" t="s">
        <v>35</v>
      </c>
      <c r="N637" t="s">
        <v>71</v>
      </c>
      <c r="O637" t="s">
        <v>44</v>
      </c>
    </row>
    <row r="638" spans="1:15">
      <c r="A638" t="s">
        <v>1084</v>
      </c>
      <c r="B638" s="3">
        <v>45721</v>
      </c>
      <c r="C638" t="s">
        <v>1085</v>
      </c>
      <c r="D638" t="s">
        <v>74</v>
      </c>
      <c r="E638" t="s">
        <v>41</v>
      </c>
      <c r="F638" t="s">
        <v>119</v>
      </c>
      <c r="G638">
        <v>2</v>
      </c>
      <c r="H638" s="5">
        <v>2045.35</v>
      </c>
      <c r="I638" s="4">
        <v>0.15</v>
      </c>
      <c r="J638" s="5">
        <v>3477.09</v>
      </c>
      <c r="K638" s="5">
        <v>2542.7600000000002</v>
      </c>
      <c r="L638" s="5">
        <v>934.33</v>
      </c>
      <c r="M638" t="s">
        <v>35</v>
      </c>
      <c r="N638" t="s">
        <v>71</v>
      </c>
      <c r="O638" t="s">
        <v>44</v>
      </c>
    </row>
    <row r="639" spans="1:15">
      <c r="A639" t="s">
        <v>1086</v>
      </c>
      <c r="B639" s="3">
        <v>45980</v>
      </c>
      <c r="C639" t="s">
        <v>46</v>
      </c>
      <c r="D639" t="s">
        <v>52</v>
      </c>
      <c r="E639" t="s">
        <v>33</v>
      </c>
      <c r="F639" t="s">
        <v>34</v>
      </c>
      <c r="G639">
        <v>5</v>
      </c>
      <c r="H639" s="5">
        <v>4087.71</v>
      </c>
      <c r="I639" s="4">
        <v>0.2</v>
      </c>
      <c r="J639" s="5">
        <v>16350.84</v>
      </c>
      <c r="K639" s="5">
        <v>10716.4</v>
      </c>
      <c r="L639" s="5">
        <v>5634.44</v>
      </c>
      <c r="M639" t="s">
        <v>35</v>
      </c>
      <c r="N639" t="s">
        <v>71</v>
      </c>
      <c r="O639" t="s">
        <v>44</v>
      </c>
    </row>
    <row r="640" spans="1:15">
      <c r="A640" t="s">
        <v>1087</v>
      </c>
      <c r="B640" s="3">
        <v>45864</v>
      </c>
      <c r="C640" t="s">
        <v>1088</v>
      </c>
      <c r="D640" t="s">
        <v>66</v>
      </c>
      <c r="E640" t="s">
        <v>33</v>
      </c>
      <c r="F640" t="s">
        <v>67</v>
      </c>
      <c r="G640">
        <v>2</v>
      </c>
      <c r="H640" s="5">
        <v>5083.17</v>
      </c>
      <c r="I640" s="4">
        <v>0</v>
      </c>
      <c r="J640" s="5">
        <v>10166.34</v>
      </c>
      <c r="K640" s="5">
        <v>8333.5300000000007</v>
      </c>
      <c r="L640" s="5">
        <v>1832.81</v>
      </c>
      <c r="M640" t="s">
        <v>57</v>
      </c>
      <c r="N640" t="s">
        <v>43</v>
      </c>
      <c r="O640" t="s">
        <v>37</v>
      </c>
    </row>
    <row r="641" spans="1:15">
      <c r="A641" t="s">
        <v>1089</v>
      </c>
      <c r="B641" s="3">
        <v>45675</v>
      </c>
      <c r="C641" t="s">
        <v>181</v>
      </c>
      <c r="D641" t="s">
        <v>52</v>
      </c>
      <c r="E641" t="s">
        <v>48</v>
      </c>
      <c r="F641" t="s">
        <v>99</v>
      </c>
      <c r="G641">
        <v>2</v>
      </c>
      <c r="H641" s="5">
        <v>498.02</v>
      </c>
      <c r="I641" s="4">
        <v>0.2</v>
      </c>
      <c r="J641" s="5">
        <v>796.83</v>
      </c>
      <c r="K641" s="5">
        <v>564.1</v>
      </c>
      <c r="L641" s="5">
        <v>232.73</v>
      </c>
      <c r="M641" t="s">
        <v>57</v>
      </c>
      <c r="N641" t="s">
        <v>43</v>
      </c>
      <c r="O641" t="s">
        <v>44</v>
      </c>
    </row>
    <row r="642" spans="1:15">
      <c r="A642" t="s">
        <v>1090</v>
      </c>
      <c r="B642" s="3">
        <v>46080</v>
      </c>
      <c r="C642" t="s">
        <v>337</v>
      </c>
      <c r="D642" t="s">
        <v>56</v>
      </c>
      <c r="E642" t="s">
        <v>61</v>
      </c>
      <c r="F642" t="s">
        <v>89</v>
      </c>
      <c r="G642">
        <v>2</v>
      </c>
      <c r="H642" s="5">
        <v>5259.75</v>
      </c>
      <c r="I642" s="4">
        <v>0</v>
      </c>
      <c r="J642" s="5">
        <v>10519.5</v>
      </c>
      <c r="K642" s="5">
        <v>6113.12</v>
      </c>
      <c r="L642" s="5">
        <v>4406.38</v>
      </c>
      <c r="M642" t="s">
        <v>35</v>
      </c>
      <c r="N642" t="s">
        <v>36</v>
      </c>
      <c r="O642" t="s">
        <v>44</v>
      </c>
    </row>
    <row r="643" spans="1:15">
      <c r="A643" t="s">
        <v>1091</v>
      </c>
      <c r="B643" s="3">
        <v>45841</v>
      </c>
      <c r="C643" t="s">
        <v>646</v>
      </c>
      <c r="D643" t="s">
        <v>56</v>
      </c>
      <c r="E643" t="s">
        <v>41</v>
      </c>
      <c r="F643" t="s">
        <v>53</v>
      </c>
      <c r="G643">
        <v>6</v>
      </c>
      <c r="H643" s="5">
        <v>747.37</v>
      </c>
      <c r="I643" s="4">
        <v>0</v>
      </c>
      <c r="J643" s="5">
        <v>4484.22</v>
      </c>
      <c r="K643" s="5">
        <v>3192.1</v>
      </c>
      <c r="L643" s="5">
        <v>1292.1199999999999</v>
      </c>
      <c r="M643" t="s">
        <v>57</v>
      </c>
      <c r="N643" t="s">
        <v>71</v>
      </c>
      <c r="O643" t="s">
        <v>37</v>
      </c>
    </row>
    <row r="644" spans="1:15">
      <c r="A644" t="s">
        <v>1092</v>
      </c>
      <c r="B644" s="3">
        <v>46079</v>
      </c>
      <c r="C644" t="s">
        <v>1093</v>
      </c>
      <c r="D644" t="s">
        <v>134</v>
      </c>
      <c r="E644" t="s">
        <v>33</v>
      </c>
      <c r="F644" t="s">
        <v>96</v>
      </c>
      <c r="G644">
        <v>5</v>
      </c>
      <c r="H644" s="5">
        <v>5234.7</v>
      </c>
      <c r="I644" s="4">
        <v>0.1</v>
      </c>
      <c r="J644" s="5">
        <v>23556.15</v>
      </c>
      <c r="K644" s="5">
        <v>17059.7</v>
      </c>
      <c r="L644" s="5">
        <v>6496.45</v>
      </c>
      <c r="M644" t="s">
        <v>57</v>
      </c>
      <c r="N644" t="s">
        <v>71</v>
      </c>
      <c r="O644" t="s">
        <v>44</v>
      </c>
    </row>
    <row r="645" spans="1:15">
      <c r="A645" t="s">
        <v>1094</v>
      </c>
      <c r="B645" s="3">
        <v>45994</v>
      </c>
      <c r="C645" t="s">
        <v>811</v>
      </c>
      <c r="D645" t="s">
        <v>60</v>
      </c>
      <c r="E645" t="s">
        <v>61</v>
      </c>
      <c r="F645" t="s">
        <v>89</v>
      </c>
      <c r="G645">
        <v>1</v>
      </c>
      <c r="H645" s="5">
        <v>3472.7</v>
      </c>
      <c r="I645" s="4">
        <v>0</v>
      </c>
      <c r="J645" s="5">
        <v>3472.7</v>
      </c>
      <c r="K645" s="5">
        <v>2281.7199999999998</v>
      </c>
      <c r="L645" s="5">
        <v>1190.98</v>
      </c>
      <c r="M645" t="s">
        <v>35</v>
      </c>
      <c r="N645" t="s">
        <v>71</v>
      </c>
      <c r="O645" t="s">
        <v>44</v>
      </c>
    </row>
    <row r="646" spans="1:15">
      <c r="A646" t="s">
        <v>1095</v>
      </c>
      <c r="B646" s="3">
        <v>45674</v>
      </c>
      <c r="C646" t="s">
        <v>412</v>
      </c>
      <c r="D646" t="s">
        <v>56</v>
      </c>
      <c r="E646" t="s">
        <v>41</v>
      </c>
      <c r="F646" t="s">
        <v>153</v>
      </c>
      <c r="G646">
        <v>4</v>
      </c>
      <c r="H646" s="5">
        <v>4797.09</v>
      </c>
      <c r="I646" s="4">
        <v>0.1</v>
      </c>
      <c r="J646" s="5">
        <v>17269.52</v>
      </c>
      <c r="K646" s="5">
        <v>12448.61</v>
      </c>
      <c r="L646" s="5">
        <v>4820.91</v>
      </c>
      <c r="M646" t="s">
        <v>57</v>
      </c>
      <c r="N646" t="s">
        <v>71</v>
      </c>
      <c r="O646" t="s">
        <v>44</v>
      </c>
    </row>
    <row r="647" spans="1:15">
      <c r="A647" t="s">
        <v>1096</v>
      </c>
      <c r="B647" s="3">
        <v>45758</v>
      </c>
      <c r="C647" t="s">
        <v>449</v>
      </c>
      <c r="D647" t="s">
        <v>52</v>
      </c>
      <c r="E647" t="s">
        <v>41</v>
      </c>
      <c r="F647" t="s">
        <v>119</v>
      </c>
      <c r="G647">
        <v>1</v>
      </c>
      <c r="H647" s="5">
        <v>2980.2</v>
      </c>
      <c r="I647" s="4">
        <v>0.2</v>
      </c>
      <c r="J647" s="5">
        <v>2384.16</v>
      </c>
      <c r="K647" s="5">
        <v>1716.04</v>
      </c>
      <c r="L647" s="5">
        <v>668.12</v>
      </c>
      <c r="M647" t="s">
        <v>35</v>
      </c>
      <c r="N647" t="s">
        <v>63</v>
      </c>
      <c r="O647" t="s">
        <v>37</v>
      </c>
    </row>
    <row r="648" spans="1:15">
      <c r="A648" t="s">
        <v>1097</v>
      </c>
      <c r="B648" s="3">
        <v>46147</v>
      </c>
      <c r="C648" t="s">
        <v>112</v>
      </c>
      <c r="D648" t="s">
        <v>56</v>
      </c>
      <c r="E648" t="s">
        <v>61</v>
      </c>
      <c r="F648" t="s">
        <v>62</v>
      </c>
      <c r="G648">
        <v>5</v>
      </c>
      <c r="H648" s="5">
        <v>3339.74</v>
      </c>
      <c r="I648" s="4">
        <v>0.15</v>
      </c>
      <c r="J648" s="5">
        <v>14193.89</v>
      </c>
      <c r="K648" s="5">
        <v>8673.82</v>
      </c>
      <c r="L648" s="5">
        <v>5520.07</v>
      </c>
      <c r="M648" t="s">
        <v>57</v>
      </c>
      <c r="N648" t="s">
        <v>71</v>
      </c>
      <c r="O648" t="s">
        <v>37</v>
      </c>
    </row>
    <row r="649" spans="1:15">
      <c r="A649" t="s">
        <v>1098</v>
      </c>
      <c r="B649" s="3">
        <v>45803</v>
      </c>
      <c r="C649" t="s">
        <v>335</v>
      </c>
      <c r="D649" t="s">
        <v>74</v>
      </c>
      <c r="E649" t="s">
        <v>61</v>
      </c>
      <c r="F649" t="s">
        <v>62</v>
      </c>
      <c r="G649">
        <v>1</v>
      </c>
      <c r="H649" s="5">
        <v>645.16</v>
      </c>
      <c r="I649" s="4">
        <v>0.1</v>
      </c>
      <c r="J649" s="5">
        <v>580.64</v>
      </c>
      <c r="K649" s="5">
        <v>376.36</v>
      </c>
      <c r="L649" s="5">
        <v>204.28</v>
      </c>
      <c r="M649" t="s">
        <v>57</v>
      </c>
      <c r="N649" t="s">
        <v>36</v>
      </c>
      <c r="O649" t="s">
        <v>44</v>
      </c>
    </row>
    <row r="650" spans="1:15">
      <c r="A650" t="s">
        <v>1099</v>
      </c>
      <c r="B650" s="3">
        <v>45723</v>
      </c>
      <c r="C650" t="s">
        <v>1100</v>
      </c>
      <c r="D650" t="s">
        <v>74</v>
      </c>
      <c r="E650" t="s">
        <v>41</v>
      </c>
      <c r="F650" t="s">
        <v>42</v>
      </c>
      <c r="G650">
        <v>6</v>
      </c>
      <c r="H650" s="5">
        <v>222.22</v>
      </c>
      <c r="I650" s="4">
        <v>0.15</v>
      </c>
      <c r="J650" s="5">
        <v>1133.32</v>
      </c>
      <c r="K650" s="5">
        <v>899.53</v>
      </c>
      <c r="L650" s="5">
        <v>233.79</v>
      </c>
      <c r="M650" t="s">
        <v>35</v>
      </c>
      <c r="N650" t="s">
        <v>36</v>
      </c>
      <c r="O650" t="s">
        <v>44</v>
      </c>
    </row>
    <row r="651" spans="1:15">
      <c r="A651" t="s">
        <v>1101</v>
      </c>
      <c r="B651" s="3">
        <v>45809</v>
      </c>
      <c r="C651" t="s">
        <v>596</v>
      </c>
      <c r="D651" t="s">
        <v>40</v>
      </c>
      <c r="E651" t="s">
        <v>41</v>
      </c>
      <c r="F651" t="s">
        <v>42</v>
      </c>
      <c r="G651">
        <v>2</v>
      </c>
      <c r="H651" s="5">
        <v>2731.9</v>
      </c>
      <c r="I651" s="4">
        <v>0.05</v>
      </c>
      <c r="J651" s="5">
        <v>5190.6099999999997</v>
      </c>
      <c r="K651" s="5">
        <v>3488.29</v>
      </c>
      <c r="L651" s="5">
        <v>1702.32</v>
      </c>
      <c r="M651" t="s">
        <v>35</v>
      </c>
      <c r="N651" t="s">
        <v>63</v>
      </c>
      <c r="O651" t="s">
        <v>44</v>
      </c>
    </row>
    <row r="652" spans="1:15">
      <c r="A652" t="s">
        <v>1102</v>
      </c>
      <c r="B652" s="3">
        <v>45818</v>
      </c>
      <c r="C652" t="s">
        <v>1103</v>
      </c>
      <c r="D652" t="s">
        <v>74</v>
      </c>
      <c r="E652" t="s">
        <v>33</v>
      </c>
      <c r="F652" t="s">
        <v>34</v>
      </c>
      <c r="G652">
        <v>6</v>
      </c>
      <c r="H652" s="5">
        <v>5039.68</v>
      </c>
      <c r="I652" s="4">
        <v>0.15</v>
      </c>
      <c r="J652" s="5">
        <v>25702.37</v>
      </c>
      <c r="K652" s="5">
        <v>21201.24</v>
      </c>
      <c r="L652" s="5">
        <v>4501.13</v>
      </c>
      <c r="M652" t="s">
        <v>57</v>
      </c>
      <c r="N652" t="s">
        <v>63</v>
      </c>
      <c r="O652" t="s">
        <v>44</v>
      </c>
    </row>
    <row r="653" spans="1:15">
      <c r="A653" t="s">
        <v>1104</v>
      </c>
      <c r="B653" s="3">
        <v>45673</v>
      </c>
      <c r="C653" t="s">
        <v>88</v>
      </c>
      <c r="D653" t="s">
        <v>47</v>
      </c>
      <c r="E653" t="s">
        <v>41</v>
      </c>
      <c r="F653" t="s">
        <v>153</v>
      </c>
      <c r="G653">
        <v>2</v>
      </c>
      <c r="H653" s="5">
        <v>5061.57</v>
      </c>
      <c r="I653" s="4">
        <v>0.1</v>
      </c>
      <c r="J653" s="5">
        <v>9110.83</v>
      </c>
      <c r="K653" s="5">
        <v>7460.72</v>
      </c>
      <c r="L653" s="5">
        <v>1650.11</v>
      </c>
      <c r="M653" t="s">
        <v>57</v>
      </c>
      <c r="N653" t="s">
        <v>43</v>
      </c>
      <c r="O653" t="s">
        <v>44</v>
      </c>
    </row>
    <row r="654" spans="1:15">
      <c r="A654" t="s">
        <v>1105</v>
      </c>
      <c r="B654" s="3">
        <v>46006</v>
      </c>
      <c r="C654" t="s">
        <v>1066</v>
      </c>
      <c r="D654" t="s">
        <v>60</v>
      </c>
      <c r="E654" t="s">
        <v>41</v>
      </c>
      <c r="F654" t="s">
        <v>53</v>
      </c>
      <c r="G654">
        <v>5</v>
      </c>
      <c r="H654" s="5">
        <v>3000.17</v>
      </c>
      <c r="I654" s="4">
        <v>0</v>
      </c>
      <c r="J654" s="5">
        <v>15000.85</v>
      </c>
      <c r="K654" s="5">
        <v>8627.18</v>
      </c>
      <c r="L654" s="5">
        <v>6373.67</v>
      </c>
      <c r="M654" t="s">
        <v>35</v>
      </c>
      <c r="N654" t="s">
        <v>36</v>
      </c>
      <c r="O654" t="s">
        <v>44</v>
      </c>
    </row>
    <row r="655" spans="1:15">
      <c r="A655" t="s">
        <v>1106</v>
      </c>
      <c r="B655" s="3">
        <v>46134</v>
      </c>
      <c r="C655" t="s">
        <v>888</v>
      </c>
      <c r="D655" t="s">
        <v>40</v>
      </c>
      <c r="E655" t="s">
        <v>33</v>
      </c>
      <c r="F655" t="s">
        <v>67</v>
      </c>
      <c r="G655">
        <v>2</v>
      </c>
      <c r="H655" s="5">
        <v>3803.2</v>
      </c>
      <c r="I655" s="4">
        <v>0.15</v>
      </c>
      <c r="J655" s="5">
        <v>6465.44</v>
      </c>
      <c r="K655" s="5">
        <v>4202.1499999999996</v>
      </c>
      <c r="L655" s="5">
        <v>2263.29</v>
      </c>
      <c r="M655" t="s">
        <v>57</v>
      </c>
      <c r="N655" t="s">
        <v>43</v>
      </c>
      <c r="O655" t="s">
        <v>37</v>
      </c>
    </row>
    <row r="656" spans="1:15">
      <c r="A656" t="s">
        <v>1107</v>
      </c>
      <c r="B656" s="3">
        <v>46197</v>
      </c>
      <c r="C656" t="s">
        <v>644</v>
      </c>
      <c r="D656" t="s">
        <v>32</v>
      </c>
      <c r="E656" t="s">
        <v>48</v>
      </c>
      <c r="F656" t="s">
        <v>70</v>
      </c>
      <c r="G656">
        <v>3</v>
      </c>
      <c r="H656" s="5">
        <v>670.79</v>
      </c>
      <c r="I656" s="4">
        <v>0.1</v>
      </c>
      <c r="J656" s="5">
        <v>1811.13</v>
      </c>
      <c r="K656" s="5">
        <v>1427.46</v>
      </c>
      <c r="L656" s="5">
        <v>383.67</v>
      </c>
      <c r="M656" t="s">
        <v>57</v>
      </c>
      <c r="N656" t="s">
        <v>43</v>
      </c>
      <c r="O656" t="s">
        <v>44</v>
      </c>
    </row>
    <row r="657" spans="1:15">
      <c r="A657" t="s">
        <v>1108</v>
      </c>
      <c r="B657" s="3">
        <v>46059</v>
      </c>
      <c r="C657" t="s">
        <v>228</v>
      </c>
      <c r="D657" t="s">
        <v>40</v>
      </c>
      <c r="E657" t="s">
        <v>33</v>
      </c>
      <c r="F657" t="s">
        <v>92</v>
      </c>
      <c r="G657">
        <v>1</v>
      </c>
      <c r="H657" s="5">
        <v>3198.43</v>
      </c>
      <c r="I657" s="4">
        <v>0</v>
      </c>
      <c r="J657" s="5">
        <v>3198.43</v>
      </c>
      <c r="K657" s="5">
        <v>2623.64</v>
      </c>
      <c r="L657" s="5">
        <v>574.79</v>
      </c>
      <c r="M657" t="s">
        <v>57</v>
      </c>
      <c r="N657" t="s">
        <v>36</v>
      </c>
      <c r="O657" t="s">
        <v>44</v>
      </c>
    </row>
    <row r="658" spans="1:15">
      <c r="A658" t="s">
        <v>1109</v>
      </c>
      <c r="B658" s="3">
        <v>46046</v>
      </c>
      <c r="C658" t="s">
        <v>557</v>
      </c>
      <c r="D658" t="s">
        <v>60</v>
      </c>
      <c r="E658" t="s">
        <v>41</v>
      </c>
      <c r="F658" t="s">
        <v>153</v>
      </c>
      <c r="G658">
        <v>4</v>
      </c>
      <c r="H658" s="5">
        <v>4668.7</v>
      </c>
      <c r="I658" s="4">
        <v>0.1</v>
      </c>
      <c r="J658" s="5">
        <v>16807.32</v>
      </c>
      <c r="K658" s="5">
        <v>11940.95</v>
      </c>
      <c r="L658" s="5">
        <v>4866.37</v>
      </c>
      <c r="M658" t="s">
        <v>35</v>
      </c>
      <c r="N658" t="s">
        <v>71</v>
      </c>
      <c r="O658" t="s">
        <v>44</v>
      </c>
    </row>
    <row r="659" spans="1:15">
      <c r="A659" t="s">
        <v>1110</v>
      </c>
      <c r="B659" s="3">
        <v>46117</v>
      </c>
      <c r="C659" t="s">
        <v>859</v>
      </c>
      <c r="D659" t="s">
        <v>66</v>
      </c>
      <c r="E659" t="s">
        <v>48</v>
      </c>
      <c r="F659" t="s">
        <v>99</v>
      </c>
      <c r="G659">
        <v>2</v>
      </c>
      <c r="H659" s="5">
        <v>3437.34</v>
      </c>
      <c r="I659" s="4">
        <v>0</v>
      </c>
      <c r="J659" s="5">
        <v>6874.68</v>
      </c>
      <c r="K659" s="5">
        <v>5629.12</v>
      </c>
      <c r="L659" s="5">
        <v>1245.56</v>
      </c>
      <c r="M659" t="s">
        <v>57</v>
      </c>
      <c r="N659" t="s">
        <v>71</v>
      </c>
      <c r="O659" t="s">
        <v>37</v>
      </c>
    </row>
    <row r="660" spans="1:15">
      <c r="A660" t="s">
        <v>1111</v>
      </c>
      <c r="B660" s="3">
        <v>45671</v>
      </c>
      <c r="C660" t="s">
        <v>1112</v>
      </c>
      <c r="D660" t="s">
        <v>95</v>
      </c>
      <c r="E660" t="s">
        <v>33</v>
      </c>
      <c r="F660" t="s">
        <v>34</v>
      </c>
      <c r="G660">
        <v>5</v>
      </c>
      <c r="H660" s="5">
        <v>467.64</v>
      </c>
      <c r="I660" s="4">
        <v>0.1</v>
      </c>
      <c r="J660" s="5">
        <v>2104.38</v>
      </c>
      <c r="K660" s="5">
        <v>1581.61</v>
      </c>
      <c r="L660" s="5">
        <v>522.77</v>
      </c>
      <c r="M660" t="s">
        <v>35</v>
      </c>
      <c r="N660" t="s">
        <v>71</v>
      </c>
      <c r="O660" t="s">
        <v>44</v>
      </c>
    </row>
    <row r="661" spans="1:15">
      <c r="A661" t="s">
        <v>1113</v>
      </c>
      <c r="B661" s="3">
        <v>46263</v>
      </c>
      <c r="C661" t="s">
        <v>550</v>
      </c>
      <c r="D661" t="s">
        <v>32</v>
      </c>
      <c r="E661" t="s">
        <v>41</v>
      </c>
      <c r="F661" t="s">
        <v>124</v>
      </c>
      <c r="G661">
        <v>5</v>
      </c>
      <c r="H661" s="5">
        <v>1016.29</v>
      </c>
      <c r="I661" s="4">
        <v>0</v>
      </c>
      <c r="J661" s="5">
        <v>5081.45</v>
      </c>
      <c r="K661" s="5">
        <v>3200.46</v>
      </c>
      <c r="L661" s="5">
        <v>1880.99</v>
      </c>
      <c r="M661" t="s">
        <v>57</v>
      </c>
      <c r="N661" t="s">
        <v>71</v>
      </c>
      <c r="O661" t="s">
        <v>37</v>
      </c>
    </row>
    <row r="662" spans="1:15">
      <c r="A662" t="s">
        <v>1114</v>
      </c>
      <c r="B662" s="3">
        <v>46122</v>
      </c>
      <c r="C662" t="s">
        <v>320</v>
      </c>
      <c r="D662" t="s">
        <v>40</v>
      </c>
      <c r="E662" t="s">
        <v>61</v>
      </c>
      <c r="F662" t="s">
        <v>81</v>
      </c>
      <c r="G662">
        <v>4</v>
      </c>
      <c r="H662" s="5">
        <v>215.77</v>
      </c>
      <c r="I662" s="4">
        <v>0.05</v>
      </c>
      <c r="J662" s="5">
        <v>819.93</v>
      </c>
      <c r="K662" s="5">
        <v>651.25</v>
      </c>
      <c r="L662" s="5">
        <v>168.68</v>
      </c>
      <c r="M662" t="s">
        <v>35</v>
      </c>
      <c r="N662" t="s">
        <v>43</v>
      </c>
      <c r="O662" t="s">
        <v>44</v>
      </c>
    </row>
    <row r="663" spans="1:15">
      <c r="A663" t="s">
        <v>1115</v>
      </c>
      <c r="B663" s="3">
        <v>46156</v>
      </c>
      <c r="C663" t="s">
        <v>1116</v>
      </c>
      <c r="D663" t="s">
        <v>95</v>
      </c>
      <c r="E663" t="s">
        <v>48</v>
      </c>
      <c r="F663" t="s">
        <v>102</v>
      </c>
      <c r="G663">
        <v>6</v>
      </c>
      <c r="H663" s="5">
        <v>437.51</v>
      </c>
      <c r="I663" s="4">
        <v>0.2</v>
      </c>
      <c r="J663" s="5">
        <v>2100.0500000000002</v>
      </c>
      <c r="K663" s="5">
        <v>1427.05</v>
      </c>
      <c r="L663" s="5">
        <v>673</v>
      </c>
      <c r="M663" t="s">
        <v>35</v>
      </c>
      <c r="N663" t="s">
        <v>63</v>
      </c>
      <c r="O663" t="s">
        <v>44</v>
      </c>
    </row>
    <row r="664" spans="1:15">
      <c r="A664" t="s">
        <v>1117</v>
      </c>
      <c r="B664" s="3">
        <v>45727</v>
      </c>
      <c r="C664" t="s">
        <v>914</v>
      </c>
      <c r="D664" t="s">
        <v>134</v>
      </c>
      <c r="E664" t="s">
        <v>61</v>
      </c>
      <c r="F664" t="s">
        <v>62</v>
      </c>
      <c r="G664">
        <v>2</v>
      </c>
      <c r="H664" s="5">
        <v>2956.41</v>
      </c>
      <c r="I664" s="4">
        <v>0.1</v>
      </c>
      <c r="J664" s="5">
        <v>5321.54</v>
      </c>
      <c r="K664" s="5">
        <v>3984.55</v>
      </c>
      <c r="L664" s="5">
        <v>1336.99</v>
      </c>
      <c r="M664" t="s">
        <v>35</v>
      </c>
      <c r="N664" t="s">
        <v>36</v>
      </c>
      <c r="O664" t="s">
        <v>44</v>
      </c>
    </row>
    <row r="665" spans="1:15">
      <c r="A665" t="s">
        <v>1118</v>
      </c>
      <c r="B665" s="3">
        <v>45973</v>
      </c>
      <c r="C665" t="s">
        <v>1060</v>
      </c>
      <c r="D665" t="s">
        <v>47</v>
      </c>
      <c r="E665" t="s">
        <v>48</v>
      </c>
      <c r="F665" t="s">
        <v>70</v>
      </c>
      <c r="G665">
        <v>1</v>
      </c>
      <c r="H665" s="5">
        <v>748.7</v>
      </c>
      <c r="I665" s="4">
        <v>0.1</v>
      </c>
      <c r="J665" s="5">
        <v>673.83</v>
      </c>
      <c r="K665" s="5">
        <v>406.57</v>
      </c>
      <c r="L665" s="5">
        <v>267.26</v>
      </c>
      <c r="M665" t="s">
        <v>35</v>
      </c>
      <c r="N665" t="s">
        <v>36</v>
      </c>
      <c r="O665" t="s">
        <v>44</v>
      </c>
    </row>
    <row r="666" spans="1:15">
      <c r="A666" t="s">
        <v>1119</v>
      </c>
      <c r="B666" s="3">
        <v>45849</v>
      </c>
      <c r="C666" t="s">
        <v>372</v>
      </c>
      <c r="D666" t="s">
        <v>134</v>
      </c>
      <c r="E666" t="s">
        <v>48</v>
      </c>
      <c r="F666" t="s">
        <v>102</v>
      </c>
      <c r="G666">
        <v>4</v>
      </c>
      <c r="H666" s="5">
        <v>2171.5700000000002</v>
      </c>
      <c r="I666" s="4">
        <v>0</v>
      </c>
      <c r="J666" s="5">
        <v>8686.2800000000007</v>
      </c>
      <c r="K666" s="5">
        <v>5622.35</v>
      </c>
      <c r="L666" s="5">
        <v>3063.93</v>
      </c>
      <c r="M666" t="s">
        <v>35</v>
      </c>
      <c r="N666" t="s">
        <v>43</v>
      </c>
      <c r="O666" t="s">
        <v>44</v>
      </c>
    </row>
    <row r="667" spans="1:15">
      <c r="A667" t="s">
        <v>1120</v>
      </c>
      <c r="B667" s="3">
        <v>45976</v>
      </c>
      <c r="C667" t="s">
        <v>1121</v>
      </c>
      <c r="D667" t="s">
        <v>95</v>
      </c>
      <c r="E667" t="s">
        <v>33</v>
      </c>
      <c r="F667" t="s">
        <v>96</v>
      </c>
      <c r="G667">
        <v>4</v>
      </c>
      <c r="H667" s="5">
        <v>4600.75</v>
      </c>
      <c r="I667" s="4">
        <v>0</v>
      </c>
      <c r="J667" s="5">
        <v>18403</v>
      </c>
      <c r="K667" s="5">
        <v>10348.56</v>
      </c>
      <c r="L667" s="5">
        <v>8054.44</v>
      </c>
      <c r="M667" t="s">
        <v>35</v>
      </c>
      <c r="N667" t="s">
        <v>71</v>
      </c>
      <c r="O667" t="s">
        <v>44</v>
      </c>
    </row>
    <row r="668" spans="1:15">
      <c r="A668" t="s">
        <v>1122</v>
      </c>
      <c r="B668" s="3">
        <v>45878</v>
      </c>
      <c r="C668" t="s">
        <v>545</v>
      </c>
      <c r="D668" t="s">
        <v>40</v>
      </c>
      <c r="E668" t="s">
        <v>33</v>
      </c>
      <c r="F668" t="s">
        <v>92</v>
      </c>
      <c r="G668">
        <v>3</v>
      </c>
      <c r="H668" s="5">
        <v>2638.17</v>
      </c>
      <c r="I668" s="4">
        <v>0.1</v>
      </c>
      <c r="J668" s="5">
        <v>7123.06</v>
      </c>
      <c r="K668" s="5">
        <v>5451.18</v>
      </c>
      <c r="L668" s="5">
        <v>1671.88</v>
      </c>
      <c r="M668" t="s">
        <v>57</v>
      </c>
      <c r="N668" t="s">
        <v>63</v>
      </c>
      <c r="O668" t="s">
        <v>44</v>
      </c>
    </row>
    <row r="669" spans="1:15">
      <c r="A669" t="s">
        <v>1123</v>
      </c>
      <c r="B669" s="3">
        <v>46120</v>
      </c>
      <c r="C669" t="s">
        <v>55</v>
      </c>
      <c r="D669" t="s">
        <v>56</v>
      </c>
      <c r="E669" t="s">
        <v>48</v>
      </c>
      <c r="F669" t="s">
        <v>99</v>
      </c>
      <c r="G669">
        <v>1</v>
      </c>
      <c r="H669" s="5">
        <v>1002.37</v>
      </c>
      <c r="I669" s="4">
        <v>0.15</v>
      </c>
      <c r="J669" s="5">
        <v>852.01</v>
      </c>
      <c r="K669" s="5">
        <v>527.76</v>
      </c>
      <c r="L669" s="5">
        <v>324.25</v>
      </c>
      <c r="M669" t="s">
        <v>35</v>
      </c>
      <c r="N669" t="s">
        <v>43</v>
      </c>
      <c r="O669" t="s">
        <v>44</v>
      </c>
    </row>
    <row r="670" spans="1:15">
      <c r="A670" t="s">
        <v>1124</v>
      </c>
      <c r="B670" s="3">
        <v>46066</v>
      </c>
      <c r="C670" t="s">
        <v>209</v>
      </c>
      <c r="D670" t="s">
        <v>66</v>
      </c>
      <c r="E670" t="s">
        <v>41</v>
      </c>
      <c r="F670" t="s">
        <v>42</v>
      </c>
      <c r="G670">
        <v>5</v>
      </c>
      <c r="H670" s="5">
        <v>2162.63</v>
      </c>
      <c r="I670" s="4">
        <v>0.15</v>
      </c>
      <c r="J670" s="5">
        <v>9191.18</v>
      </c>
      <c r="K670" s="5">
        <v>6705.68</v>
      </c>
      <c r="L670" s="5">
        <v>2485.5</v>
      </c>
      <c r="M670" t="s">
        <v>57</v>
      </c>
      <c r="N670" t="s">
        <v>63</v>
      </c>
      <c r="O670" t="s">
        <v>37</v>
      </c>
    </row>
    <row r="671" spans="1:15">
      <c r="A671" t="s">
        <v>1125</v>
      </c>
      <c r="B671" s="3">
        <v>45861</v>
      </c>
      <c r="C671" t="s">
        <v>708</v>
      </c>
      <c r="D671" t="s">
        <v>47</v>
      </c>
      <c r="E671" t="s">
        <v>41</v>
      </c>
      <c r="F671" t="s">
        <v>42</v>
      </c>
      <c r="G671">
        <v>2</v>
      </c>
      <c r="H671" s="5">
        <v>4906.72</v>
      </c>
      <c r="I671" s="4">
        <v>0.05</v>
      </c>
      <c r="J671" s="5">
        <v>9322.77</v>
      </c>
      <c r="K671" s="5">
        <v>6455.14</v>
      </c>
      <c r="L671" s="5">
        <v>2867.63</v>
      </c>
      <c r="M671" t="s">
        <v>35</v>
      </c>
      <c r="N671" t="s">
        <v>36</v>
      </c>
      <c r="O671" t="s">
        <v>44</v>
      </c>
    </row>
    <row r="672" spans="1:15">
      <c r="A672" t="s">
        <v>1126</v>
      </c>
      <c r="B672" s="3">
        <v>45796</v>
      </c>
      <c r="C672" t="s">
        <v>1127</v>
      </c>
      <c r="D672" t="s">
        <v>52</v>
      </c>
      <c r="E672" t="s">
        <v>61</v>
      </c>
      <c r="F672" t="s">
        <v>129</v>
      </c>
      <c r="G672">
        <v>3</v>
      </c>
      <c r="H672" s="5">
        <v>4177.28</v>
      </c>
      <c r="I672" s="4">
        <v>0</v>
      </c>
      <c r="J672" s="5">
        <v>12531.84</v>
      </c>
      <c r="K672" s="5">
        <v>9421.06</v>
      </c>
      <c r="L672" s="5">
        <v>3110.78</v>
      </c>
      <c r="M672" t="s">
        <v>35</v>
      </c>
      <c r="N672" t="s">
        <v>43</v>
      </c>
      <c r="O672" t="s">
        <v>37</v>
      </c>
    </row>
    <row r="673" spans="1:15">
      <c r="A673" t="s">
        <v>1128</v>
      </c>
      <c r="B673" s="3">
        <v>45877</v>
      </c>
      <c r="C673" t="s">
        <v>1129</v>
      </c>
      <c r="D673" t="s">
        <v>60</v>
      </c>
      <c r="E673" t="s">
        <v>33</v>
      </c>
      <c r="F673" t="s">
        <v>67</v>
      </c>
      <c r="G673">
        <v>3</v>
      </c>
      <c r="H673" s="5">
        <v>2808.13</v>
      </c>
      <c r="I673" s="4">
        <v>0.1</v>
      </c>
      <c r="J673" s="5">
        <v>7581.95</v>
      </c>
      <c r="K673" s="5">
        <v>5630.84</v>
      </c>
      <c r="L673" s="5">
        <v>1951.11</v>
      </c>
      <c r="M673" t="s">
        <v>35</v>
      </c>
      <c r="N673" t="s">
        <v>43</v>
      </c>
      <c r="O673" t="s">
        <v>44</v>
      </c>
    </row>
    <row r="674" spans="1:15">
      <c r="A674" t="s">
        <v>1130</v>
      </c>
      <c r="B674" s="3">
        <v>46072</v>
      </c>
      <c r="C674" t="s">
        <v>1131</v>
      </c>
      <c r="D674" t="s">
        <v>134</v>
      </c>
      <c r="E674" t="s">
        <v>33</v>
      </c>
      <c r="F674" t="s">
        <v>34</v>
      </c>
      <c r="G674">
        <v>3</v>
      </c>
      <c r="H674" s="5">
        <v>2637.06</v>
      </c>
      <c r="I674" s="4">
        <v>0.1</v>
      </c>
      <c r="J674" s="5">
        <v>7120.06</v>
      </c>
      <c r="K674" s="5">
        <v>4514.79</v>
      </c>
      <c r="L674" s="5">
        <v>2605.27</v>
      </c>
      <c r="M674" t="s">
        <v>57</v>
      </c>
      <c r="N674" t="s">
        <v>36</v>
      </c>
      <c r="O674" t="s">
        <v>37</v>
      </c>
    </row>
    <row r="675" spans="1:15">
      <c r="A675" t="s">
        <v>1132</v>
      </c>
      <c r="B675" s="3">
        <v>45938</v>
      </c>
      <c r="C675" t="s">
        <v>152</v>
      </c>
      <c r="D675" t="s">
        <v>56</v>
      </c>
      <c r="E675" t="s">
        <v>33</v>
      </c>
      <c r="F675" t="s">
        <v>92</v>
      </c>
      <c r="G675">
        <v>1</v>
      </c>
      <c r="H675" s="5">
        <v>4310.47</v>
      </c>
      <c r="I675" s="4">
        <v>0.2</v>
      </c>
      <c r="J675" s="5">
        <v>3448.38</v>
      </c>
      <c r="K675" s="5">
        <v>2043.47</v>
      </c>
      <c r="L675" s="5">
        <v>1404.91</v>
      </c>
      <c r="M675" t="s">
        <v>57</v>
      </c>
      <c r="N675" t="s">
        <v>71</v>
      </c>
      <c r="O675" t="s">
        <v>44</v>
      </c>
    </row>
    <row r="676" spans="1:15">
      <c r="A676" t="s">
        <v>1133</v>
      </c>
      <c r="B676" s="3">
        <v>46048</v>
      </c>
      <c r="C676" t="s">
        <v>1134</v>
      </c>
      <c r="D676" t="s">
        <v>74</v>
      </c>
      <c r="E676" t="s">
        <v>61</v>
      </c>
      <c r="F676" t="s">
        <v>89</v>
      </c>
      <c r="G676">
        <v>1</v>
      </c>
      <c r="H676" s="5">
        <v>320.27999999999997</v>
      </c>
      <c r="I676" s="4">
        <v>0.1</v>
      </c>
      <c r="J676" s="5">
        <v>288.25</v>
      </c>
      <c r="K676" s="5">
        <v>243.11</v>
      </c>
      <c r="L676" s="5">
        <v>45.14</v>
      </c>
      <c r="M676" t="s">
        <v>35</v>
      </c>
      <c r="N676" t="s">
        <v>36</v>
      </c>
      <c r="O676" t="s">
        <v>44</v>
      </c>
    </row>
    <row r="677" spans="1:15">
      <c r="A677" t="s">
        <v>1135</v>
      </c>
      <c r="B677" s="3">
        <v>45915</v>
      </c>
      <c r="C677" t="s">
        <v>533</v>
      </c>
      <c r="D677" t="s">
        <v>95</v>
      </c>
      <c r="E677" t="s">
        <v>33</v>
      </c>
      <c r="F677" t="s">
        <v>34</v>
      </c>
      <c r="G677">
        <v>3</v>
      </c>
      <c r="H677" s="5">
        <v>1424.53</v>
      </c>
      <c r="I677" s="4">
        <v>0</v>
      </c>
      <c r="J677" s="5">
        <v>4273.59</v>
      </c>
      <c r="K677" s="5">
        <v>3071.73</v>
      </c>
      <c r="L677" s="5">
        <v>1201.8599999999999</v>
      </c>
      <c r="M677" t="s">
        <v>35</v>
      </c>
      <c r="N677" t="s">
        <v>36</v>
      </c>
      <c r="O677" t="s">
        <v>44</v>
      </c>
    </row>
    <row r="678" spans="1:15">
      <c r="A678" t="s">
        <v>1136</v>
      </c>
      <c r="B678" s="3">
        <v>46092</v>
      </c>
      <c r="C678" t="s">
        <v>294</v>
      </c>
      <c r="D678" t="s">
        <v>47</v>
      </c>
      <c r="E678" t="s">
        <v>33</v>
      </c>
      <c r="F678" t="s">
        <v>92</v>
      </c>
      <c r="G678">
        <v>1</v>
      </c>
      <c r="H678" s="5">
        <v>3919.24</v>
      </c>
      <c r="I678" s="4">
        <v>0.15</v>
      </c>
      <c r="J678" s="5">
        <v>3331.35</v>
      </c>
      <c r="K678" s="5">
        <v>2752.56</v>
      </c>
      <c r="L678" s="5">
        <v>578.79</v>
      </c>
      <c r="M678" t="s">
        <v>57</v>
      </c>
      <c r="N678" t="s">
        <v>43</v>
      </c>
      <c r="O678" t="s">
        <v>44</v>
      </c>
    </row>
    <row r="679" spans="1:15">
      <c r="A679" t="s">
        <v>1137</v>
      </c>
      <c r="B679" s="3">
        <v>45909</v>
      </c>
      <c r="C679" t="s">
        <v>754</v>
      </c>
      <c r="D679" t="s">
        <v>56</v>
      </c>
      <c r="E679" t="s">
        <v>33</v>
      </c>
      <c r="F679" t="s">
        <v>34</v>
      </c>
      <c r="G679">
        <v>6</v>
      </c>
      <c r="H679" s="5">
        <v>2972.07</v>
      </c>
      <c r="I679" s="4">
        <v>0</v>
      </c>
      <c r="J679" s="5">
        <v>17832.419999999998</v>
      </c>
      <c r="K679" s="5">
        <v>12699.47</v>
      </c>
      <c r="L679" s="5">
        <v>5132.95</v>
      </c>
      <c r="M679" t="s">
        <v>35</v>
      </c>
      <c r="N679" t="s">
        <v>43</v>
      </c>
      <c r="O679" t="s">
        <v>44</v>
      </c>
    </row>
    <row r="680" spans="1:15">
      <c r="A680" t="s">
        <v>1138</v>
      </c>
      <c r="B680" s="3">
        <v>46196</v>
      </c>
      <c r="C680" t="s">
        <v>1139</v>
      </c>
      <c r="D680" t="s">
        <v>74</v>
      </c>
      <c r="E680" t="s">
        <v>33</v>
      </c>
      <c r="F680" t="s">
        <v>92</v>
      </c>
      <c r="G680">
        <v>2</v>
      </c>
      <c r="H680" s="5">
        <v>1911.09</v>
      </c>
      <c r="I680" s="4">
        <v>0</v>
      </c>
      <c r="J680" s="5">
        <v>3822.18</v>
      </c>
      <c r="K680" s="5">
        <v>2675.48</v>
      </c>
      <c r="L680" s="5">
        <v>1146.7</v>
      </c>
      <c r="M680" t="s">
        <v>35</v>
      </c>
      <c r="N680" t="s">
        <v>71</v>
      </c>
      <c r="O680" t="s">
        <v>44</v>
      </c>
    </row>
    <row r="681" spans="1:15">
      <c r="A681" t="s">
        <v>1140</v>
      </c>
      <c r="B681" s="3">
        <v>46175</v>
      </c>
      <c r="C681" t="s">
        <v>1141</v>
      </c>
      <c r="D681" t="s">
        <v>66</v>
      </c>
      <c r="E681" t="s">
        <v>41</v>
      </c>
      <c r="F681" t="s">
        <v>124</v>
      </c>
      <c r="G681">
        <v>1</v>
      </c>
      <c r="H681" s="5">
        <v>757.94</v>
      </c>
      <c r="I681" s="4">
        <v>0.1</v>
      </c>
      <c r="J681" s="5">
        <v>682.15</v>
      </c>
      <c r="K681" s="5">
        <v>393.11</v>
      </c>
      <c r="L681" s="5">
        <v>289.04000000000002</v>
      </c>
      <c r="M681" t="s">
        <v>57</v>
      </c>
      <c r="N681" t="s">
        <v>71</v>
      </c>
      <c r="O681" t="s">
        <v>44</v>
      </c>
    </row>
    <row r="682" spans="1:15">
      <c r="A682" t="s">
        <v>1142</v>
      </c>
      <c r="B682" s="3">
        <v>45980</v>
      </c>
      <c r="C682" t="s">
        <v>401</v>
      </c>
      <c r="D682" t="s">
        <v>32</v>
      </c>
      <c r="E682" t="s">
        <v>41</v>
      </c>
      <c r="F682" t="s">
        <v>42</v>
      </c>
      <c r="G682">
        <v>6</v>
      </c>
      <c r="H682" s="5">
        <v>4072.29</v>
      </c>
      <c r="I682" s="4">
        <v>0</v>
      </c>
      <c r="J682" s="5">
        <v>24433.74</v>
      </c>
      <c r="K682" s="5">
        <v>19747.189999999999</v>
      </c>
      <c r="L682" s="5">
        <v>4686.55</v>
      </c>
      <c r="M682" t="s">
        <v>57</v>
      </c>
      <c r="N682" t="s">
        <v>36</v>
      </c>
      <c r="O682" t="s">
        <v>44</v>
      </c>
    </row>
    <row r="683" spans="1:15">
      <c r="A683" t="s">
        <v>1143</v>
      </c>
      <c r="B683" s="3">
        <v>46068</v>
      </c>
      <c r="C683" t="s">
        <v>59</v>
      </c>
      <c r="D683" t="s">
        <v>32</v>
      </c>
      <c r="E683" t="s">
        <v>48</v>
      </c>
      <c r="F683" t="s">
        <v>113</v>
      </c>
      <c r="G683">
        <v>6</v>
      </c>
      <c r="H683" s="5">
        <v>286.64999999999998</v>
      </c>
      <c r="I683" s="4">
        <v>0</v>
      </c>
      <c r="J683" s="5">
        <v>1719.9</v>
      </c>
      <c r="K683" s="5">
        <v>1133.3699999999999</v>
      </c>
      <c r="L683" s="5">
        <v>586.53</v>
      </c>
      <c r="M683" t="s">
        <v>57</v>
      </c>
      <c r="N683" t="s">
        <v>43</v>
      </c>
      <c r="O683" t="s">
        <v>44</v>
      </c>
    </row>
    <row r="684" spans="1:15">
      <c r="A684" t="s">
        <v>1144</v>
      </c>
      <c r="B684" s="3">
        <v>45737</v>
      </c>
      <c r="C684" t="s">
        <v>243</v>
      </c>
      <c r="D684" t="s">
        <v>56</v>
      </c>
      <c r="E684" t="s">
        <v>48</v>
      </c>
      <c r="F684" t="s">
        <v>70</v>
      </c>
      <c r="G684">
        <v>4</v>
      </c>
      <c r="H684" s="5">
        <v>4362.01</v>
      </c>
      <c r="I684" s="4">
        <v>0.15</v>
      </c>
      <c r="J684" s="5">
        <v>14830.83</v>
      </c>
      <c r="K684" s="5">
        <v>10753.2</v>
      </c>
      <c r="L684" s="5">
        <v>4077.63</v>
      </c>
      <c r="M684" t="s">
        <v>57</v>
      </c>
      <c r="N684" t="s">
        <v>71</v>
      </c>
      <c r="O684" t="s">
        <v>44</v>
      </c>
    </row>
    <row r="685" spans="1:15">
      <c r="A685" t="s">
        <v>1145</v>
      </c>
      <c r="B685" s="3">
        <v>46040</v>
      </c>
      <c r="C685" t="s">
        <v>1146</v>
      </c>
      <c r="D685" t="s">
        <v>95</v>
      </c>
      <c r="E685" t="s">
        <v>41</v>
      </c>
      <c r="F685" t="s">
        <v>53</v>
      </c>
      <c r="G685">
        <v>1</v>
      </c>
      <c r="H685" s="5">
        <v>3337.43</v>
      </c>
      <c r="I685" s="4">
        <v>0</v>
      </c>
      <c r="J685" s="5">
        <v>3337.43</v>
      </c>
      <c r="K685" s="5">
        <v>2077.0100000000002</v>
      </c>
      <c r="L685" s="5">
        <v>1260.42</v>
      </c>
      <c r="M685" t="s">
        <v>57</v>
      </c>
      <c r="N685" t="s">
        <v>71</v>
      </c>
      <c r="O685" t="s">
        <v>44</v>
      </c>
    </row>
    <row r="686" spans="1:15">
      <c r="A686" t="s">
        <v>1147</v>
      </c>
      <c r="B686" s="3">
        <v>46205</v>
      </c>
      <c r="C686" t="s">
        <v>195</v>
      </c>
      <c r="D686" t="s">
        <v>40</v>
      </c>
      <c r="E686" t="s">
        <v>33</v>
      </c>
      <c r="F686" t="s">
        <v>96</v>
      </c>
      <c r="G686">
        <v>4</v>
      </c>
      <c r="H686" s="5">
        <v>3668.91</v>
      </c>
      <c r="I686" s="4">
        <v>0.1</v>
      </c>
      <c r="J686" s="5">
        <v>13208.08</v>
      </c>
      <c r="K686" s="5">
        <v>10240.14</v>
      </c>
      <c r="L686" s="5">
        <v>2967.94</v>
      </c>
      <c r="M686" t="s">
        <v>35</v>
      </c>
      <c r="N686" t="s">
        <v>43</v>
      </c>
      <c r="O686" t="s">
        <v>44</v>
      </c>
    </row>
    <row r="687" spans="1:15">
      <c r="A687" t="s">
        <v>1148</v>
      </c>
      <c r="B687" s="3">
        <v>46230</v>
      </c>
      <c r="C687" t="s">
        <v>341</v>
      </c>
      <c r="D687" t="s">
        <v>134</v>
      </c>
      <c r="E687" t="s">
        <v>48</v>
      </c>
      <c r="F687" t="s">
        <v>49</v>
      </c>
      <c r="G687">
        <v>5</v>
      </c>
      <c r="H687" s="5">
        <v>2555.11</v>
      </c>
      <c r="I687" s="4">
        <v>0.2</v>
      </c>
      <c r="J687" s="5">
        <v>10220.44</v>
      </c>
      <c r="K687" s="5">
        <v>8468.58</v>
      </c>
      <c r="L687" s="5">
        <v>1751.86</v>
      </c>
      <c r="M687" t="s">
        <v>35</v>
      </c>
      <c r="N687" t="s">
        <v>63</v>
      </c>
      <c r="O687" t="s">
        <v>44</v>
      </c>
    </row>
    <row r="688" spans="1:15">
      <c r="A688" t="s">
        <v>1149</v>
      </c>
      <c r="B688" s="3">
        <v>45962</v>
      </c>
      <c r="C688" t="s">
        <v>136</v>
      </c>
      <c r="D688" t="s">
        <v>134</v>
      </c>
      <c r="E688" t="s">
        <v>33</v>
      </c>
      <c r="F688" t="s">
        <v>67</v>
      </c>
      <c r="G688">
        <v>5</v>
      </c>
      <c r="H688" s="5">
        <v>3173.51</v>
      </c>
      <c r="I688" s="4">
        <v>0.2</v>
      </c>
      <c r="J688" s="5">
        <v>12694.04</v>
      </c>
      <c r="K688" s="5">
        <v>9341.59</v>
      </c>
      <c r="L688" s="5">
        <v>3352.45</v>
      </c>
      <c r="M688" t="s">
        <v>35</v>
      </c>
      <c r="N688" t="s">
        <v>43</v>
      </c>
      <c r="O688" t="s">
        <v>44</v>
      </c>
    </row>
    <row r="689" spans="1:15">
      <c r="A689" t="s">
        <v>1150</v>
      </c>
      <c r="B689" s="3">
        <v>45858</v>
      </c>
      <c r="C689" t="s">
        <v>547</v>
      </c>
      <c r="D689" t="s">
        <v>56</v>
      </c>
      <c r="E689" t="s">
        <v>61</v>
      </c>
      <c r="F689" t="s">
        <v>81</v>
      </c>
      <c r="G689">
        <v>6</v>
      </c>
      <c r="H689" s="5">
        <v>5438.87</v>
      </c>
      <c r="I689" s="4">
        <v>0.15</v>
      </c>
      <c r="J689" s="5">
        <v>27738.240000000002</v>
      </c>
      <c r="K689" s="5">
        <v>21331.37</v>
      </c>
      <c r="L689" s="5">
        <v>6406.87</v>
      </c>
      <c r="M689" t="s">
        <v>35</v>
      </c>
      <c r="N689" t="s">
        <v>36</v>
      </c>
      <c r="O689" t="s">
        <v>44</v>
      </c>
    </row>
    <row r="690" spans="1:15">
      <c r="A690" t="s">
        <v>1151</v>
      </c>
      <c r="B690" s="3">
        <v>45705</v>
      </c>
      <c r="C690" t="s">
        <v>843</v>
      </c>
      <c r="D690" t="s">
        <v>47</v>
      </c>
      <c r="E690" t="s">
        <v>48</v>
      </c>
      <c r="F690" t="s">
        <v>113</v>
      </c>
      <c r="G690">
        <v>3</v>
      </c>
      <c r="H690" s="5">
        <v>5153.95</v>
      </c>
      <c r="I690" s="4">
        <v>0</v>
      </c>
      <c r="J690" s="5">
        <v>15461.85</v>
      </c>
      <c r="K690" s="5">
        <v>8524.9699999999993</v>
      </c>
      <c r="L690" s="5">
        <v>6936.88</v>
      </c>
      <c r="M690" t="s">
        <v>57</v>
      </c>
      <c r="N690" t="s">
        <v>63</v>
      </c>
      <c r="O690" t="s">
        <v>44</v>
      </c>
    </row>
    <row r="691" spans="1:15">
      <c r="A691" t="s">
        <v>1152</v>
      </c>
      <c r="B691" s="3">
        <v>46165</v>
      </c>
      <c r="C691" t="s">
        <v>1030</v>
      </c>
      <c r="D691" t="s">
        <v>52</v>
      </c>
      <c r="E691" t="s">
        <v>41</v>
      </c>
      <c r="F691" t="s">
        <v>124</v>
      </c>
      <c r="G691">
        <v>6</v>
      </c>
      <c r="H691" s="5">
        <v>1494.74</v>
      </c>
      <c r="I691" s="4">
        <v>0</v>
      </c>
      <c r="J691" s="5">
        <v>8968.44</v>
      </c>
      <c r="K691" s="5">
        <v>5202.2299999999996</v>
      </c>
      <c r="L691" s="5">
        <v>3766.21</v>
      </c>
      <c r="M691" t="s">
        <v>57</v>
      </c>
      <c r="N691" t="s">
        <v>71</v>
      </c>
      <c r="O691" t="s">
        <v>37</v>
      </c>
    </row>
    <row r="692" spans="1:15">
      <c r="A692" t="s">
        <v>1153</v>
      </c>
      <c r="B692" s="3">
        <v>45888</v>
      </c>
      <c r="C692" t="s">
        <v>672</v>
      </c>
      <c r="D692" t="s">
        <v>95</v>
      </c>
      <c r="E692" t="s">
        <v>41</v>
      </c>
      <c r="F692" t="s">
        <v>119</v>
      </c>
      <c r="G692">
        <v>3</v>
      </c>
      <c r="H692" s="5">
        <v>686.97</v>
      </c>
      <c r="I692" s="4">
        <v>0.1</v>
      </c>
      <c r="J692" s="5">
        <v>1854.82</v>
      </c>
      <c r="K692" s="5">
        <v>1442.85</v>
      </c>
      <c r="L692" s="5">
        <v>411.97</v>
      </c>
      <c r="M692" t="s">
        <v>35</v>
      </c>
      <c r="N692" t="s">
        <v>63</v>
      </c>
      <c r="O692" t="s">
        <v>44</v>
      </c>
    </row>
    <row r="693" spans="1:15">
      <c r="A693" t="s">
        <v>1154</v>
      </c>
      <c r="B693" s="3">
        <v>46156</v>
      </c>
      <c r="C693" t="s">
        <v>157</v>
      </c>
      <c r="D693" t="s">
        <v>47</v>
      </c>
      <c r="E693" t="s">
        <v>61</v>
      </c>
      <c r="F693" t="s">
        <v>62</v>
      </c>
      <c r="G693">
        <v>4</v>
      </c>
      <c r="H693" s="5">
        <v>4608.7700000000004</v>
      </c>
      <c r="I693" s="4">
        <v>0.05</v>
      </c>
      <c r="J693" s="5">
        <v>17513.330000000002</v>
      </c>
      <c r="K693" s="5">
        <v>13492.47</v>
      </c>
      <c r="L693" s="5">
        <v>4020.86</v>
      </c>
      <c r="M693" t="s">
        <v>57</v>
      </c>
      <c r="N693" t="s">
        <v>71</v>
      </c>
      <c r="O693" t="s">
        <v>44</v>
      </c>
    </row>
    <row r="694" spans="1:15">
      <c r="A694" t="s">
        <v>1155</v>
      </c>
      <c r="B694" s="3">
        <v>46103</v>
      </c>
      <c r="C694" t="s">
        <v>536</v>
      </c>
      <c r="D694" t="s">
        <v>74</v>
      </c>
      <c r="E694" t="s">
        <v>61</v>
      </c>
      <c r="F694" t="s">
        <v>62</v>
      </c>
      <c r="G694">
        <v>3</v>
      </c>
      <c r="H694" s="5">
        <v>3797.05</v>
      </c>
      <c r="I694" s="4">
        <v>0.15</v>
      </c>
      <c r="J694" s="5">
        <v>9682.48</v>
      </c>
      <c r="K694" s="5">
        <v>7388.58</v>
      </c>
      <c r="L694" s="5">
        <v>2293.9</v>
      </c>
      <c r="M694" t="s">
        <v>57</v>
      </c>
      <c r="N694" t="s">
        <v>43</v>
      </c>
      <c r="O694" t="s">
        <v>44</v>
      </c>
    </row>
    <row r="695" spans="1:15">
      <c r="A695" t="s">
        <v>1156</v>
      </c>
      <c r="B695" s="3">
        <v>46053</v>
      </c>
      <c r="C695" t="s">
        <v>1157</v>
      </c>
      <c r="D695" t="s">
        <v>74</v>
      </c>
      <c r="E695" t="s">
        <v>48</v>
      </c>
      <c r="F695" t="s">
        <v>70</v>
      </c>
      <c r="G695">
        <v>5</v>
      </c>
      <c r="H695" s="5">
        <v>861.32</v>
      </c>
      <c r="I695" s="4">
        <v>0.05</v>
      </c>
      <c r="J695" s="5">
        <v>4091.27</v>
      </c>
      <c r="K695" s="5">
        <v>2581.4499999999998</v>
      </c>
      <c r="L695" s="5">
        <v>1509.82</v>
      </c>
      <c r="M695" t="s">
        <v>35</v>
      </c>
      <c r="N695" t="s">
        <v>36</v>
      </c>
      <c r="O695" t="s">
        <v>37</v>
      </c>
    </row>
    <row r="696" spans="1:15">
      <c r="A696" t="s">
        <v>1158</v>
      </c>
      <c r="B696" s="3">
        <v>45846</v>
      </c>
      <c r="C696" t="s">
        <v>613</v>
      </c>
      <c r="D696" t="s">
        <v>52</v>
      </c>
      <c r="E696" t="s">
        <v>48</v>
      </c>
      <c r="F696" t="s">
        <v>102</v>
      </c>
      <c r="G696">
        <v>1</v>
      </c>
      <c r="H696" s="5">
        <v>3239.25</v>
      </c>
      <c r="I696" s="4">
        <v>0.05</v>
      </c>
      <c r="J696" s="5">
        <v>3077.29</v>
      </c>
      <c r="K696" s="5">
        <v>2149.37</v>
      </c>
      <c r="L696" s="5">
        <v>927.92</v>
      </c>
      <c r="M696" t="s">
        <v>35</v>
      </c>
      <c r="N696" t="s">
        <v>43</v>
      </c>
      <c r="O696" t="s">
        <v>37</v>
      </c>
    </row>
    <row r="697" spans="1:15">
      <c r="A697" t="s">
        <v>1159</v>
      </c>
      <c r="B697" s="3">
        <v>45747</v>
      </c>
      <c r="C697" t="s">
        <v>106</v>
      </c>
      <c r="D697" t="s">
        <v>60</v>
      </c>
      <c r="E697" t="s">
        <v>41</v>
      </c>
      <c r="F697" t="s">
        <v>53</v>
      </c>
      <c r="G697">
        <v>1</v>
      </c>
      <c r="H697" s="5">
        <v>749.9</v>
      </c>
      <c r="I697" s="4">
        <v>0.1</v>
      </c>
      <c r="J697" s="5">
        <v>674.91</v>
      </c>
      <c r="K697" s="5">
        <v>392.3</v>
      </c>
      <c r="L697" s="5">
        <v>282.61</v>
      </c>
      <c r="M697" t="s">
        <v>35</v>
      </c>
      <c r="N697" t="s">
        <v>43</v>
      </c>
      <c r="O697" t="s">
        <v>44</v>
      </c>
    </row>
    <row r="698" spans="1:15">
      <c r="A698" t="s">
        <v>1160</v>
      </c>
      <c r="B698" s="3">
        <v>45696</v>
      </c>
      <c r="C698" t="s">
        <v>193</v>
      </c>
      <c r="D698" t="s">
        <v>66</v>
      </c>
      <c r="E698" t="s">
        <v>48</v>
      </c>
      <c r="F698" t="s">
        <v>102</v>
      </c>
      <c r="G698">
        <v>1</v>
      </c>
      <c r="H698" s="5">
        <v>1935.78</v>
      </c>
      <c r="I698" s="4">
        <v>0.05</v>
      </c>
      <c r="J698" s="5">
        <v>1838.99</v>
      </c>
      <c r="K698" s="5">
        <v>1196.83</v>
      </c>
      <c r="L698" s="5">
        <v>642.16</v>
      </c>
      <c r="M698" t="s">
        <v>35</v>
      </c>
      <c r="N698" t="s">
        <v>43</v>
      </c>
      <c r="O698" t="s">
        <v>44</v>
      </c>
    </row>
    <row r="699" spans="1:15">
      <c r="A699" t="s">
        <v>1161</v>
      </c>
      <c r="B699" s="3">
        <v>46184</v>
      </c>
      <c r="C699" t="s">
        <v>1032</v>
      </c>
      <c r="D699" t="s">
        <v>66</v>
      </c>
      <c r="E699" t="s">
        <v>61</v>
      </c>
      <c r="F699" t="s">
        <v>129</v>
      </c>
      <c r="G699">
        <v>6</v>
      </c>
      <c r="H699" s="5">
        <v>2912.47</v>
      </c>
      <c r="I699" s="4">
        <v>0.15</v>
      </c>
      <c r="J699" s="5">
        <v>14853.6</v>
      </c>
      <c r="K699" s="5">
        <v>11565.79</v>
      </c>
      <c r="L699" s="5">
        <v>3287.81</v>
      </c>
      <c r="M699" t="s">
        <v>35</v>
      </c>
      <c r="N699" t="s">
        <v>43</v>
      </c>
      <c r="O699" t="s">
        <v>44</v>
      </c>
    </row>
    <row r="700" spans="1:15">
      <c r="A700" t="s">
        <v>1162</v>
      </c>
      <c r="B700" s="3">
        <v>46163</v>
      </c>
      <c r="C700" t="s">
        <v>1163</v>
      </c>
      <c r="D700" t="s">
        <v>56</v>
      </c>
      <c r="E700" t="s">
        <v>48</v>
      </c>
      <c r="F700" t="s">
        <v>113</v>
      </c>
      <c r="G700">
        <v>2</v>
      </c>
      <c r="H700" s="5">
        <v>672.36</v>
      </c>
      <c r="I700" s="4">
        <v>0.1</v>
      </c>
      <c r="J700" s="5">
        <v>1210.25</v>
      </c>
      <c r="K700" s="5">
        <v>776.56</v>
      </c>
      <c r="L700" s="5">
        <v>433.69</v>
      </c>
      <c r="M700" t="s">
        <v>35</v>
      </c>
      <c r="N700" t="s">
        <v>71</v>
      </c>
      <c r="O700" t="s">
        <v>44</v>
      </c>
    </row>
    <row r="701" spans="1:15">
      <c r="A701" t="s">
        <v>1164</v>
      </c>
      <c r="B701" s="3">
        <v>46022</v>
      </c>
      <c r="C701" t="s">
        <v>429</v>
      </c>
      <c r="D701" t="s">
        <v>40</v>
      </c>
      <c r="E701" t="s">
        <v>48</v>
      </c>
      <c r="F701" t="s">
        <v>49</v>
      </c>
      <c r="G701">
        <v>6</v>
      </c>
      <c r="H701" s="5">
        <v>250.99</v>
      </c>
      <c r="I701" s="4">
        <v>0.15</v>
      </c>
      <c r="J701" s="5">
        <v>1280.05</v>
      </c>
      <c r="K701" s="5">
        <v>1046.1099999999999</v>
      </c>
      <c r="L701" s="5">
        <v>233.94</v>
      </c>
      <c r="M701" t="s">
        <v>35</v>
      </c>
      <c r="N701" t="s">
        <v>43</v>
      </c>
      <c r="O701" t="s">
        <v>44</v>
      </c>
    </row>
    <row r="702" spans="1:15">
      <c r="A702" t="s">
        <v>1165</v>
      </c>
      <c r="B702" s="3">
        <v>46173</v>
      </c>
      <c r="C702" t="s">
        <v>1016</v>
      </c>
      <c r="D702" t="s">
        <v>56</v>
      </c>
      <c r="E702" t="s">
        <v>33</v>
      </c>
      <c r="F702" t="s">
        <v>92</v>
      </c>
      <c r="G702">
        <v>2</v>
      </c>
      <c r="H702" s="5">
        <v>3479.55</v>
      </c>
      <c r="I702" s="4">
        <v>0.2</v>
      </c>
      <c r="J702" s="5">
        <v>5567.28</v>
      </c>
      <c r="K702" s="5">
        <v>4074.95</v>
      </c>
      <c r="L702" s="5">
        <v>1492.33</v>
      </c>
      <c r="M702" t="s">
        <v>35</v>
      </c>
      <c r="N702" t="s">
        <v>36</v>
      </c>
      <c r="O702" t="s">
        <v>44</v>
      </c>
    </row>
    <row r="703" spans="1:15">
      <c r="A703" t="s">
        <v>1166</v>
      </c>
      <c r="B703" s="3">
        <v>45843</v>
      </c>
      <c r="C703" t="s">
        <v>1167</v>
      </c>
      <c r="D703" t="s">
        <v>66</v>
      </c>
      <c r="E703" t="s">
        <v>33</v>
      </c>
      <c r="F703" t="s">
        <v>96</v>
      </c>
      <c r="G703">
        <v>4</v>
      </c>
      <c r="H703" s="5">
        <v>3650.21</v>
      </c>
      <c r="I703" s="4">
        <v>0.15</v>
      </c>
      <c r="J703" s="5">
        <v>12410.71</v>
      </c>
      <c r="K703" s="5">
        <v>9814.17</v>
      </c>
      <c r="L703" s="5">
        <v>2596.54</v>
      </c>
      <c r="M703" t="s">
        <v>35</v>
      </c>
      <c r="N703" t="s">
        <v>43</v>
      </c>
      <c r="O703" t="s">
        <v>44</v>
      </c>
    </row>
    <row r="704" spans="1:15">
      <c r="A704" t="s">
        <v>1168</v>
      </c>
      <c r="B704" s="3">
        <v>46215</v>
      </c>
      <c r="C704" t="s">
        <v>464</v>
      </c>
      <c r="D704" t="s">
        <v>66</v>
      </c>
      <c r="E704" t="s">
        <v>41</v>
      </c>
      <c r="F704" t="s">
        <v>124</v>
      </c>
      <c r="G704">
        <v>3</v>
      </c>
      <c r="H704" s="5">
        <v>2668.45</v>
      </c>
      <c r="I704" s="4">
        <v>0.1</v>
      </c>
      <c r="J704" s="5">
        <v>7204.81</v>
      </c>
      <c r="K704" s="5">
        <v>4270.09</v>
      </c>
      <c r="L704" s="5">
        <v>2934.72</v>
      </c>
      <c r="M704" t="s">
        <v>35</v>
      </c>
      <c r="N704" t="s">
        <v>71</v>
      </c>
      <c r="O704" t="s">
        <v>44</v>
      </c>
    </row>
    <row r="705" spans="1:15">
      <c r="A705" t="s">
        <v>1169</v>
      </c>
      <c r="B705" s="3">
        <v>45694</v>
      </c>
      <c r="C705" t="s">
        <v>1170</v>
      </c>
      <c r="D705" t="s">
        <v>74</v>
      </c>
      <c r="E705" t="s">
        <v>33</v>
      </c>
      <c r="F705" t="s">
        <v>34</v>
      </c>
      <c r="G705">
        <v>5</v>
      </c>
      <c r="H705" s="5">
        <v>2413.13</v>
      </c>
      <c r="I705" s="4">
        <v>0.05</v>
      </c>
      <c r="J705" s="5">
        <v>11462.37</v>
      </c>
      <c r="K705" s="5">
        <v>8550.35</v>
      </c>
      <c r="L705" s="5">
        <v>2912.02</v>
      </c>
      <c r="M705" t="s">
        <v>35</v>
      </c>
      <c r="N705" t="s">
        <v>71</v>
      </c>
      <c r="O705" t="s">
        <v>37</v>
      </c>
    </row>
    <row r="706" spans="1:15">
      <c r="A706" t="s">
        <v>1171</v>
      </c>
      <c r="B706" s="3">
        <v>46213</v>
      </c>
      <c r="C706" t="s">
        <v>1083</v>
      </c>
      <c r="D706" t="s">
        <v>40</v>
      </c>
      <c r="E706" t="s">
        <v>41</v>
      </c>
      <c r="F706" t="s">
        <v>53</v>
      </c>
      <c r="G706">
        <v>3</v>
      </c>
      <c r="H706" s="5">
        <v>1155.8</v>
      </c>
      <c r="I706" s="4">
        <v>0.2</v>
      </c>
      <c r="J706" s="5">
        <v>2773.92</v>
      </c>
      <c r="K706" s="5">
        <v>1696.58</v>
      </c>
      <c r="L706" s="5">
        <v>1077.3399999999999</v>
      </c>
      <c r="M706" t="s">
        <v>35</v>
      </c>
      <c r="N706" t="s">
        <v>36</v>
      </c>
      <c r="O706" t="s">
        <v>44</v>
      </c>
    </row>
    <row r="707" spans="1:15">
      <c r="A707" t="s">
        <v>1172</v>
      </c>
      <c r="B707" s="3">
        <v>45981</v>
      </c>
      <c r="C707" t="s">
        <v>737</v>
      </c>
      <c r="D707" t="s">
        <v>32</v>
      </c>
      <c r="E707" t="s">
        <v>33</v>
      </c>
      <c r="F707" t="s">
        <v>67</v>
      </c>
      <c r="G707">
        <v>3</v>
      </c>
      <c r="H707" s="5">
        <v>1560.4</v>
      </c>
      <c r="I707" s="4">
        <v>0.1</v>
      </c>
      <c r="J707" s="5">
        <v>4213.08</v>
      </c>
      <c r="K707" s="5">
        <v>2834.43</v>
      </c>
      <c r="L707" s="5">
        <v>1378.65</v>
      </c>
      <c r="M707" t="s">
        <v>57</v>
      </c>
      <c r="N707" t="s">
        <v>43</v>
      </c>
      <c r="O707" t="s">
        <v>44</v>
      </c>
    </row>
    <row r="708" spans="1:15">
      <c r="A708" t="s">
        <v>1173</v>
      </c>
      <c r="B708" s="3">
        <v>45725</v>
      </c>
      <c r="C708" t="s">
        <v>988</v>
      </c>
      <c r="D708" t="s">
        <v>60</v>
      </c>
      <c r="E708" t="s">
        <v>48</v>
      </c>
      <c r="F708" t="s">
        <v>99</v>
      </c>
      <c r="G708">
        <v>5</v>
      </c>
      <c r="H708" s="5">
        <v>4706.1099999999997</v>
      </c>
      <c r="I708" s="4">
        <v>0.1</v>
      </c>
      <c r="J708" s="5">
        <v>21177.49</v>
      </c>
      <c r="K708" s="5">
        <v>16367.83</v>
      </c>
      <c r="L708" s="5">
        <v>4809.66</v>
      </c>
      <c r="M708" t="s">
        <v>35</v>
      </c>
      <c r="N708" t="s">
        <v>36</v>
      </c>
      <c r="O708" t="s">
        <v>44</v>
      </c>
    </row>
    <row r="709" spans="1:15">
      <c r="A709" t="s">
        <v>1174</v>
      </c>
      <c r="B709" s="3">
        <v>45922</v>
      </c>
      <c r="C709" t="s">
        <v>461</v>
      </c>
      <c r="D709" t="s">
        <v>134</v>
      </c>
      <c r="E709" t="s">
        <v>33</v>
      </c>
      <c r="F709" t="s">
        <v>34</v>
      </c>
      <c r="G709">
        <v>3</v>
      </c>
      <c r="H709" s="5">
        <v>2114.34</v>
      </c>
      <c r="I709" s="4">
        <v>0</v>
      </c>
      <c r="J709" s="5">
        <v>6343.02</v>
      </c>
      <c r="K709" s="5">
        <v>4359.37</v>
      </c>
      <c r="L709" s="5">
        <v>1983.65</v>
      </c>
      <c r="M709" t="s">
        <v>57</v>
      </c>
      <c r="N709" t="s">
        <v>36</v>
      </c>
      <c r="O709" t="s">
        <v>44</v>
      </c>
    </row>
    <row r="710" spans="1:15">
      <c r="A710" t="s">
        <v>1175</v>
      </c>
      <c r="B710" s="3">
        <v>46122</v>
      </c>
      <c r="C710" t="s">
        <v>1176</v>
      </c>
      <c r="D710" t="s">
        <v>56</v>
      </c>
      <c r="E710" t="s">
        <v>33</v>
      </c>
      <c r="F710" t="s">
        <v>96</v>
      </c>
      <c r="G710">
        <v>4</v>
      </c>
      <c r="H710" s="5">
        <v>2029.32</v>
      </c>
      <c r="I710" s="4">
        <v>0.2</v>
      </c>
      <c r="J710" s="5">
        <v>6493.82</v>
      </c>
      <c r="K710" s="5">
        <v>4609.6099999999997</v>
      </c>
      <c r="L710" s="5">
        <v>1884.21</v>
      </c>
      <c r="M710" t="s">
        <v>57</v>
      </c>
      <c r="N710" t="s">
        <v>63</v>
      </c>
      <c r="O710" t="s">
        <v>44</v>
      </c>
    </row>
    <row r="711" spans="1:15">
      <c r="A711" t="s">
        <v>1177</v>
      </c>
      <c r="B711" s="3">
        <v>46264</v>
      </c>
      <c r="C711" t="s">
        <v>688</v>
      </c>
      <c r="D711" t="s">
        <v>56</v>
      </c>
      <c r="E711" t="s">
        <v>33</v>
      </c>
      <c r="F711" t="s">
        <v>96</v>
      </c>
      <c r="G711">
        <v>6</v>
      </c>
      <c r="H711" s="5">
        <v>4875.0600000000004</v>
      </c>
      <c r="I711" s="4">
        <v>0.1</v>
      </c>
      <c r="J711" s="5">
        <v>26325.32</v>
      </c>
      <c r="K711" s="5">
        <v>19815.240000000002</v>
      </c>
      <c r="L711" s="5">
        <v>6510.08</v>
      </c>
      <c r="M711" t="s">
        <v>35</v>
      </c>
      <c r="N711" t="s">
        <v>43</v>
      </c>
      <c r="O711" t="s">
        <v>44</v>
      </c>
    </row>
    <row r="712" spans="1:15">
      <c r="A712" t="s">
        <v>1178</v>
      </c>
      <c r="B712" s="3">
        <v>46005</v>
      </c>
      <c r="C712" t="s">
        <v>1179</v>
      </c>
      <c r="D712" t="s">
        <v>95</v>
      </c>
      <c r="E712" t="s">
        <v>61</v>
      </c>
      <c r="F712" t="s">
        <v>129</v>
      </c>
      <c r="G712">
        <v>1</v>
      </c>
      <c r="H712" s="5">
        <v>1906.97</v>
      </c>
      <c r="I712" s="4">
        <v>0</v>
      </c>
      <c r="J712" s="5">
        <v>1906.97</v>
      </c>
      <c r="K712" s="5">
        <v>1482.05</v>
      </c>
      <c r="L712" s="5">
        <v>424.92</v>
      </c>
      <c r="M712" t="s">
        <v>57</v>
      </c>
      <c r="N712" t="s">
        <v>63</v>
      </c>
      <c r="O712" t="s">
        <v>44</v>
      </c>
    </row>
    <row r="713" spans="1:15">
      <c r="A713" t="s">
        <v>1180</v>
      </c>
      <c r="B713" s="3">
        <v>45700</v>
      </c>
      <c r="C713" t="s">
        <v>665</v>
      </c>
      <c r="D713" t="s">
        <v>52</v>
      </c>
      <c r="E713" t="s">
        <v>61</v>
      </c>
      <c r="F713" t="s">
        <v>81</v>
      </c>
      <c r="G713">
        <v>1</v>
      </c>
      <c r="H713" s="5">
        <v>2152.13</v>
      </c>
      <c r="I713" s="4">
        <v>0.1</v>
      </c>
      <c r="J713" s="5">
        <v>1936.92</v>
      </c>
      <c r="K713" s="5">
        <v>1632.31</v>
      </c>
      <c r="L713" s="5">
        <v>304.61</v>
      </c>
      <c r="M713" t="s">
        <v>57</v>
      </c>
      <c r="N713" t="s">
        <v>36</v>
      </c>
      <c r="O713" t="s">
        <v>44</v>
      </c>
    </row>
    <row r="714" spans="1:15">
      <c r="A714" t="s">
        <v>1181</v>
      </c>
      <c r="B714" s="3">
        <v>46105</v>
      </c>
      <c r="C714" t="s">
        <v>155</v>
      </c>
      <c r="D714" t="s">
        <v>47</v>
      </c>
      <c r="E714" t="s">
        <v>41</v>
      </c>
      <c r="F714" t="s">
        <v>124</v>
      </c>
      <c r="G714">
        <v>1</v>
      </c>
      <c r="H714" s="5">
        <v>573.6</v>
      </c>
      <c r="I714" s="4">
        <v>0.2</v>
      </c>
      <c r="J714" s="5">
        <v>458.88</v>
      </c>
      <c r="K714" s="5">
        <v>269.92</v>
      </c>
      <c r="L714" s="5">
        <v>188.96</v>
      </c>
      <c r="M714" t="s">
        <v>35</v>
      </c>
      <c r="N714" t="s">
        <v>43</v>
      </c>
      <c r="O714" t="s">
        <v>44</v>
      </c>
    </row>
    <row r="715" spans="1:15">
      <c r="A715" t="s">
        <v>1182</v>
      </c>
      <c r="B715" s="3">
        <v>46149</v>
      </c>
      <c r="C715" t="s">
        <v>1073</v>
      </c>
      <c r="D715" t="s">
        <v>74</v>
      </c>
      <c r="E715" t="s">
        <v>33</v>
      </c>
      <c r="F715" t="s">
        <v>92</v>
      </c>
      <c r="G715">
        <v>2</v>
      </c>
      <c r="H715" s="5">
        <v>4233.1400000000003</v>
      </c>
      <c r="I715" s="4">
        <v>0.05</v>
      </c>
      <c r="J715" s="5">
        <v>8042.97</v>
      </c>
      <c r="K715" s="5">
        <v>6646.35</v>
      </c>
      <c r="L715" s="5">
        <v>1396.62</v>
      </c>
      <c r="M715" t="s">
        <v>57</v>
      </c>
      <c r="N715" t="s">
        <v>36</v>
      </c>
      <c r="O715" t="s">
        <v>37</v>
      </c>
    </row>
    <row r="716" spans="1:15">
      <c r="A716" t="s">
        <v>1183</v>
      </c>
      <c r="B716" s="3">
        <v>45705</v>
      </c>
      <c r="C716" t="s">
        <v>1184</v>
      </c>
      <c r="D716" t="s">
        <v>40</v>
      </c>
      <c r="E716" t="s">
        <v>33</v>
      </c>
      <c r="F716" t="s">
        <v>34</v>
      </c>
      <c r="G716">
        <v>2</v>
      </c>
      <c r="H716" s="5">
        <v>1089.05</v>
      </c>
      <c r="I716" s="4">
        <v>0.05</v>
      </c>
      <c r="J716" s="5">
        <v>2069.19</v>
      </c>
      <c r="K716" s="5">
        <v>1686.33</v>
      </c>
      <c r="L716" s="5">
        <v>382.86</v>
      </c>
      <c r="M716" t="s">
        <v>57</v>
      </c>
      <c r="N716" t="s">
        <v>36</v>
      </c>
      <c r="O716" t="s">
        <v>37</v>
      </c>
    </row>
    <row r="717" spans="1:15">
      <c r="A717" t="s">
        <v>1185</v>
      </c>
      <c r="B717" s="3">
        <v>45668</v>
      </c>
      <c r="C717" t="s">
        <v>296</v>
      </c>
      <c r="D717" t="s">
        <v>95</v>
      </c>
      <c r="E717" t="s">
        <v>61</v>
      </c>
      <c r="F717" t="s">
        <v>129</v>
      </c>
      <c r="G717">
        <v>4</v>
      </c>
      <c r="H717" s="5">
        <v>1397.77</v>
      </c>
      <c r="I717" s="4">
        <v>0.05</v>
      </c>
      <c r="J717" s="5">
        <v>5311.53</v>
      </c>
      <c r="K717" s="5">
        <v>3604.35</v>
      </c>
      <c r="L717" s="5">
        <v>1707.18</v>
      </c>
      <c r="M717" t="s">
        <v>57</v>
      </c>
      <c r="N717" t="s">
        <v>71</v>
      </c>
      <c r="O717" t="s">
        <v>44</v>
      </c>
    </row>
    <row r="718" spans="1:15">
      <c r="A718" t="s">
        <v>1186</v>
      </c>
      <c r="B718" s="3">
        <v>46135</v>
      </c>
      <c r="C718" t="s">
        <v>1187</v>
      </c>
      <c r="D718" t="s">
        <v>47</v>
      </c>
      <c r="E718" t="s">
        <v>41</v>
      </c>
      <c r="F718" t="s">
        <v>42</v>
      </c>
      <c r="G718">
        <v>3</v>
      </c>
      <c r="H718" s="5">
        <v>4382.97</v>
      </c>
      <c r="I718" s="4">
        <v>0</v>
      </c>
      <c r="J718" s="5">
        <v>13148.91</v>
      </c>
      <c r="K718" s="5">
        <v>7866.77</v>
      </c>
      <c r="L718" s="5">
        <v>5282.14</v>
      </c>
      <c r="M718" t="s">
        <v>57</v>
      </c>
      <c r="N718" t="s">
        <v>36</v>
      </c>
      <c r="O718" t="s">
        <v>44</v>
      </c>
    </row>
    <row r="719" spans="1:15">
      <c r="A719" t="s">
        <v>1188</v>
      </c>
      <c r="B719" s="3">
        <v>45731</v>
      </c>
      <c r="C719" t="s">
        <v>725</v>
      </c>
      <c r="D719" t="s">
        <v>60</v>
      </c>
      <c r="E719" t="s">
        <v>61</v>
      </c>
      <c r="F719" t="s">
        <v>81</v>
      </c>
      <c r="G719">
        <v>6</v>
      </c>
      <c r="H719" s="5">
        <v>3849.89</v>
      </c>
      <c r="I719" s="4">
        <v>0</v>
      </c>
      <c r="J719" s="5">
        <v>23099.34</v>
      </c>
      <c r="K719" s="5">
        <v>15568.58</v>
      </c>
      <c r="L719" s="5">
        <v>7530.76</v>
      </c>
      <c r="M719" t="s">
        <v>35</v>
      </c>
      <c r="N719" t="s">
        <v>71</v>
      </c>
      <c r="O719" t="s">
        <v>44</v>
      </c>
    </row>
    <row r="720" spans="1:15">
      <c r="A720" t="s">
        <v>1189</v>
      </c>
      <c r="B720" s="3">
        <v>46083</v>
      </c>
      <c r="C720" t="s">
        <v>1190</v>
      </c>
      <c r="D720" t="s">
        <v>52</v>
      </c>
      <c r="E720" t="s">
        <v>41</v>
      </c>
      <c r="F720" t="s">
        <v>153</v>
      </c>
      <c r="G720">
        <v>3</v>
      </c>
      <c r="H720" s="5">
        <v>3865.73</v>
      </c>
      <c r="I720" s="4">
        <v>0.05</v>
      </c>
      <c r="J720" s="5">
        <v>11017.33</v>
      </c>
      <c r="K720" s="5">
        <v>6728.2</v>
      </c>
      <c r="L720" s="5">
        <v>4289.13</v>
      </c>
      <c r="M720" t="s">
        <v>57</v>
      </c>
      <c r="N720" t="s">
        <v>63</v>
      </c>
      <c r="O720" t="s">
        <v>44</v>
      </c>
    </row>
    <row r="721" spans="1:15">
      <c r="A721" t="s">
        <v>1191</v>
      </c>
      <c r="B721" s="3">
        <v>45697</v>
      </c>
      <c r="C721" t="s">
        <v>157</v>
      </c>
      <c r="D721" t="s">
        <v>52</v>
      </c>
      <c r="E721" t="s">
        <v>33</v>
      </c>
      <c r="F721" t="s">
        <v>92</v>
      </c>
      <c r="G721">
        <v>6</v>
      </c>
      <c r="H721" s="5">
        <v>243.72</v>
      </c>
      <c r="I721" s="4">
        <v>0.2</v>
      </c>
      <c r="J721" s="5">
        <v>1169.8599999999999</v>
      </c>
      <c r="K721" s="5">
        <v>684.61</v>
      </c>
      <c r="L721" s="5">
        <v>485.25</v>
      </c>
      <c r="M721" t="s">
        <v>35</v>
      </c>
      <c r="N721" t="s">
        <v>63</v>
      </c>
      <c r="O721" t="s">
        <v>44</v>
      </c>
    </row>
    <row r="722" spans="1:15">
      <c r="A722" t="s">
        <v>1192</v>
      </c>
      <c r="B722" s="3">
        <v>46199</v>
      </c>
      <c r="C722" t="s">
        <v>452</v>
      </c>
      <c r="D722" t="s">
        <v>74</v>
      </c>
      <c r="E722" t="s">
        <v>41</v>
      </c>
      <c r="F722" t="s">
        <v>53</v>
      </c>
      <c r="G722">
        <v>1</v>
      </c>
      <c r="H722" s="5">
        <v>1623.24</v>
      </c>
      <c r="I722" s="4">
        <v>0.05</v>
      </c>
      <c r="J722" s="5">
        <v>1542.08</v>
      </c>
      <c r="K722" s="5">
        <v>1292.73</v>
      </c>
      <c r="L722" s="5">
        <v>249.35</v>
      </c>
      <c r="M722" t="s">
        <v>35</v>
      </c>
      <c r="N722" t="s">
        <v>43</v>
      </c>
      <c r="O722" t="s">
        <v>44</v>
      </c>
    </row>
    <row r="723" spans="1:15">
      <c r="A723" t="s">
        <v>1193</v>
      </c>
      <c r="B723" s="3">
        <v>45913</v>
      </c>
      <c r="C723" t="s">
        <v>859</v>
      </c>
      <c r="D723" t="s">
        <v>52</v>
      </c>
      <c r="E723" t="s">
        <v>48</v>
      </c>
      <c r="F723" t="s">
        <v>102</v>
      </c>
      <c r="G723">
        <v>2</v>
      </c>
      <c r="H723" s="5">
        <v>5133.07</v>
      </c>
      <c r="I723" s="4">
        <v>0.15</v>
      </c>
      <c r="J723" s="5">
        <v>8726.2199999999993</v>
      </c>
      <c r="K723" s="5">
        <v>6657.36</v>
      </c>
      <c r="L723" s="5">
        <v>2068.86</v>
      </c>
      <c r="M723" t="s">
        <v>35</v>
      </c>
      <c r="N723" t="s">
        <v>71</v>
      </c>
      <c r="O723" t="s">
        <v>44</v>
      </c>
    </row>
    <row r="724" spans="1:15">
      <c r="A724" t="s">
        <v>1194</v>
      </c>
      <c r="B724" s="3">
        <v>46017</v>
      </c>
      <c r="C724" t="s">
        <v>1195</v>
      </c>
      <c r="D724" t="s">
        <v>66</v>
      </c>
      <c r="E724" t="s">
        <v>33</v>
      </c>
      <c r="F724" t="s">
        <v>92</v>
      </c>
      <c r="G724">
        <v>6</v>
      </c>
      <c r="H724" s="5">
        <v>3907.02</v>
      </c>
      <c r="I724" s="4">
        <v>0.15</v>
      </c>
      <c r="J724" s="5">
        <v>19925.8</v>
      </c>
      <c r="K724" s="5">
        <v>13914.09</v>
      </c>
      <c r="L724" s="5">
        <v>6011.71</v>
      </c>
      <c r="M724" t="s">
        <v>57</v>
      </c>
      <c r="N724" t="s">
        <v>43</v>
      </c>
      <c r="O724" t="s">
        <v>44</v>
      </c>
    </row>
    <row r="725" spans="1:15">
      <c r="A725" t="s">
        <v>1196</v>
      </c>
      <c r="B725" s="3">
        <v>46213</v>
      </c>
      <c r="C725" t="s">
        <v>1195</v>
      </c>
      <c r="D725" t="s">
        <v>40</v>
      </c>
      <c r="E725" t="s">
        <v>33</v>
      </c>
      <c r="F725" t="s">
        <v>92</v>
      </c>
      <c r="G725">
        <v>4</v>
      </c>
      <c r="H725" s="5">
        <v>4847.2299999999996</v>
      </c>
      <c r="I725" s="4">
        <v>0.2</v>
      </c>
      <c r="J725" s="5">
        <v>15511.14</v>
      </c>
      <c r="K725" s="5">
        <v>11423.14</v>
      </c>
      <c r="L725" s="5">
        <v>4088</v>
      </c>
      <c r="M725" t="s">
        <v>57</v>
      </c>
      <c r="N725" t="s">
        <v>63</v>
      </c>
      <c r="O725" t="s">
        <v>37</v>
      </c>
    </row>
    <row r="726" spans="1:15">
      <c r="A726" t="s">
        <v>1197</v>
      </c>
      <c r="B726" s="3">
        <v>45742</v>
      </c>
      <c r="C726" t="s">
        <v>482</v>
      </c>
      <c r="D726" t="s">
        <v>56</v>
      </c>
      <c r="E726" t="s">
        <v>48</v>
      </c>
      <c r="F726" t="s">
        <v>102</v>
      </c>
      <c r="G726">
        <v>5</v>
      </c>
      <c r="H726" s="5">
        <v>1448.02</v>
      </c>
      <c r="I726" s="4">
        <v>0.05</v>
      </c>
      <c r="J726" s="5">
        <v>6878.1</v>
      </c>
      <c r="K726" s="5">
        <v>4580.2299999999996</v>
      </c>
      <c r="L726" s="5">
        <v>2297.87</v>
      </c>
      <c r="M726" t="s">
        <v>57</v>
      </c>
      <c r="N726" t="s">
        <v>71</v>
      </c>
      <c r="O726" t="s">
        <v>44</v>
      </c>
    </row>
    <row r="727" spans="1:15">
      <c r="A727" t="s">
        <v>1198</v>
      </c>
      <c r="B727" s="3">
        <v>45836</v>
      </c>
      <c r="C727" t="s">
        <v>1116</v>
      </c>
      <c r="D727" t="s">
        <v>74</v>
      </c>
      <c r="E727" t="s">
        <v>41</v>
      </c>
      <c r="F727" t="s">
        <v>42</v>
      </c>
      <c r="G727">
        <v>1</v>
      </c>
      <c r="H727" s="5">
        <v>4604.76</v>
      </c>
      <c r="I727" s="4">
        <v>0</v>
      </c>
      <c r="J727" s="5">
        <v>4604.76</v>
      </c>
      <c r="K727" s="5">
        <v>2900.77</v>
      </c>
      <c r="L727" s="5">
        <v>1703.99</v>
      </c>
      <c r="M727" t="s">
        <v>35</v>
      </c>
      <c r="N727" t="s">
        <v>36</v>
      </c>
      <c r="O727" t="s">
        <v>37</v>
      </c>
    </row>
    <row r="728" spans="1:15">
      <c r="A728" t="s">
        <v>1199</v>
      </c>
      <c r="B728" s="3">
        <v>46022</v>
      </c>
      <c r="C728" t="s">
        <v>234</v>
      </c>
      <c r="D728" t="s">
        <v>40</v>
      </c>
      <c r="E728" t="s">
        <v>41</v>
      </c>
      <c r="F728" t="s">
        <v>153</v>
      </c>
      <c r="G728">
        <v>4</v>
      </c>
      <c r="H728" s="5">
        <v>3724.5</v>
      </c>
      <c r="I728" s="4">
        <v>0.2</v>
      </c>
      <c r="J728" s="5">
        <v>11918.4</v>
      </c>
      <c r="K728" s="5">
        <v>7493.1</v>
      </c>
      <c r="L728" s="5">
        <v>4425.3</v>
      </c>
      <c r="M728" t="s">
        <v>57</v>
      </c>
      <c r="N728" t="s">
        <v>71</v>
      </c>
      <c r="O728" t="s">
        <v>44</v>
      </c>
    </row>
    <row r="729" spans="1:15">
      <c r="A729" t="s">
        <v>1200</v>
      </c>
      <c r="B729" s="3">
        <v>45695</v>
      </c>
      <c r="C729" t="s">
        <v>1201</v>
      </c>
      <c r="D729" t="s">
        <v>56</v>
      </c>
      <c r="E729" t="s">
        <v>41</v>
      </c>
      <c r="F729" t="s">
        <v>53</v>
      </c>
      <c r="G729">
        <v>5</v>
      </c>
      <c r="H729" s="5">
        <v>3422.88</v>
      </c>
      <c r="I729" s="4">
        <v>0.1</v>
      </c>
      <c r="J729" s="5">
        <v>15402.96</v>
      </c>
      <c r="K729" s="5">
        <v>10940.71</v>
      </c>
      <c r="L729" s="5">
        <v>4462.25</v>
      </c>
      <c r="M729" t="s">
        <v>57</v>
      </c>
      <c r="N729" t="s">
        <v>36</v>
      </c>
      <c r="O729" t="s">
        <v>44</v>
      </c>
    </row>
    <row r="730" spans="1:15">
      <c r="A730" t="s">
        <v>1202</v>
      </c>
      <c r="B730" s="3">
        <v>45970</v>
      </c>
      <c r="C730" t="s">
        <v>1203</v>
      </c>
      <c r="D730" t="s">
        <v>66</v>
      </c>
      <c r="E730" t="s">
        <v>41</v>
      </c>
      <c r="F730" t="s">
        <v>119</v>
      </c>
      <c r="G730">
        <v>1</v>
      </c>
      <c r="H730" s="5">
        <v>630.54</v>
      </c>
      <c r="I730" s="4">
        <v>0.05</v>
      </c>
      <c r="J730" s="5">
        <v>599.01</v>
      </c>
      <c r="K730" s="5">
        <v>366</v>
      </c>
      <c r="L730" s="5">
        <v>233.01</v>
      </c>
      <c r="M730" t="s">
        <v>57</v>
      </c>
      <c r="N730" t="s">
        <v>43</v>
      </c>
      <c r="O730" t="s">
        <v>37</v>
      </c>
    </row>
    <row r="731" spans="1:15">
      <c r="A731" t="s">
        <v>1204</v>
      </c>
      <c r="B731" s="3">
        <v>45764</v>
      </c>
      <c r="C731" t="s">
        <v>427</v>
      </c>
      <c r="D731" t="s">
        <v>60</v>
      </c>
      <c r="E731" t="s">
        <v>33</v>
      </c>
      <c r="F731" t="s">
        <v>92</v>
      </c>
      <c r="G731">
        <v>2</v>
      </c>
      <c r="H731" s="5">
        <v>4224.55</v>
      </c>
      <c r="I731" s="4">
        <v>0</v>
      </c>
      <c r="J731" s="5">
        <v>8449.1</v>
      </c>
      <c r="K731" s="5">
        <v>5211.57</v>
      </c>
      <c r="L731" s="5">
        <v>3237.53</v>
      </c>
      <c r="M731" t="s">
        <v>57</v>
      </c>
      <c r="N731" t="s">
        <v>71</v>
      </c>
      <c r="O731" t="s">
        <v>44</v>
      </c>
    </row>
    <row r="732" spans="1:15">
      <c r="A732" t="s">
        <v>1205</v>
      </c>
      <c r="B732" s="3">
        <v>46115</v>
      </c>
      <c r="C732" t="s">
        <v>897</v>
      </c>
      <c r="D732" t="s">
        <v>47</v>
      </c>
      <c r="E732" t="s">
        <v>41</v>
      </c>
      <c r="F732" t="s">
        <v>124</v>
      </c>
      <c r="G732">
        <v>6</v>
      </c>
      <c r="H732" s="5">
        <v>2477.37</v>
      </c>
      <c r="I732" s="4">
        <v>0.1</v>
      </c>
      <c r="J732" s="5">
        <v>13377.8</v>
      </c>
      <c r="K732" s="5">
        <v>8589.36</v>
      </c>
      <c r="L732" s="5">
        <v>4788.4399999999996</v>
      </c>
      <c r="M732" t="s">
        <v>35</v>
      </c>
      <c r="N732" t="s">
        <v>43</v>
      </c>
      <c r="O732" t="s">
        <v>44</v>
      </c>
    </row>
    <row r="733" spans="1:15">
      <c r="A733" t="s">
        <v>1206</v>
      </c>
      <c r="B733" s="3">
        <v>46097</v>
      </c>
      <c r="C733" t="s">
        <v>273</v>
      </c>
      <c r="D733" t="s">
        <v>56</v>
      </c>
      <c r="E733" t="s">
        <v>33</v>
      </c>
      <c r="F733" t="s">
        <v>176</v>
      </c>
      <c r="G733">
        <v>6</v>
      </c>
      <c r="H733" s="5">
        <v>4461.6899999999996</v>
      </c>
      <c r="I733" s="4">
        <v>0</v>
      </c>
      <c r="J733" s="5">
        <v>26770.14</v>
      </c>
      <c r="K733" s="5">
        <v>21012.9</v>
      </c>
      <c r="L733" s="5">
        <v>5757.24</v>
      </c>
      <c r="M733" t="s">
        <v>35</v>
      </c>
      <c r="N733" t="s">
        <v>36</v>
      </c>
      <c r="O733" t="s">
        <v>37</v>
      </c>
    </row>
    <row r="734" spans="1:15">
      <c r="A734" t="s">
        <v>1207</v>
      </c>
      <c r="B734" s="3">
        <v>45929</v>
      </c>
      <c r="C734" t="s">
        <v>215</v>
      </c>
      <c r="D734" t="s">
        <v>47</v>
      </c>
      <c r="E734" t="s">
        <v>61</v>
      </c>
      <c r="F734" t="s">
        <v>81</v>
      </c>
      <c r="G734">
        <v>2</v>
      </c>
      <c r="H734" s="5">
        <v>3483.35</v>
      </c>
      <c r="I734" s="4">
        <v>0</v>
      </c>
      <c r="J734" s="5">
        <v>6966.7</v>
      </c>
      <c r="K734" s="5">
        <v>5027.79</v>
      </c>
      <c r="L734" s="5">
        <v>1938.91</v>
      </c>
      <c r="M734" t="s">
        <v>35</v>
      </c>
      <c r="N734" t="s">
        <v>71</v>
      </c>
      <c r="O734" t="s">
        <v>44</v>
      </c>
    </row>
    <row r="735" spans="1:15">
      <c r="A735" t="s">
        <v>1208</v>
      </c>
      <c r="B735" s="3">
        <v>45901</v>
      </c>
      <c r="C735" t="s">
        <v>152</v>
      </c>
      <c r="D735" t="s">
        <v>66</v>
      </c>
      <c r="E735" t="s">
        <v>33</v>
      </c>
      <c r="F735" t="s">
        <v>176</v>
      </c>
      <c r="G735">
        <v>2</v>
      </c>
      <c r="H735" s="5">
        <v>4340.07</v>
      </c>
      <c r="I735" s="4">
        <v>0</v>
      </c>
      <c r="J735" s="5">
        <v>8680.14</v>
      </c>
      <c r="K735" s="5">
        <v>7377.85</v>
      </c>
      <c r="L735" s="5">
        <v>1302.29</v>
      </c>
      <c r="M735" t="s">
        <v>57</v>
      </c>
      <c r="N735" t="s">
        <v>71</v>
      </c>
      <c r="O735" t="s">
        <v>44</v>
      </c>
    </row>
    <row r="736" spans="1:15">
      <c r="A736" t="s">
        <v>1209</v>
      </c>
      <c r="B736" s="3">
        <v>45954</v>
      </c>
      <c r="C736" t="s">
        <v>1210</v>
      </c>
      <c r="D736" t="s">
        <v>60</v>
      </c>
      <c r="E736" t="s">
        <v>48</v>
      </c>
      <c r="F736" t="s">
        <v>49</v>
      </c>
      <c r="G736">
        <v>4</v>
      </c>
      <c r="H736" s="5">
        <v>4862.43</v>
      </c>
      <c r="I736" s="4">
        <v>0.15</v>
      </c>
      <c r="J736" s="5">
        <v>16532.259999999998</v>
      </c>
      <c r="K736" s="5">
        <v>10889.95</v>
      </c>
      <c r="L736" s="5">
        <v>5642.31</v>
      </c>
      <c r="M736" t="s">
        <v>57</v>
      </c>
      <c r="N736" t="s">
        <v>36</v>
      </c>
      <c r="O736" t="s">
        <v>44</v>
      </c>
    </row>
    <row r="737" spans="1:15">
      <c r="A737" t="s">
        <v>1211</v>
      </c>
      <c r="B737" s="3">
        <v>46235</v>
      </c>
      <c r="C737" t="s">
        <v>433</v>
      </c>
      <c r="D737" t="s">
        <v>52</v>
      </c>
      <c r="E737" t="s">
        <v>33</v>
      </c>
      <c r="F737" t="s">
        <v>176</v>
      </c>
      <c r="G737">
        <v>1</v>
      </c>
      <c r="H737" s="5">
        <v>1789.37</v>
      </c>
      <c r="I737" s="4">
        <v>0</v>
      </c>
      <c r="J737" s="5">
        <v>1789.37</v>
      </c>
      <c r="K737" s="5">
        <v>1148.31</v>
      </c>
      <c r="L737" s="5">
        <v>641.05999999999995</v>
      </c>
      <c r="M737" t="s">
        <v>57</v>
      </c>
      <c r="N737" t="s">
        <v>36</v>
      </c>
      <c r="O737" t="s">
        <v>37</v>
      </c>
    </row>
    <row r="738" spans="1:15">
      <c r="A738" t="s">
        <v>1212</v>
      </c>
      <c r="B738" s="3">
        <v>45819</v>
      </c>
      <c r="C738" t="s">
        <v>484</v>
      </c>
      <c r="E738" t="s">
        <v>48</v>
      </c>
      <c r="F738" t="s">
        <v>102</v>
      </c>
      <c r="G738">
        <v>2</v>
      </c>
      <c r="H738" s="5">
        <v>5397.99</v>
      </c>
      <c r="I738" s="4">
        <v>0</v>
      </c>
      <c r="J738" s="5">
        <v>10795.98</v>
      </c>
      <c r="K738" s="5">
        <v>7840.79</v>
      </c>
      <c r="L738" s="5">
        <v>2955.19</v>
      </c>
      <c r="M738" t="s">
        <v>35</v>
      </c>
      <c r="N738" t="s">
        <v>43</v>
      </c>
      <c r="O738" t="s">
        <v>44</v>
      </c>
    </row>
    <row r="739" spans="1:15">
      <c r="A739" t="s">
        <v>1213</v>
      </c>
      <c r="B739" s="3">
        <v>46137</v>
      </c>
      <c r="C739" t="s">
        <v>1214</v>
      </c>
      <c r="D739" t="s">
        <v>60</v>
      </c>
      <c r="E739" t="s">
        <v>61</v>
      </c>
      <c r="F739" t="s">
        <v>89</v>
      </c>
      <c r="G739">
        <v>4</v>
      </c>
      <c r="H739" s="5">
        <v>3999.67</v>
      </c>
      <c r="I739" s="4">
        <v>0.2</v>
      </c>
      <c r="J739" s="5">
        <v>12798.94</v>
      </c>
      <c r="K739" s="5">
        <v>10116.629999999999</v>
      </c>
      <c r="L739" s="5">
        <v>2682.31</v>
      </c>
      <c r="M739" t="s">
        <v>57</v>
      </c>
      <c r="N739" t="s">
        <v>36</v>
      </c>
      <c r="O739" t="s">
        <v>44</v>
      </c>
    </row>
    <row r="740" spans="1:15">
      <c r="A740" t="s">
        <v>1215</v>
      </c>
      <c r="B740" s="3">
        <v>45807</v>
      </c>
      <c r="C740" t="s">
        <v>791</v>
      </c>
      <c r="D740" t="s">
        <v>134</v>
      </c>
      <c r="E740" t="s">
        <v>41</v>
      </c>
      <c r="F740" t="s">
        <v>119</v>
      </c>
      <c r="G740">
        <v>2</v>
      </c>
      <c r="H740" s="5">
        <v>923.29</v>
      </c>
      <c r="I740" s="4">
        <v>0.1</v>
      </c>
      <c r="J740" s="5">
        <v>1661.92</v>
      </c>
      <c r="K740" s="5">
        <v>1374.57</v>
      </c>
      <c r="L740" s="5">
        <v>287.35000000000002</v>
      </c>
      <c r="M740" t="s">
        <v>57</v>
      </c>
      <c r="N740" t="s">
        <v>36</v>
      </c>
      <c r="O740" t="s">
        <v>37</v>
      </c>
    </row>
    <row r="741" spans="1:15">
      <c r="A741" t="s">
        <v>1216</v>
      </c>
      <c r="B741" s="3">
        <v>46081</v>
      </c>
      <c r="C741" t="s">
        <v>433</v>
      </c>
      <c r="D741" t="s">
        <v>66</v>
      </c>
      <c r="E741" t="s">
        <v>33</v>
      </c>
      <c r="F741" t="s">
        <v>176</v>
      </c>
      <c r="G741">
        <v>6</v>
      </c>
      <c r="H741" s="5">
        <v>199.23</v>
      </c>
      <c r="I741" s="4">
        <v>0.15</v>
      </c>
      <c r="J741" s="5">
        <v>1016.07</v>
      </c>
      <c r="K741" s="5">
        <v>636.88</v>
      </c>
      <c r="L741" s="5">
        <v>379.19</v>
      </c>
      <c r="M741" t="s">
        <v>35</v>
      </c>
      <c r="N741" t="s">
        <v>71</v>
      </c>
      <c r="O741" t="s">
        <v>37</v>
      </c>
    </row>
    <row r="742" spans="1:15">
      <c r="A742" t="s">
        <v>1217</v>
      </c>
      <c r="B742" s="3">
        <v>46118</v>
      </c>
      <c r="C742" t="s">
        <v>243</v>
      </c>
      <c r="D742" t="s">
        <v>95</v>
      </c>
      <c r="E742" t="s">
        <v>61</v>
      </c>
      <c r="F742" t="s">
        <v>89</v>
      </c>
      <c r="G742">
        <v>4</v>
      </c>
      <c r="H742" s="5">
        <v>1564.76</v>
      </c>
      <c r="I742" s="4">
        <v>0</v>
      </c>
      <c r="J742" s="5">
        <v>6259.04</v>
      </c>
      <c r="K742" s="5">
        <v>4497.8</v>
      </c>
      <c r="L742" s="5">
        <v>1761.24</v>
      </c>
      <c r="M742" t="s">
        <v>35</v>
      </c>
      <c r="N742" t="s">
        <v>43</v>
      </c>
      <c r="O742" t="s">
        <v>44</v>
      </c>
    </row>
    <row r="743" spans="1:15">
      <c r="A743" t="s">
        <v>1218</v>
      </c>
      <c r="B743" s="3">
        <v>45703</v>
      </c>
      <c r="C743" t="s">
        <v>1219</v>
      </c>
      <c r="D743" t="s">
        <v>74</v>
      </c>
      <c r="E743" t="s">
        <v>48</v>
      </c>
      <c r="F743" t="s">
        <v>70</v>
      </c>
      <c r="G743">
        <v>6</v>
      </c>
      <c r="H743" s="5">
        <v>3696.09</v>
      </c>
      <c r="I743" s="4">
        <v>0.1</v>
      </c>
      <c r="J743" s="5">
        <v>19958.89</v>
      </c>
      <c r="K743" s="5">
        <v>12469.87</v>
      </c>
      <c r="L743" s="5">
        <v>7489.02</v>
      </c>
      <c r="M743" t="s">
        <v>57</v>
      </c>
      <c r="N743" t="s">
        <v>36</v>
      </c>
      <c r="O743" t="s">
        <v>44</v>
      </c>
    </row>
    <row r="744" spans="1:15">
      <c r="A744" t="s">
        <v>1220</v>
      </c>
      <c r="B744" s="3">
        <v>45982</v>
      </c>
      <c r="C744" t="s">
        <v>51</v>
      </c>
      <c r="D744" t="s">
        <v>52</v>
      </c>
      <c r="E744" t="s">
        <v>41</v>
      </c>
      <c r="F744" t="s">
        <v>153</v>
      </c>
      <c r="G744">
        <v>6</v>
      </c>
      <c r="H744" s="5">
        <v>3311.98</v>
      </c>
      <c r="I744" s="4">
        <v>0.05</v>
      </c>
      <c r="J744" s="5">
        <v>18878.29</v>
      </c>
      <c r="K744" s="5">
        <v>12130.91</v>
      </c>
      <c r="L744" s="5">
        <v>6747.38</v>
      </c>
      <c r="M744" t="s">
        <v>35</v>
      </c>
      <c r="N744" t="s">
        <v>63</v>
      </c>
      <c r="O744" t="s">
        <v>37</v>
      </c>
    </row>
    <row r="745" spans="1:15">
      <c r="A745" t="s">
        <v>1221</v>
      </c>
      <c r="B745" s="3">
        <v>45661</v>
      </c>
      <c r="C745" t="s">
        <v>267</v>
      </c>
      <c r="D745" t="s">
        <v>47</v>
      </c>
      <c r="E745" t="s">
        <v>61</v>
      </c>
      <c r="F745" t="s">
        <v>129</v>
      </c>
      <c r="G745">
        <v>4</v>
      </c>
      <c r="H745" s="5">
        <v>3873.18</v>
      </c>
      <c r="I745" s="4">
        <v>0.2</v>
      </c>
      <c r="J745" s="5">
        <v>12394.18</v>
      </c>
      <c r="K745" s="5">
        <v>10444.83</v>
      </c>
      <c r="L745" s="5">
        <v>1949.35</v>
      </c>
      <c r="M745" t="s">
        <v>57</v>
      </c>
      <c r="N745" t="s">
        <v>71</v>
      </c>
      <c r="O745" t="s">
        <v>44</v>
      </c>
    </row>
    <row r="746" spans="1:15">
      <c r="A746" t="s">
        <v>1222</v>
      </c>
      <c r="B746" s="3">
        <v>45835</v>
      </c>
      <c r="C746" t="s">
        <v>199</v>
      </c>
      <c r="D746" t="s">
        <v>60</v>
      </c>
      <c r="E746" t="s">
        <v>33</v>
      </c>
      <c r="F746" t="s">
        <v>92</v>
      </c>
      <c r="G746">
        <v>2</v>
      </c>
      <c r="H746" s="5">
        <v>794.41</v>
      </c>
      <c r="I746" s="4">
        <v>0</v>
      </c>
      <c r="J746" s="5">
        <v>1588.82</v>
      </c>
      <c r="K746" s="5">
        <v>1192.76</v>
      </c>
      <c r="L746" s="5">
        <v>396.06</v>
      </c>
      <c r="M746" t="s">
        <v>57</v>
      </c>
      <c r="N746" t="s">
        <v>43</v>
      </c>
      <c r="O746" t="s">
        <v>44</v>
      </c>
    </row>
    <row r="747" spans="1:15">
      <c r="A747" t="s">
        <v>1223</v>
      </c>
      <c r="B747" s="3">
        <v>46027</v>
      </c>
      <c r="C747" t="s">
        <v>737</v>
      </c>
      <c r="D747" t="s">
        <v>134</v>
      </c>
      <c r="E747" t="s">
        <v>41</v>
      </c>
      <c r="F747" t="s">
        <v>42</v>
      </c>
      <c r="G747">
        <v>3</v>
      </c>
      <c r="H747" s="5">
        <v>481.3</v>
      </c>
      <c r="I747" s="4">
        <v>0</v>
      </c>
      <c r="J747" s="5">
        <v>1443.9</v>
      </c>
      <c r="K747" s="5">
        <v>1209.56</v>
      </c>
      <c r="L747" s="5">
        <v>234.34</v>
      </c>
      <c r="M747" t="s">
        <v>35</v>
      </c>
      <c r="N747" t="s">
        <v>43</v>
      </c>
      <c r="O747" t="s">
        <v>44</v>
      </c>
    </row>
    <row r="748" spans="1:15">
      <c r="A748" t="s">
        <v>1224</v>
      </c>
      <c r="B748" s="3">
        <v>45838</v>
      </c>
      <c r="C748" t="s">
        <v>234</v>
      </c>
      <c r="D748" t="s">
        <v>1045</v>
      </c>
      <c r="E748" t="s">
        <v>48</v>
      </c>
      <c r="F748" t="s">
        <v>70</v>
      </c>
      <c r="G748">
        <v>4</v>
      </c>
      <c r="H748" s="5">
        <v>1997.44</v>
      </c>
      <c r="I748" s="4">
        <v>0.1</v>
      </c>
      <c r="J748" s="5">
        <v>7190.78</v>
      </c>
      <c r="K748" s="5">
        <v>4566.91</v>
      </c>
      <c r="L748" s="5">
        <v>2623.87</v>
      </c>
      <c r="M748" t="s">
        <v>35</v>
      </c>
      <c r="N748" t="s">
        <v>63</v>
      </c>
      <c r="O748" t="s">
        <v>44</v>
      </c>
    </row>
    <row r="749" spans="1:15">
      <c r="A749" t="s">
        <v>1225</v>
      </c>
      <c r="B749" s="3">
        <v>46152</v>
      </c>
      <c r="C749" t="s">
        <v>545</v>
      </c>
      <c r="D749" t="s">
        <v>95</v>
      </c>
      <c r="E749" t="s">
        <v>61</v>
      </c>
      <c r="F749" t="s">
        <v>84</v>
      </c>
      <c r="G749">
        <v>6</v>
      </c>
      <c r="H749" s="5">
        <v>512.67999999999995</v>
      </c>
      <c r="I749" s="4">
        <v>0.05</v>
      </c>
      <c r="J749" s="5">
        <v>2922.28</v>
      </c>
      <c r="K749" s="5">
        <v>2241.25</v>
      </c>
      <c r="L749" s="5">
        <v>681.03</v>
      </c>
      <c r="M749" t="s">
        <v>57</v>
      </c>
      <c r="N749" t="s">
        <v>71</v>
      </c>
      <c r="O749" t="s">
        <v>44</v>
      </c>
    </row>
    <row r="750" spans="1:15">
      <c r="A750" t="s">
        <v>1226</v>
      </c>
      <c r="B750" s="3">
        <v>45843</v>
      </c>
      <c r="C750" t="s">
        <v>184</v>
      </c>
      <c r="D750" t="s">
        <v>32</v>
      </c>
      <c r="E750" t="s">
        <v>33</v>
      </c>
      <c r="F750" t="s">
        <v>67</v>
      </c>
      <c r="G750">
        <v>5</v>
      </c>
      <c r="H750" s="5">
        <v>3116.39</v>
      </c>
      <c r="I750" s="4">
        <v>0.1</v>
      </c>
      <c r="J750" s="5">
        <v>14023.75</v>
      </c>
      <c r="K750" s="5">
        <v>10164.879999999999</v>
      </c>
      <c r="L750" s="5">
        <v>3858.87</v>
      </c>
      <c r="M750" t="s">
        <v>35</v>
      </c>
      <c r="N750" t="s">
        <v>63</v>
      </c>
      <c r="O750" t="s">
        <v>44</v>
      </c>
    </row>
    <row r="751" spans="1:15">
      <c r="A751" t="s">
        <v>1227</v>
      </c>
      <c r="B751" s="3">
        <v>46107</v>
      </c>
      <c r="C751" t="s">
        <v>312</v>
      </c>
      <c r="D751" t="s">
        <v>66</v>
      </c>
      <c r="E751" t="s">
        <v>41</v>
      </c>
      <c r="F751" t="s">
        <v>153</v>
      </c>
      <c r="G751">
        <v>2</v>
      </c>
      <c r="H751" s="5">
        <v>1791.54</v>
      </c>
      <c r="I751" s="4">
        <v>0.1</v>
      </c>
      <c r="J751" s="5">
        <v>3224.77</v>
      </c>
      <c r="K751" s="5">
        <v>2554.83</v>
      </c>
      <c r="L751" s="5">
        <v>669.94</v>
      </c>
      <c r="M751" t="s">
        <v>35</v>
      </c>
      <c r="N751" t="s">
        <v>36</v>
      </c>
      <c r="O751" t="s">
        <v>44</v>
      </c>
    </row>
    <row r="752" spans="1:15">
      <c r="A752" t="s">
        <v>1228</v>
      </c>
      <c r="B752" s="3">
        <v>46048</v>
      </c>
      <c r="C752" t="s">
        <v>934</v>
      </c>
      <c r="D752" t="s">
        <v>74</v>
      </c>
      <c r="E752" t="s">
        <v>33</v>
      </c>
      <c r="F752" t="s">
        <v>92</v>
      </c>
      <c r="G752">
        <v>3</v>
      </c>
      <c r="H752" s="5">
        <v>2548.9499999999998</v>
      </c>
      <c r="I752" s="4">
        <v>0.15</v>
      </c>
      <c r="J752" s="5">
        <v>6499.82</v>
      </c>
      <c r="K752" s="5">
        <v>4537.76</v>
      </c>
      <c r="L752" s="5">
        <v>1962.06</v>
      </c>
      <c r="M752" t="s">
        <v>57</v>
      </c>
      <c r="N752" t="s">
        <v>43</v>
      </c>
      <c r="O752" t="s">
        <v>44</v>
      </c>
    </row>
    <row r="753" spans="1:15">
      <c r="A753" t="s">
        <v>1229</v>
      </c>
      <c r="B753" s="3">
        <v>45948</v>
      </c>
      <c r="C753" t="s">
        <v>161</v>
      </c>
      <c r="D753" t="s">
        <v>56</v>
      </c>
      <c r="E753" t="s">
        <v>61</v>
      </c>
      <c r="F753" t="s">
        <v>84</v>
      </c>
      <c r="G753">
        <v>5</v>
      </c>
      <c r="H753" s="5">
        <v>372.7</v>
      </c>
      <c r="I753" s="4">
        <v>0.2</v>
      </c>
      <c r="J753" s="5">
        <v>1490.8</v>
      </c>
      <c r="K753" s="5">
        <v>1023.78</v>
      </c>
      <c r="L753" s="5">
        <v>467.02</v>
      </c>
      <c r="M753" t="s">
        <v>57</v>
      </c>
      <c r="N753" t="s">
        <v>71</v>
      </c>
      <c r="O753" t="s">
        <v>44</v>
      </c>
    </row>
    <row r="754" spans="1:15">
      <c r="A754" t="s">
        <v>1230</v>
      </c>
      <c r="B754" s="3">
        <v>45930</v>
      </c>
      <c r="C754" t="s">
        <v>1231</v>
      </c>
      <c r="D754" t="s">
        <v>134</v>
      </c>
      <c r="E754" t="s">
        <v>48</v>
      </c>
      <c r="F754" t="s">
        <v>49</v>
      </c>
      <c r="G754">
        <v>5</v>
      </c>
      <c r="H754" s="5">
        <v>5423.58</v>
      </c>
      <c r="I754" s="4">
        <v>0</v>
      </c>
      <c r="J754" s="5">
        <v>27117.9</v>
      </c>
      <c r="K754" s="5">
        <v>20284.55</v>
      </c>
      <c r="L754" s="5">
        <v>6833.35</v>
      </c>
      <c r="M754" t="s">
        <v>35</v>
      </c>
      <c r="N754" t="s">
        <v>43</v>
      </c>
      <c r="O754" t="s">
        <v>44</v>
      </c>
    </row>
    <row r="755" spans="1:15">
      <c r="A755" t="s">
        <v>1232</v>
      </c>
      <c r="B755" s="3">
        <v>45938</v>
      </c>
      <c r="C755" t="s">
        <v>1203</v>
      </c>
      <c r="D755" t="s">
        <v>134</v>
      </c>
      <c r="E755" t="s">
        <v>41</v>
      </c>
      <c r="F755" t="s">
        <v>124</v>
      </c>
      <c r="G755">
        <v>2</v>
      </c>
      <c r="H755" s="5">
        <v>4573.13</v>
      </c>
      <c r="I755" s="4">
        <v>0.15</v>
      </c>
      <c r="J755" s="5">
        <v>7774.32</v>
      </c>
      <c r="K755" s="5">
        <v>4732.54</v>
      </c>
      <c r="L755" s="5">
        <v>3041.78</v>
      </c>
      <c r="M755" t="s">
        <v>35</v>
      </c>
      <c r="N755" t="s">
        <v>63</v>
      </c>
      <c r="O755" t="s">
        <v>44</v>
      </c>
    </row>
    <row r="756" spans="1:15">
      <c r="A756" t="s">
        <v>1233</v>
      </c>
      <c r="B756" s="3">
        <v>46147</v>
      </c>
      <c r="C756" t="s">
        <v>519</v>
      </c>
      <c r="D756" t="s">
        <v>56</v>
      </c>
      <c r="E756" t="s">
        <v>41</v>
      </c>
      <c r="F756" t="s">
        <v>124</v>
      </c>
      <c r="G756">
        <v>6</v>
      </c>
      <c r="H756" s="5">
        <v>380.6</v>
      </c>
      <c r="I756" s="4">
        <v>0.1</v>
      </c>
      <c r="J756" s="5">
        <v>2055.2399999999998</v>
      </c>
      <c r="K756" s="5">
        <v>1366.73</v>
      </c>
      <c r="L756" s="5">
        <v>688.51</v>
      </c>
      <c r="M756" t="s">
        <v>35</v>
      </c>
      <c r="N756" t="s">
        <v>36</v>
      </c>
      <c r="O756" t="s">
        <v>44</v>
      </c>
    </row>
    <row r="757" spans="1:15">
      <c r="A757" t="s">
        <v>1234</v>
      </c>
      <c r="B757" s="3">
        <v>45996</v>
      </c>
      <c r="C757" t="s">
        <v>1083</v>
      </c>
      <c r="E757" t="s">
        <v>33</v>
      </c>
      <c r="F757" t="s">
        <v>176</v>
      </c>
      <c r="G757">
        <v>4</v>
      </c>
      <c r="H757" s="5">
        <v>272.55</v>
      </c>
      <c r="I757" s="4">
        <v>0</v>
      </c>
      <c r="J757" s="5">
        <v>1090.2</v>
      </c>
      <c r="K757" s="5">
        <v>877.37</v>
      </c>
      <c r="L757" s="5">
        <v>212.83</v>
      </c>
      <c r="M757" t="s">
        <v>57</v>
      </c>
      <c r="N757" t="s">
        <v>71</v>
      </c>
      <c r="O757" t="s">
        <v>37</v>
      </c>
    </row>
    <row r="758" spans="1:15">
      <c r="A758" t="s">
        <v>1235</v>
      </c>
      <c r="B758" s="3">
        <v>46083</v>
      </c>
      <c r="C758" t="s">
        <v>638</v>
      </c>
      <c r="D758" t="s">
        <v>52</v>
      </c>
      <c r="E758" t="s">
        <v>41</v>
      </c>
      <c r="F758" t="s">
        <v>119</v>
      </c>
      <c r="G758">
        <v>6</v>
      </c>
      <c r="H758" s="5">
        <v>4789.75</v>
      </c>
      <c r="I758" s="4">
        <v>0.05</v>
      </c>
      <c r="J758" s="5">
        <v>27301.57</v>
      </c>
      <c r="K758" s="5">
        <v>15913.97</v>
      </c>
      <c r="L758" s="5">
        <v>11387.6</v>
      </c>
      <c r="M758" t="s">
        <v>57</v>
      </c>
      <c r="N758" t="s">
        <v>43</v>
      </c>
      <c r="O758" t="s">
        <v>37</v>
      </c>
    </row>
    <row r="759" spans="1:15">
      <c r="A759" t="s">
        <v>1236</v>
      </c>
      <c r="B759" s="3">
        <v>46162</v>
      </c>
      <c r="C759" t="s">
        <v>389</v>
      </c>
      <c r="D759" t="s">
        <v>95</v>
      </c>
      <c r="E759" t="s">
        <v>61</v>
      </c>
      <c r="F759" t="s">
        <v>84</v>
      </c>
      <c r="G759">
        <v>6</v>
      </c>
      <c r="H759" s="5">
        <v>458.64</v>
      </c>
      <c r="I759" s="4">
        <v>0.2</v>
      </c>
      <c r="J759" s="5">
        <v>2201.4699999999998</v>
      </c>
      <c r="K759" s="5">
        <v>1755.44</v>
      </c>
      <c r="L759" s="5">
        <v>446.03</v>
      </c>
      <c r="M759" t="s">
        <v>35</v>
      </c>
      <c r="N759" t="s">
        <v>36</v>
      </c>
      <c r="O759" t="s">
        <v>37</v>
      </c>
    </row>
    <row r="760" spans="1:15">
      <c r="A760" t="s">
        <v>1237</v>
      </c>
      <c r="B760" s="3">
        <v>45823</v>
      </c>
      <c r="C760" t="s">
        <v>310</v>
      </c>
      <c r="D760" t="s">
        <v>74</v>
      </c>
      <c r="E760" t="s">
        <v>33</v>
      </c>
      <c r="F760" t="s">
        <v>34</v>
      </c>
      <c r="G760">
        <v>1</v>
      </c>
      <c r="H760" s="5">
        <v>2025.17</v>
      </c>
      <c r="I760" s="4">
        <v>0</v>
      </c>
      <c r="J760" s="5">
        <v>2025.17</v>
      </c>
      <c r="K760" s="5">
        <v>1145.19</v>
      </c>
      <c r="L760" s="5">
        <v>879.98</v>
      </c>
      <c r="M760" t="s">
        <v>57</v>
      </c>
      <c r="N760" t="s">
        <v>71</v>
      </c>
      <c r="O760" t="s">
        <v>44</v>
      </c>
    </row>
    <row r="761" spans="1:15">
      <c r="A761" t="s">
        <v>1238</v>
      </c>
      <c r="B761" s="3">
        <v>46209</v>
      </c>
      <c r="C761" t="s">
        <v>1239</v>
      </c>
      <c r="D761" t="s">
        <v>60</v>
      </c>
      <c r="E761" t="s">
        <v>48</v>
      </c>
      <c r="F761" t="s">
        <v>113</v>
      </c>
      <c r="G761">
        <v>2</v>
      </c>
      <c r="H761" s="5">
        <v>3930.81</v>
      </c>
      <c r="I761" s="4">
        <v>0.15</v>
      </c>
      <c r="J761" s="5">
        <v>6682.38</v>
      </c>
      <c r="K761" s="5">
        <v>5066.75</v>
      </c>
      <c r="L761" s="5">
        <v>1615.63</v>
      </c>
      <c r="M761" t="s">
        <v>35</v>
      </c>
      <c r="N761" t="s">
        <v>43</v>
      </c>
      <c r="O761" t="s">
        <v>44</v>
      </c>
    </row>
    <row r="762" spans="1:15">
      <c r="A762" t="s">
        <v>1240</v>
      </c>
      <c r="B762" s="3">
        <v>45813</v>
      </c>
      <c r="C762" t="s">
        <v>443</v>
      </c>
      <c r="D762" t="s">
        <v>74</v>
      </c>
      <c r="E762" t="s">
        <v>61</v>
      </c>
      <c r="F762" t="s">
        <v>81</v>
      </c>
      <c r="G762">
        <v>4</v>
      </c>
      <c r="H762" s="5">
        <v>755.1</v>
      </c>
      <c r="I762" s="4">
        <v>0.05</v>
      </c>
      <c r="J762" s="5">
        <v>2869.38</v>
      </c>
      <c r="K762" s="5">
        <v>2010.91</v>
      </c>
      <c r="L762" s="5">
        <v>858.47</v>
      </c>
      <c r="M762" t="s">
        <v>57</v>
      </c>
      <c r="N762" t="s">
        <v>63</v>
      </c>
      <c r="O762" t="s">
        <v>37</v>
      </c>
    </row>
    <row r="763" spans="1:15">
      <c r="A763" t="s">
        <v>1241</v>
      </c>
      <c r="B763" s="3">
        <v>46204</v>
      </c>
      <c r="C763" t="s">
        <v>352</v>
      </c>
      <c r="D763" t="s">
        <v>60</v>
      </c>
      <c r="E763" t="s">
        <v>48</v>
      </c>
      <c r="F763" t="s">
        <v>113</v>
      </c>
      <c r="G763">
        <v>6</v>
      </c>
      <c r="H763" s="5">
        <v>488.23</v>
      </c>
      <c r="I763" s="4">
        <v>0.1</v>
      </c>
      <c r="J763" s="5">
        <v>2636.44</v>
      </c>
      <c r="K763" s="5">
        <v>1821.44</v>
      </c>
      <c r="L763" s="5">
        <v>815</v>
      </c>
      <c r="M763" t="s">
        <v>35</v>
      </c>
      <c r="N763" t="s">
        <v>43</v>
      </c>
      <c r="O763" t="s">
        <v>44</v>
      </c>
    </row>
    <row r="764" spans="1:15">
      <c r="A764" t="s">
        <v>1242</v>
      </c>
      <c r="B764" s="3">
        <v>46135</v>
      </c>
      <c r="C764" t="s">
        <v>1243</v>
      </c>
      <c r="D764" t="s">
        <v>32</v>
      </c>
      <c r="E764" t="s">
        <v>41</v>
      </c>
      <c r="F764" t="s">
        <v>42</v>
      </c>
      <c r="G764">
        <v>2</v>
      </c>
      <c r="H764" s="5">
        <v>2775.19</v>
      </c>
      <c r="I764" s="4">
        <v>0.1</v>
      </c>
      <c r="J764" s="5">
        <v>4995.34</v>
      </c>
      <c r="K764" s="5">
        <v>3567.22</v>
      </c>
      <c r="L764" s="5">
        <v>1428.12</v>
      </c>
      <c r="M764" t="s">
        <v>35</v>
      </c>
      <c r="N764" t="s">
        <v>71</v>
      </c>
      <c r="O764" t="s">
        <v>37</v>
      </c>
    </row>
    <row r="765" spans="1:15">
      <c r="A765" t="s">
        <v>1244</v>
      </c>
      <c r="B765" s="3">
        <v>45906</v>
      </c>
      <c r="C765" t="s">
        <v>625</v>
      </c>
      <c r="D765" t="s">
        <v>40</v>
      </c>
      <c r="E765" t="s">
        <v>48</v>
      </c>
      <c r="F765" t="s">
        <v>70</v>
      </c>
      <c r="G765">
        <v>6</v>
      </c>
      <c r="H765" s="5">
        <v>1123.08</v>
      </c>
      <c r="I765" s="4">
        <v>0.1</v>
      </c>
      <c r="J765" s="5">
        <v>6064.63</v>
      </c>
      <c r="K765" s="5">
        <v>3793.15</v>
      </c>
      <c r="L765" s="5">
        <v>2271.48</v>
      </c>
      <c r="M765" t="s">
        <v>57</v>
      </c>
      <c r="N765" t="s">
        <v>36</v>
      </c>
      <c r="O765" t="s">
        <v>37</v>
      </c>
    </row>
    <row r="766" spans="1:15">
      <c r="A766" t="s">
        <v>1245</v>
      </c>
      <c r="B766" s="3">
        <v>45867</v>
      </c>
      <c r="C766" t="s">
        <v>837</v>
      </c>
      <c r="D766" t="s">
        <v>74</v>
      </c>
      <c r="E766" t="s">
        <v>61</v>
      </c>
      <c r="F766" t="s">
        <v>129</v>
      </c>
      <c r="G766">
        <v>6</v>
      </c>
      <c r="H766" s="5">
        <v>852.56</v>
      </c>
      <c r="I766" s="4">
        <v>0.05</v>
      </c>
      <c r="J766" s="5">
        <v>4859.59</v>
      </c>
      <c r="K766" s="5">
        <v>3002.34</v>
      </c>
      <c r="L766" s="5">
        <v>1857.25</v>
      </c>
      <c r="M766" t="s">
        <v>57</v>
      </c>
      <c r="N766" t="s">
        <v>63</v>
      </c>
      <c r="O766" t="s">
        <v>44</v>
      </c>
    </row>
    <row r="767" spans="1:15">
      <c r="A767" t="s">
        <v>1246</v>
      </c>
      <c r="B767" s="3">
        <v>46176</v>
      </c>
      <c r="C767" t="s">
        <v>1134</v>
      </c>
      <c r="D767" t="s">
        <v>40</v>
      </c>
      <c r="E767" t="s">
        <v>61</v>
      </c>
      <c r="F767" t="s">
        <v>81</v>
      </c>
      <c r="G767">
        <v>3</v>
      </c>
      <c r="H767" s="5">
        <v>4866.46</v>
      </c>
      <c r="I767" s="4">
        <v>0.05</v>
      </c>
      <c r="J767" s="5">
        <v>13869.41</v>
      </c>
      <c r="K767" s="5">
        <v>9344.1</v>
      </c>
      <c r="L767" s="5">
        <v>4525.3100000000004</v>
      </c>
      <c r="M767" t="s">
        <v>35</v>
      </c>
      <c r="N767" t="s">
        <v>71</v>
      </c>
      <c r="O767" t="s">
        <v>44</v>
      </c>
    </row>
    <row r="768" spans="1:15">
      <c r="A768" t="s">
        <v>1247</v>
      </c>
      <c r="B768" s="3">
        <v>45774</v>
      </c>
      <c r="C768" t="s">
        <v>335</v>
      </c>
      <c r="D768" t="s">
        <v>52</v>
      </c>
      <c r="E768" t="s">
        <v>33</v>
      </c>
      <c r="F768" t="s">
        <v>176</v>
      </c>
      <c r="G768">
        <v>6</v>
      </c>
      <c r="H768" s="5">
        <v>3146.94</v>
      </c>
      <c r="I768" s="4">
        <v>0.15</v>
      </c>
      <c r="J768" s="5">
        <v>16049.39</v>
      </c>
      <c r="K768" s="5">
        <v>11788.29</v>
      </c>
      <c r="L768" s="5">
        <v>4261.1000000000004</v>
      </c>
      <c r="M768" t="s">
        <v>35</v>
      </c>
      <c r="N768" t="s">
        <v>63</v>
      </c>
      <c r="O768" t="s">
        <v>44</v>
      </c>
    </row>
    <row r="769" spans="1:15">
      <c r="A769" t="s">
        <v>1248</v>
      </c>
      <c r="B769" s="3">
        <v>45664</v>
      </c>
      <c r="C769" t="s">
        <v>374</v>
      </c>
      <c r="D769" t="s">
        <v>32</v>
      </c>
      <c r="E769" t="s">
        <v>48</v>
      </c>
      <c r="F769" t="s">
        <v>113</v>
      </c>
      <c r="G769">
        <v>1</v>
      </c>
      <c r="H769" s="5">
        <v>2018.16</v>
      </c>
      <c r="I769" s="4">
        <v>0.1</v>
      </c>
      <c r="J769" s="5">
        <v>1816.34</v>
      </c>
      <c r="K769" s="5">
        <v>1210.4000000000001</v>
      </c>
      <c r="L769" s="5">
        <v>605.94000000000005</v>
      </c>
      <c r="M769" t="s">
        <v>35</v>
      </c>
      <c r="N769" t="s">
        <v>71</v>
      </c>
      <c r="O769" t="s">
        <v>44</v>
      </c>
    </row>
    <row r="770" spans="1:15">
      <c r="A770" t="s">
        <v>1249</v>
      </c>
      <c r="B770" s="3">
        <v>46068</v>
      </c>
      <c r="C770" t="s">
        <v>1250</v>
      </c>
      <c r="D770" t="s">
        <v>95</v>
      </c>
      <c r="E770" t="s">
        <v>48</v>
      </c>
      <c r="F770" t="s">
        <v>102</v>
      </c>
      <c r="G770">
        <v>6</v>
      </c>
      <c r="H770" s="5">
        <v>1382.47</v>
      </c>
      <c r="I770" s="4">
        <v>0.15</v>
      </c>
      <c r="J770" s="5">
        <v>7050.6</v>
      </c>
      <c r="K770" s="5">
        <v>4839.8999999999996</v>
      </c>
      <c r="L770" s="5">
        <v>2210.6999999999998</v>
      </c>
      <c r="M770" t="s">
        <v>57</v>
      </c>
      <c r="N770" t="s">
        <v>71</v>
      </c>
      <c r="O770" t="s">
        <v>37</v>
      </c>
    </row>
    <row r="771" spans="1:15">
      <c r="A771" t="s">
        <v>1251</v>
      </c>
      <c r="B771" s="3">
        <v>45918</v>
      </c>
      <c r="C771" t="s">
        <v>725</v>
      </c>
      <c r="D771" t="s">
        <v>47</v>
      </c>
      <c r="E771" t="s">
        <v>33</v>
      </c>
      <c r="F771" t="s">
        <v>34</v>
      </c>
      <c r="G771">
        <v>6</v>
      </c>
      <c r="H771" s="5">
        <v>3742.78</v>
      </c>
      <c r="I771" s="4">
        <v>0.2</v>
      </c>
      <c r="J771" s="5">
        <v>17965.34</v>
      </c>
      <c r="K771" s="5">
        <v>14752.33</v>
      </c>
      <c r="L771" s="5">
        <v>3213.01</v>
      </c>
      <c r="M771" t="s">
        <v>57</v>
      </c>
      <c r="N771" t="s">
        <v>63</v>
      </c>
      <c r="O771" t="s">
        <v>44</v>
      </c>
    </row>
    <row r="772" spans="1:15">
      <c r="A772" t="s">
        <v>1252</v>
      </c>
      <c r="B772" s="3">
        <v>46253</v>
      </c>
      <c r="C772" t="s">
        <v>679</v>
      </c>
      <c r="D772" t="s">
        <v>40</v>
      </c>
      <c r="E772" t="s">
        <v>41</v>
      </c>
      <c r="F772" t="s">
        <v>53</v>
      </c>
      <c r="G772">
        <v>2</v>
      </c>
      <c r="H772" s="5">
        <v>937.99</v>
      </c>
      <c r="I772" s="4">
        <v>0.1</v>
      </c>
      <c r="J772" s="5">
        <v>1688.38</v>
      </c>
      <c r="K772" s="5">
        <v>1208.21</v>
      </c>
      <c r="L772" s="5">
        <v>480.17</v>
      </c>
      <c r="M772" t="s">
        <v>35</v>
      </c>
      <c r="N772" t="s">
        <v>36</v>
      </c>
      <c r="O772" t="s">
        <v>44</v>
      </c>
    </row>
    <row r="773" spans="1:15">
      <c r="A773" t="s">
        <v>1253</v>
      </c>
      <c r="B773" s="3">
        <v>46187</v>
      </c>
      <c r="C773" t="s">
        <v>716</v>
      </c>
      <c r="D773" t="s">
        <v>32</v>
      </c>
      <c r="E773" t="s">
        <v>33</v>
      </c>
      <c r="F773" t="s">
        <v>67</v>
      </c>
      <c r="G773">
        <v>1</v>
      </c>
      <c r="H773" s="5">
        <v>4244.79</v>
      </c>
      <c r="I773" s="4">
        <v>0</v>
      </c>
      <c r="J773" s="5">
        <v>4244.79</v>
      </c>
      <c r="K773" s="5">
        <v>2788.3</v>
      </c>
      <c r="L773" s="5">
        <v>1456.49</v>
      </c>
      <c r="M773" t="s">
        <v>35</v>
      </c>
      <c r="N773" t="s">
        <v>63</v>
      </c>
      <c r="O773" t="s">
        <v>44</v>
      </c>
    </row>
    <row r="774" spans="1:15">
      <c r="A774" t="s">
        <v>1254</v>
      </c>
      <c r="B774" s="3">
        <v>46198</v>
      </c>
      <c r="C774" t="s">
        <v>1134</v>
      </c>
      <c r="D774" t="s">
        <v>47</v>
      </c>
      <c r="E774" t="s">
        <v>33</v>
      </c>
      <c r="F774" t="s">
        <v>92</v>
      </c>
      <c r="G774">
        <v>5</v>
      </c>
      <c r="H774" s="5">
        <v>2360.46</v>
      </c>
      <c r="I774" s="4">
        <v>0.1</v>
      </c>
      <c r="J774" s="5">
        <v>10622.07</v>
      </c>
      <c r="K774" s="5">
        <v>8382.8799999999992</v>
      </c>
      <c r="L774" s="5">
        <v>2239.19</v>
      </c>
      <c r="M774" t="s">
        <v>35</v>
      </c>
      <c r="N774" t="s">
        <v>36</v>
      </c>
      <c r="O774" t="s">
        <v>37</v>
      </c>
    </row>
    <row r="775" spans="1:15">
      <c r="A775" t="s">
        <v>1255</v>
      </c>
      <c r="B775" s="3">
        <v>45772</v>
      </c>
      <c r="C775" t="s">
        <v>1214</v>
      </c>
      <c r="D775" t="s">
        <v>60</v>
      </c>
      <c r="E775" t="s">
        <v>41</v>
      </c>
      <c r="F775" t="s">
        <v>153</v>
      </c>
      <c r="G775">
        <v>5</v>
      </c>
      <c r="H775" s="5">
        <v>1053.9000000000001</v>
      </c>
      <c r="I775" s="4">
        <v>0.2</v>
      </c>
      <c r="J775" s="5">
        <v>4215.6000000000004</v>
      </c>
      <c r="K775" s="5">
        <v>2827.22</v>
      </c>
      <c r="L775" s="5">
        <v>1388.38</v>
      </c>
      <c r="M775" t="s">
        <v>35</v>
      </c>
      <c r="N775" t="s">
        <v>71</v>
      </c>
      <c r="O775" t="s">
        <v>44</v>
      </c>
    </row>
    <row r="776" spans="1:15">
      <c r="A776" t="s">
        <v>1256</v>
      </c>
      <c r="B776" s="3">
        <v>46088</v>
      </c>
      <c r="C776" t="s">
        <v>366</v>
      </c>
      <c r="D776" t="s">
        <v>56</v>
      </c>
      <c r="E776" t="s">
        <v>48</v>
      </c>
      <c r="F776" t="s">
        <v>99</v>
      </c>
      <c r="G776">
        <v>1</v>
      </c>
      <c r="H776" s="5">
        <v>234.54</v>
      </c>
      <c r="I776" s="4">
        <v>0.15</v>
      </c>
      <c r="J776" s="5">
        <v>199.36</v>
      </c>
      <c r="K776" s="5">
        <v>137.80000000000001</v>
      </c>
      <c r="L776" s="5">
        <v>61.56</v>
      </c>
      <c r="M776" t="s">
        <v>57</v>
      </c>
      <c r="N776" t="s">
        <v>36</v>
      </c>
      <c r="O776" t="s">
        <v>44</v>
      </c>
    </row>
    <row r="777" spans="1:15">
      <c r="A777" t="s">
        <v>1257</v>
      </c>
      <c r="B777" s="3">
        <v>46111</v>
      </c>
      <c r="C777" t="s">
        <v>341</v>
      </c>
      <c r="D777" t="s">
        <v>74</v>
      </c>
      <c r="E777" t="s">
        <v>41</v>
      </c>
      <c r="F777" t="s">
        <v>153</v>
      </c>
      <c r="G777">
        <v>2</v>
      </c>
      <c r="H777" s="5">
        <v>5321.52</v>
      </c>
      <c r="I777" s="4">
        <v>0.15</v>
      </c>
      <c r="J777" s="5">
        <v>9046.58</v>
      </c>
      <c r="K777" s="5">
        <v>5780.23</v>
      </c>
      <c r="L777" s="5">
        <v>3266.35</v>
      </c>
      <c r="M777" t="s">
        <v>57</v>
      </c>
      <c r="N777" t="s">
        <v>71</v>
      </c>
      <c r="O777" t="s">
        <v>44</v>
      </c>
    </row>
    <row r="778" spans="1:15">
      <c r="A778" t="s">
        <v>1258</v>
      </c>
      <c r="B778" s="3">
        <v>45897</v>
      </c>
      <c r="C778" t="s">
        <v>308</v>
      </c>
      <c r="D778" t="s">
        <v>95</v>
      </c>
      <c r="E778" t="s">
        <v>48</v>
      </c>
      <c r="F778" t="s">
        <v>49</v>
      </c>
      <c r="G778">
        <v>2</v>
      </c>
      <c r="H778" s="5">
        <v>3167.59</v>
      </c>
      <c r="I778" s="4">
        <v>0</v>
      </c>
      <c r="J778" s="5">
        <v>6335.18</v>
      </c>
      <c r="K778" s="5">
        <v>4164.97</v>
      </c>
      <c r="L778" s="5">
        <v>2170.21</v>
      </c>
      <c r="M778" t="s">
        <v>57</v>
      </c>
      <c r="N778" t="s">
        <v>71</v>
      </c>
      <c r="O778" t="s">
        <v>44</v>
      </c>
    </row>
    <row r="779" spans="1:15">
      <c r="A779" t="s">
        <v>1259</v>
      </c>
      <c r="B779" s="3">
        <v>45982</v>
      </c>
      <c r="C779" t="s">
        <v>632</v>
      </c>
      <c r="D779" t="s">
        <v>95</v>
      </c>
      <c r="E779" t="s">
        <v>41</v>
      </c>
      <c r="F779" t="s">
        <v>153</v>
      </c>
      <c r="G779">
        <v>1</v>
      </c>
      <c r="H779" s="5">
        <v>4568.17</v>
      </c>
      <c r="I779" s="4">
        <v>0</v>
      </c>
      <c r="J779" s="5">
        <v>4568.17</v>
      </c>
      <c r="K779" s="5">
        <v>3287.37</v>
      </c>
      <c r="L779" s="5">
        <v>1280.8</v>
      </c>
      <c r="M779" t="s">
        <v>35</v>
      </c>
      <c r="N779" t="s">
        <v>71</v>
      </c>
      <c r="O779" t="s">
        <v>37</v>
      </c>
    </row>
    <row r="780" spans="1:15">
      <c r="A780" t="s">
        <v>1260</v>
      </c>
      <c r="B780" s="3">
        <v>46155</v>
      </c>
      <c r="C780" t="s">
        <v>888</v>
      </c>
      <c r="D780" t="s">
        <v>56</v>
      </c>
      <c r="E780" t="s">
        <v>41</v>
      </c>
      <c r="F780" t="s">
        <v>153</v>
      </c>
      <c r="G780">
        <v>4</v>
      </c>
      <c r="H780" s="5">
        <v>1261.6600000000001</v>
      </c>
      <c r="I780" s="4">
        <v>0.1</v>
      </c>
      <c r="J780" s="5">
        <v>4541.9799999999996</v>
      </c>
      <c r="K780" s="5">
        <v>3508.68</v>
      </c>
      <c r="L780" s="5">
        <v>1033.3</v>
      </c>
      <c r="M780" t="s">
        <v>35</v>
      </c>
      <c r="N780" t="s">
        <v>63</v>
      </c>
      <c r="O780" t="s">
        <v>44</v>
      </c>
    </row>
    <row r="781" spans="1:15">
      <c r="A781" t="s">
        <v>1261</v>
      </c>
      <c r="B781" s="3">
        <v>46216</v>
      </c>
      <c r="C781" t="s">
        <v>1262</v>
      </c>
      <c r="D781" t="s">
        <v>60</v>
      </c>
      <c r="E781" t="s">
        <v>48</v>
      </c>
      <c r="F781" t="s">
        <v>70</v>
      </c>
      <c r="G781">
        <v>3</v>
      </c>
      <c r="H781" s="5">
        <v>1483.89</v>
      </c>
      <c r="I781" s="4">
        <v>0.2</v>
      </c>
      <c r="J781" s="5">
        <v>3561.34</v>
      </c>
      <c r="K781" s="5">
        <v>2956.32</v>
      </c>
      <c r="L781" s="5">
        <v>605.02</v>
      </c>
      <c r="M781" t="s">
        <v>57</v>
      </c>
      <c r="N781" t="s">
        <v>36</v>
      </c>
      <c r="O781" t="s">
        <v>44</v>
      </c>
    </row>
    <row r="782" spans="1:15">
      <c r="A782" t="s">
        <v>1263</v>
      </c>
      <c r="B782" s="3">
        <v>46234</v>
      </c>
      <c r="C782" t="s">
        <v>756</v>
      </c>
      <c r="D782" t="s">
        <v>74</v>
      </c>
      <c r="E782" t="s">
        <v>48</v>
      </c>
      <c r="F782" t="s">
        <v>49</v>
      </c>
      <c r="G782">
        <v>4</v>
      </c>
      <c r="H782" s="5">
        <v>1239.5</v>
      </c>
      <c r="I782" s="4">
        <v>0.1</v>
      </c>
      <c r="J782" s="5">
        <v>4462.2</v>
      </c>
      <c r="K782" s="5">
        <v>2965.43</v>
      </c>
      <c r="L782" s="5">
        <v>1496.77</v>
      </c>
      <c r="M782" t="s">
        <v>35</v>
      </c>
      <c r="N782" t="s">
        <v>63</v>
      </c>
      <c r="O782" t="s">
        <v>44</v>
      </c>
    </row>
    <row r="783" spans="1:15">
      <c r="A783" t="s">
        <v>1264</v>
      </c>
      <c r="B783" s="3">
        <v>46113</v>
      </c>
      <c r="C783" t="s">
        <v>748</v>
      </c>
      <c r="D783" t="s">
        <v>74</v>
      </c>
      <c r="E783" t="s">
        <v>33</v>
      </c>
      <c r="F783" t="s">
        <v>176</v>
      </c>
      <c r="G783">
        <v>2</v>
      </c>
      <c r="H783" s="5">
        <v>4946.3999999999996</v>
      </c>
      <c r="I783" s="4">
        <v>0</v>
      </c>
      <c r="J783" s="5">
        <v>9892.7999999999993</v>
      </c>
      <c r="K783" s="5">
        <v>5663.99</v>
      </c>
      <c r="L783" s="5">
        <v>4228.8100000000004</v>
      </c>
      <c r="M783" t="s">
        <v>57</v>
      </c>
      <c r="N783" t="s">
        <v>63</v>
      </c>
      <c r="O783" t="s">
        <v>44</v>
      </c>
    </row>
    <row r="784" spans="1:15">
      <c r="A784" t="s">
        <v>1265</v>
      </c>
      <c r="B784" s="3">
        <v>45919</v>
      </c>
      <c r="C784" t="s">
        <v>51</v>
      </c>
      <c r="D784" t="s">
        <v>66</v>
      </c>
      <c r="E784" t="s">
        <v>61</v>
      </c>
      <c r="F784" t="s">
        <v>129</v>
      </c>
      <c r="G784">
        <v>1</v>
      </c>
      <c r="H784" s="5">
        <v>2323.6999999999998</v>
      </c>
      <c r="I784" s="4">
        <v>0.1</v>
      </c>
      <c r="J784" s="5">
        <v>2091.33</v>
      </c>
      <c r="K784" s="5">
        <v>1403.75</v>
      </c>
      <c r="L784" s="5">
        <v>687.58</v>
      </c>
      <c r="M784" t="s">
        <v>35</v>
      </c>
      <c r="N784" t="s">
        <v>43</v>
      </c>
      <c r="O784" t="s">
        <v>37</v>
      </c>
    </row>
    <row r="785" spans="1:15">
      <c r="A785" t="s">
        <v>1266</v>
      </c>
      <c r="B785" s="3">
        <v>45869</v>
      </c>
      <c r="C785" t="s">
        <v>1267</v>
      </c>
      <c r="D785" t="s">
        <v>74</v>
      </c>
      <c r="E785" t="s">
        <v>41</v>
      </c>
      <c r="F785" t="s">
        <v>42</v>
      </c>
      <c r="G785">
        <v>6</v>
      </c>
      <c r="H785" s="5">
        <v>2992.07</v>
      </c>
      <c r="I785" s="4">
        <v>0</v>
      </c>
      <c r="J785" s="5">
        <v>17952.419999999998</v>
      </c>
      <c r="K785" s="5">
        <v>11512.5</v>
      </c>
      <c r="L785" s="5">
        <v>6439.92</v>
      </c>
      <c r="M785" t="s">
        <v>35</v>
      </c>
      <c r="N785" t="s">
        <v>43</v>
      </c>
      <c r="O785" t="s">
        <v>44</v>
      </c>
    </row>
    <row r="786" spans="1:15">
      <c r="A786" t="s">
        <v>1268</v>
      </c>
      <c r="B786" s="3">
        <v>45984</v>
      </c>
      <c r="C786" t="s">
        <v>1190</v>
      </c>
      <c r="D786" t="s">
        <v>66</v>
      </c>
      <c r="E786" t="s">
        <v>33</v>
      </c>
      <c r="F786" t="s">
        <v>67</v>
      </c>
      <c r="G786">
        <v>2</v>
      </c>
      <c r="H786" s="5">
        <v>3942.32</v>
      </c>
      <c r="I786" s="4">
        <v>0</v>
      </c>
      <c r="J786" s="5">
        <v>7884.64</v>
      </c>
      <c r="K786" s="5">
        <v>5052.37</v>
      </c>
      <c r="L786" s="5">
        <v>2832.27</v>
      </c>
      <c r="M786" t="s">
        <v>57</v>
      </c>
      <c r="N786" t="s">
        <v>36</v>
      </c>
      <c r="O786" t="s">
        <v>44</v>
      </c>
    </row>
    <row r="787" spans="1:15">
      <c r="A787" t="s">
        <v>1269</v>
      </c>
      <c r="B787" s="3">
        <v>46240</v>
      </c>
      <c r="C787" t="s">
        <v>1270</v>
      </c>
      <c r="D787" t="s">
        <v>74</v>
      </c>
      <c r="E787" t="s">
        <v>41</v>
      </c>
      <c r="F787" t="s">
        <v>53</v>
      </c>
      <c r="G787">
        <v>4</v>
      </c>
      <c r="H787" s="5">
        <v>5216.83</v>
      </c>
      <c r="I787" s="4">
        <v>0.2</v>
      </c>
      <c r="J787" s="5">
        <v>16693.86</v>
      </c>
      <c r="K787" s="5">
        <v>9437.2000000000007</v>
      </c>
      <c r="L787" s="5">
        <v>7256.66</v>
      </c>
      <c r="M787" t="s">
        <v>57</v>
      </c>
      <c r="N787" t="s">
        <v>43</v>
      </c>
      <c r="O787" t="s">
        <v>44</v>
      </c>
    </row>
    <row r="788" spans="1:15">
      <c r="A788" t="s">
        <v>1271</v>
      </c>
      <c r="B788" s="3">
        <v>45727</v>
      </c>
      <c r="C788" t="s">
        <v>456</v>
      </c>
      <c r="D788" t="s">
        <v>40</v>
      </c>
      <c r="E788" t="s">
        <v>41</v>
      </c>
      <c r="F788" t="s">
        <v>153</v>
      </c>
      <c r="G788">
        <v>6</v>
      </c>
      <c r="H788" s="5">
        <v>167.23</v>
      </c>
      <c r="I788" s="4">
        <v>0.05</v>
      </c>
      <c r="J788" s="5">
        <v>953.21</v>
      </c>
      <c r="K788" s="5">
        <v>557.44000000000005</v>
      </c>
      <c r="L788" s="5">
        <v>395.77</v>
      </c>
      <c r="M788" t="s">
        <v>35</v>
      </c>
      <c r="N788" t="s">
        <v>36</v>
      </c>
      <c r="O788" t="s">
        <v>44</v>
      </c>
    </row>
    <row r="789" spans="1:15">
      <c r="A789" t="s">
        <v>1272</v>
      </c>
      <c r="B789" s="3">
        <v>46098</v>
      </c>
      <c r="C789" t="s">
        <v>193</v>
      </c>
      <c r="D789" t="s">
        <v>95</v>
      </c>
      <c r="E789" t="s">
        <v>33</v>
      </c>
      <c r="F789" t="s">
        <v>67</v>
      </c>
      <c r="G789">
        <v>4</v>
      </c>
      <c r="H789" s="5">
        <v>4306.96</v>
      </c>
      <c r="I789" s="4">
        <v>0.15</v>
      </c>
      <c r="J789" s="5">
        <v>14643.66</v>
      </c>
      <c r="K789" s="5">
        <v>10983.26</v>
      </c>
      <c r="L789" s="5">
        <v>3660.4</v>
      </c>
      <c r="M789" t="s">
        <v>57</v>
      </c>
      <c r="N789" t="s">
        <v>71</v>
      </c>
      <c r="O789" t="s">
        <v>37</v>
      </c>
    </row>
    <row r="790" spans="1:15">
      <c r="A790" t="s">
        <v>1273</v>
      </c>
      <c r="B790" s="3">
        <v>45748</v>
      </c>
      <c r="C790" t="s">
        <v>245</v>
      </c>
      <c r="D790" t="s">
        <v>74</v>
      </c>
      <c r="E790" t="s">
        <v>48</v>
      </c>
      <c r="F790" t="s">
        <v>49</v>
      </c>
      <c r="G790">
        <v>2</v>
      </c>
      <c r="H790" s="5">
        <v>4235.1400000000003</v>
      </c>
      <c r="I790" s="4">
        <v>0.1</v>
      </c>
      <c r="J790" s="5">
        <v>7623.25</v>
      </c>
      <c r="K790" s="5">
        <v>5186.29</v>
      </c>
      <c r="L790" s="5">
        <v>2436.96</v>
      </c>
      <c r="M790" t="s">
        <v>57</v>
      </c>
      <c r="N790" t="s">
        <v>63</v>
      </c>
      <c r="O790" t="s">
        <v>44</v>
      </c>
    </row>
    <row r="791" spans="1:15">
      <c r="A791" t="s">
        <v>1274</v>
      </c>
      <c r="B791" s="3">
        <v>45783</v>
      </c>
      <c r="C791" t="s">
        <v>665</v>
      </c>
      <c r="D791" t="s">
        <v>47</v>
      </c>
      <c r="E791" t="s">
        <v>61</v>
      </c>
      <c r="F791" t="s">
        <v>81</v>
      </c>
      <c r="G791">
        <v>3</v>
      </c>
      <c r="H791" s="5">
        <v>3440.49</v>
      </c>
      <c r="I791" s="4">
        <v>0</v>
      </c>
      <c r="J791" s="5">
        <v>10321.469999999999</v>
      </c>
      <c r="K791" s="5">
        <v>8183.45</v>
      </c>
      <c r="L791" s="5">
        <v>2138.02</v>
      </c>
      <c r="M791" t="s">
        <v>57</v>
      </c>
      <c r="N791" t="s">
        <v>43</v>
      </c>
      <c r="O791" t="s">
        <v>37</v>
      </c>
    </row>
    <row r="792" spans="1:15">
      <c r="A792" t="s">
        <v>1275</v>
      </c>
      <c r="B792" s="3">
        <v>46141</v>
      </c>
      <c r="C792" t="s">
        <v>1069</v>
      </c>
      <c r="D792" t="s">
        <v>52</v>
      </c>
      <c r="E792" t="s">
        <v>41</v>
      </c>
      <c r="F792" t="s">
        <v>153</v>
      </c>
      <c r="G792">
        <v>4</v>
      </c>
      <c r="H792" s="5">
        <v>5164.2700000000004</v>
      </c>
      <c r="I792" s="4">
        <v>0</v>
      </c>
      <c r="J792" s="5">
        <v>20657.080000000002</v>
      </c>
      <c r="K792" s="5">
        <v>16989.07</v>
      </c>
      <c r="L792" s="5">
        <v>3668.01</v>
      </c>
      <c r="M792" t="s">
        <v>57</v>
      </c>
      <c r="N792" t="s">
        <v>63</v>
      </c>
      <c r="O792" t="s">
        <v>37</v>
      </c>
    </row>
    <row r="793" spans="1:15">
      <c r="A793" t="s">
        <v>1276</v>
      </c>
      <c r="B793" s="3">
        <v>45670</v>
      </c>
      <c r="C793" t="s">
        <v>727</v>
      </c>
      <c r="D793" t="s">
        <v>56</v>
      </c>
      <c r="E793" t="s">
        <v>48</v>
      </c>
      <c r="F793" t="s">
        <v>99</v>
      </c>
      <c r="G793">
        <v>1</v>
      </c>
      <c r="H793" s="5">
        <v>4357.2299999999996</v>
      </c>
      <c r="I793" s="4">
        <v>0</v>
      </c>
      <c r="J793" s="5">
        <v>4357.2299999999996</v>
      </c>
      <c r="K793" s="5">
        <v>3654.09</v>
      </c>
      <c r="L793" s="5">
        <v>703.14</v>
      </c>
      <c r="M793" t="s">
        <v>57</v>
      </c>
      <c r="N793" t="s">
        <v>36</v>
      </c>
      <c r="O793" t="s">
        <v>44</v>
      </c>
    </row>
    <row r="794" spans="1:15">
      <c r="A794" t="s">
        <v>1277</v>
      </c>
      <c r="B794" s="3">
        <v>46105</v>
      </c>
      <c r="C794" t="s">
        <v>78</v>
      </c>
      <c r="D794" t="s">
        <v>60</v>
      </c>
      <c r="E794" t="s">
        <v>61</v>
      </c>
      <c r="F794" t="s">
        <v>89</v>
      </c>
      <c r="G794">
        <v>6</v>
      </c>
      <c r="H794" s="5">
        <v>5077.38</v>
      </c>
      <c r="I794" s="4">
        <v>0.2</v>
      </c>
      <c r="J794" s="5">
        <v>24371.42</v>
      </c>
      <c r="K794" s="5">
        <v>19820.78</v>
      </c>
      <c r="L794" s="5">
        <v>4550.6400000000003</v>
      </c>
      <c r="M794" t="s">
        <v>57</v>
      </c>
      <c r="N794" t="s">
        <v>43</v>
      </c>
      <c r="O794" t="s">
        <v>37</v>
      </c>
    </row>
    <row r="795" spans="1:15">
      <c r="A795" t="s">
        <v>1278</v>
      </c>
      <c r="B795" s="3">
        <v>45737</v>
      </c>
      <c r="C795" t="s">
        <v>397</v>
      </c>
      <c r="D795" t="s">
        <v>95</v>
      </c>
      <c r="E795" t="s">
        <v>41</v>
      </c>
      <c r="F795" t="s">
        <v>119</v>
      </c>
      <c r="G795">
        <v>6</v>
      </c>
      <c r="H795" s="5">
        <v>4609.47</v>
      </c>
      <c r="I795" s="4">
        <v>0.1</v>
      </c>
      <c r="J795" s="5">
        <v>24891.14</v>
      </c>
      <c r="K795" s="5">
        <v>16880.88</v>
      </c>
      <c r="L795" s="5">
        <v>8010.26</v>
      </c>
      <c r="M795" t="s">
        <v>35</v>
      </c>
      <c r="N795" t="s">
        <v>71</v>
      </c>
      <c r="O795" t="s">
        <v>37</v>
      </c>
    </row>
    <row r="796" spans="1:15">
      <c r="A796" t="s">
        <v>1279</v>
      </c>
      <c r="B796" s="3">
        <v>45809</v>
      </c>
      <c r="C796" t="s">
        <v>422</v>
      </c>
      <c r="D796" t="s">
        <v>66</v>
      </c>
      <c r="E796" t="s">
        <v>48</v>
      </c>
      <c r="F796" t="s">
        <v>49</v>
      </c>
      <c r="G796">
        <v>6</v>
      </c>
      <c r="H796" s="5">
        <v>2705.56</v>
      </c>
      <c r="I796" s="4">
        <v>0</v>
      </c>
      <c r="J796" s="5">
        <v>16233.36</v>
      </c>
      <c r="K796" s="5">
        <v>13050.27</v>
      </c>
      <c r="L796" s="5">
        <v>3183.09</v>
      </c>
      <c r="M796" t="s">
        <v>35</v>
      </c>
      <c r="N796" t="s">
        <v>63</v>
      </c>
      <c r="O796" t="s">
        <v>44</v>
      </c>
    </row>
    <row r="797" spans="1:15">
      <c r="A797" t="s">
        <v>1280</v>
      </c>
      <c r="B797" s="3">
        <v>45907</v>
      </c>
      <c r="C797" t="s">
        <v>146</v>
      </c>
      <c r="D797" t="s">
        <v>40</v>
      </c>
      <c r="E797" t="s">
        <v>41</v>
      </c>
      <c r="F797" t="s">
        <v>124</v>
      </c>
      <c r="G797">
        <v>4</v>
      </c>
      <c r="H797" s="5">
        <v>2564.77</v>
      </c>
      <c r="I797" s="4">
        <v>0.1</v>
      </c>
      <c r="J797" s="5">
        <v>9233.17</v>
      </c>
      <c r="K797" s="5">
        <v>5724.32</v>
      </c>
      <c r="L797" s="5">
        <v>3508.85</v>
      </c>
      <c r="M797" t="s">
        <v>57</v>
      </c>
      <c r="N797" t="s">
        <v>36</v>
      </c>
      <c r="O797" t="s">
        <v>37</v>
      </c>
    </row>
    <row r="798" spans="1:15">
      <c r="A798" t="s">
        <v>1281</v>
      </c>
      <c r="B798" s="3">
        <v>45704</v>
      </c>
      <c r="C798" t="s">
        <v>1282</v>
      </c>
      <c r="D798" t="s">
        <v>95</v>
      </c>
      <c r="E798" t="s">
        <v>48</v>
      </c>
      <c r="F798" t="s">
        <v>99</v>
      </c>
      <c r="G798">
        <v>5</v>
      </c>
      <c r="H798" s="5">
        <v>422.45</v>
      </c>
      <c r="I798" s="4">
        <v>0.05</v>
      </c>
      <c r="J798" s="5">
        <v>2006.64</v>
      </c>
      <c r="K798" s="5">
        <v>1280.05</v>
      </c>
      <c r="L798" s="5">
        <v>726.59</v>
      </c>
      <c r="M798" t="s">
        <v>35</v>
      </c>
      <c r="N798" t="s">
        <v>63</v>
      </c>
      <c r="O798" t="s">
        <v>44</v>
      </c>
    </row>
    <row r="799" spans="1:15">
      <c r="A799" t="s">
        <v>1283</v>
      </c>
      <c r="B799" s="3">
        <v>45817</v>
      </c>
      <c r="C799" t="s">
        <v>846</v>
      </c>
      <c r="D799" t="s">
        <v>95</v>
      </c>
      <c r="E799" t="s">
        <v>41</v>
      </c>
      <c r="F799" t="s">
        <v>42</v>
      </c>
      <c r="G799">
        <v>6</v>
      </c>
      <c r="H799" s="5">
        <v>1589.3</v>
      </c>
      <c r="I799" s="4">
        <v>0.2</v>
      </c>
      <c r="J799" s="5">
        <v>7628.64</v>
      </c>
      <c r="K799" s="5">
        <v>4485.3100000000004</v>
      </c>
      <c r="L799" s="5">
        <v>3143.33</v>
      </c>
      <c r="M799" t="s">
        <v>57</v>
      </c>
      <c r="N799" t="s">
        <v>71</v>
      </c>
      <c r="O799" t="s">
        <v>44</v>
      </c>
    </row>
    <row r="800" spans="1:15">
      <c r="A800" t="s">
        <v>1284</v>
      </c>
      <c r="B800" s="3">
        <v>46075</v>
      </c>
      <c r="C800" t="s">
        <v>1285</v>
      </c>
      <c r="D800" t="s">
        <v>56</v>
      </c>
      <c r="E800" t="s">
        <v>41</v>
      </c>
      <c r="F800" t="s">
        <v>153</v>
      </c>
      <c r="G800">
        <v>1</v>
      </c>
      <c r="H800" s="5">
        <v>4532.99</v>
      </c>
      <c r="I800" s="4">
        <v>0</v>
      </c>
      <c r="J800" s="5">
        <v>4532.99</v>
      </c>
      <c r="K800" s="5">
        <v>3833.93</v>
      </c>
      <c r="L800" s="5">
        <v>699.06</v>
      </c>
      <c r="M800" t="s">
        <v>57</v>
      </c>
      <c r="N800" t="s">
        <v>36</v>
      </c>
      <c r="O800" t="s">
        <v>44</v>
      </c>
    </row>
    <row r="801" spans="1:15">
      <c r="A801" t="s">
        <v>1286</v>
      </c>
      <c r="B801" s="3">
        <v>46057</v>
      </c>
      <c r="C801" t="s">
        <v>1088</v>
      </c>
      <c r="D801" t="s">
        <v>66</v>
      </c>
      <c r="E801" t="s">
        <v>48</v>
      </c>
      <c r="F801" t="s">
        <v>99</v>
      </c>
      <c r="G801">
        <v>3</v>
      </c>
      <c r="H801" s="5">
        <v>4791.84</v>
      </c>
      <c r="I801" s="4">
        <v>0.2</v>
      </c>
      <c r="J801" s="5">
        <v>11500.42</v>
      </c>
      <c r="K801" s="5">
        <v>6785.08</v>
      </c>
      <c r="L801" s="5">
        <v>4715.34</v>
      </c>
      <c r="M801" t="s">
        <v>35</v>
      </c>
      <c r="N801" t="s">
        <v>71</v>
      </c>
      <c r="O801" t="s">
        <v>37</v>
      </c>
    </row>
    <row r="802" spans="1:15">
      <c r="A802" t="s">
        <v>1287</v>
      </c>
      <c r="B802" s="3">
        <v>46175</v>
      </c>
      <c r="C802" t="s">
        <v>1184</v>
      </c>
      <c r="D802" t="s">
        <v>60</v>
      </c>
      <c r="E802" t="s">
        <v>61</v>
      </c>
      <c r="F802" t="s">
        <v>81</v>
      </c>
      <c r="G802">
        <v>4</v>
      </c>
      <c r="H802" s="5">
        <v>2254.2199999999998</v>
      </c>
      <c r="I802" s="4">
        <v>0</v>
      </c>
      <c r="J802" s="5">
        <v>9016.8799999999992</v>
      </c>
      <c r="K802" s="5">
        <v>7118.01</v>
      </c>
      <c r="L802" s="5">
        <v>1898.87</v>
      </c>
      <c r="M802" t="s">
        <v>57</v>
      </c>
      <c r="N802" t="s">
        <v>63</v>
      </c>
      <c r="O802" t="s">
        <v>44</v>
      </c>
    </row>
    <row r="803" spans="1:15">
      <c r="A803" t="s">
        <v>1288</v>
      </c>
      <c r="B803" s="3">
        <v>45794</v>
      </c>
      <c r="C803" t="s">
        <v>1190</v>
      </c>
      <c r="D803" t="s">
        <v>134</v>
      </c>
      <c r="E803" t="s">
        <v>41</v>
      </c>
      <c r="F803" t="s">
        <v>119</v>
      </c>
      <c r="G803">
        <v>5</v>
      </c>
      <c r="H803" s="5">
        <v>1373.45</v>
      </c>
      <c r="I803" s="4">
        <v>0.05</v>
      </c>
      <c r="J803" s="5">
        <v>6523.89</v>
      </c>
      <c r="K803" s="5">
        <v>5358.39</v>
      </c>
      <c r="L803" s="5">
        <v>1165.5</v>
      </c>
      <c r="M803" t="s">
        <v>57</v>
      </c>
      <c r="N803" t="s">
        <v>43</v>
      </c>
      <c r="O803" t="s">
        <v>37</v>
      </c>
    </row>
    <row r="804" spans="1:15">
      <c r="A804" t="s">
        <v>1289</v>
      </c>
      <c r="B804" s="3">
        <v>45893</v>
      </c>
      <c r="C804" t="s">
        <v>1290</v>
      </c>
      <c r="D804" t="s">
        <v>134</v>
      </c>
      <c r="E804" t="s">
        <v>61</v>
      </c>
      <c r="F804" t="s">
        <v>81</v>
      </c>
      <c r="G804">
        <v>2</v>
      </c>
      <c r="H804" s="5">
        <v>2629.74</v>
      </c>
      <c r="I804" s="4">
        <v>0.2</v>
      </c>
      <c r="J804" s="5">
        <v>4207.58</v>
      </c>
      <c r="K804" s="5">
        <v>2873.44</v>
      </c>
      <c r="L804" s="5">
        <v>1334.14</v>
      </c>
      <c r="M804" t="s">
        <v>35</v>
      </c>
      <c r="N804" t="s">
        <v>71</v>
      </c>
      <c r="O804" t="s">
        <v>37</v>
      </c>
    </row>
    <row r="805" spans="1:15">
      <c r="A805" t="s">
        <v>1291</v>
      </c>
      <c r="B805" s="3">
        <v>45693</v>
      </c>
      <c r="C805" t="s">
        <v>341</v>
      </c>
      <c r="D805" t="s">
        <v>40</v>
      </c>
      <c r="E805" t="s">
        <v>61</v>
      </c>
      <c r="F805" t="s">
        <v>84</v>
      </c>
      <c r="G805">
        <v>2</v>
      </c>
      <c r="H805" s="5">
        <v>2885.01</v>
      </c>
      <c r="I805" s="4">
        <v>0</v>
      </c>
      <c r="J805" s="5">
        <v>5770.02</v>
      </c>
      <c r="K805" s="5">
        <v>3444.14</v>
      </c>
      <c r="L805" s="5">
        <v>2325.88</v>
      </c>
      <c r="M805" t="s">
        <v>35</v>
      </c>
      <c r="N805" t="s">
        <v>43</v>
      </c>
      <c r="O805" t="s">
        <v>37</v>
      </c>
    </row>
    <row r="806" spans="1:15">
      <c r="A806" t="s">
        <v>1292</v>
      </c>
      <c r="B806" s="3">
        <v>45872</v>
      </c>
      <c r="C806" t="s">
        <v>454</v>
      </c>
      <c r="D806" t="s">
        <v>52</v>
      </c>
      <c r="E806" t="s">
        <v>61</v>
      </c>
      <c r="F806" t="s">
        <v>89</v>
      </c>
      <c r="G806">
        <v>2</v>
      </c>
      <c r="H806" s="5">
        <v>5312.09</v>
      </c>
      <c r="I806" s="4">
        <v>0.1</v>
      </c>
      <c r="J806" s="5">
        <v>9561.76</v>
      </c>
      <c r="K806" s="5">
        <v>7452.92</v>
      </c>
      <c r="L806" s="5">
        <v>2108.84</v>
      </c>
      <c r="M806" t="s">
        <v>35</v>
      </c>
      <c r="N806" t="s">
        <v>63</v>
      </c>
      <c r="O806" t="s">
        <v>44</v>
      </c>
    </row>
    <row r="807" spans="1:15">
      <c r="A807" t="s">
        <v>1293</v>
      </c>
      <c r="B807" s="3">
        <v>45746</v>
      </c>
      <c r="C807" t="s">
        <v>980</v>
      </c>
      <c r="D807" t="s">
        <v>56</v>
      </c>
      <c r="E807" t="s">
        <v>33</v>
      </c>
      <c r="F807" t="s">
        <v>96</v>
      </c>
      <c r="G807">
        <v>4</v>
      </c>
      <c r="H807" s="5">
        <v>4604.33</v>
      </c>
      <c r="I807" s="4">
        <v>0</v>
      </c>
      <c r="J807" s="5">
        <v>18417.32</v>
      </c>
      <c r="K807" s="5">
        <v>12380.07</v>
      </c>
      <c r="L807" s="5">
        <v>6037.25</v>
      </c>
      <c r="M807" t="s">
        <v>57</v>
      </c>
      <c r="N807" t="s">
        <v>36</v>
      </c>
      <c r="O807" t="s">
        <v>44</v>
      </c>
    </row>
    <row r="808" spans="1:15">
      <c r="A808" t="s">
        <v>1294</v>
      </c>
      <c r="B808" s="3">
        <v>45683</v>
      </c>
      <c r="C808" t="s">
        <v>466</v>
      </c>
      <c r="D808" t="s">
        <v>74</v>
      </c>
      <c r="E808" t="s">
        <v>48</v>
      </c>
      <c r="F808" t="s">
        <v>102</v>
      </c>
      <c r="G808">
        <v>6</v>
      </c>
      <c r="H808" s="5">
        <v>1251.3</v>
      </c>
      <c r="I808" s="4">
        <v>0.1</v>
      </c>
      <c r="J808" s="5">
        <v>6757.02</v>
      </c>
      <c r="K808" s="5">
        <v>3865.24</v>
      </c>
      <c r="L808" s="5">
        <v>2891.78</v>
      </c>
      <c r="M808" t="s">
        <v>57</v>
      </c>
      <c r="N808" t="s">
        <v>63</v>
      </c>
      <c r="O808" t="s">
        <v>44</v>
      </c>
    </row>
    <row r="809" spans="1:15">
      <c r="A809" t="s">
        <v>1295</v>
      </c>
      <c r="B809" s="3">
        <v>46095</v>
      </c>
      <c r="C809" t="s">
        <v>674</v>
      </c>
      <c r="D809" t="s">
        <v>95</v>
      </c>
      <c r="E809" t="s">
        <v>41</v>
      </c>
      <c r="F809" t="s">
        <v>119</v>
      </c>
      <c r="G809">
        <v>4</v>
      </c>
      <c r="H809" s="5">
        <v>2938.23</v>
      </c>
      <c r="I809" s="4">
        <v>0.05</v>
      </c>
      <c r="J809" s="5">
        <v>11165.27</v>
      </c>
      <c r="K809" s="5">
        <v>7899.23</v>
      </c>
      <c r="L809" s="5">
        <v>3266.04</v>
      </c>
      <c r="M809" t="s">
        <v>35</v>
      </c>
      <c r="N809" t="s">
        <v>71</v>
      </c>
      <c r="O809" t="s">
        <v>44</v>
      </c>
    </row>
    <row r="810" spans="1:15">
      <c r="A810" t="s">
        <v>1296</v>
      </c>
      <c r="B810" s="3">
        <v>46133</v>
      </c>
      <c r="C810" t="s">
        <v>1297</v>
      </c>
      <c r="D810" t="s">
        <v>56</v>
      </c>
      <c r="E810" t="s">
        <v>33</v>
      </c>
      <c r="F810" t="s">
        <v>34</v>
      </c>
      <c r="G810">
        <v>4</v>
      </c>
      <c r="H810" s="5">
        <v>1458.77</v>
      </c>
      <c r="I810" s="4">
        <v>0.1</v>
      </c>
      <c r="J810" s="5">
        <v>5251.57</v>
      </c>
      <c r="K810" s="5">
        <v>4056.94</v>
      </c>
      <c r="L810" s="5">
        <v>1194.6300000000001</v>
      </c>
      <c r="M810" t="s">
        <v>57</v>
      </c>
      <c r="N810" t="s">
        <v>43</v>
      </c>
      <c r="O810" t="s">
        <v>44</v>
      </c>
    </row>
    <row r="811" spans="1:15">
      <c r="A811" t="s">
        <v>1298</v>
      </c>
      <c r="B811" s="3">
        <v>45982</v>
      </c>
      <c r="C811" t="s">
        <v>1010</v>
      </c>
      <c r="D811" t="s">
        <v>74</v>
      </c>
      <c r="E811" t="s">
        <v>61</v>
      </c>
      <c r="F811" t="s">
        <v>129</v>
      </c>
      <c r="G811">
        <v>2</v>
      </c>
      <c r="H811" s="5">
        <v>1763.83</v>
      </c>
      <c r="I811" s="4">
        <v>0</v>
      </c>
      <c r="J811" s="5">
        <v>3527.66</v>
      </c>
      <c r="K811" s="5">
        <v>1999.48</v>
      </c>
      <c r="L811" s="5">
        <v>1528.18</v>
      </c>
      <c r="M811" t="s">
        <v>35</v>
      </c>
      <c r="N811" t="s">
        <v>43</v>
      </c>
      <c r="O811" t="s">
        <v>44</v>
      </c>
    </row>
    <row r="812" spans="1:15">
      <c r="A812" t="s">
        <v>1299</v>
      </c>
      <c r="B812" s="3">
        <v>45711</v>
      </c>
      <c r="C812" t="s">
        <v>148</v>
      </c>
      <c r="D812" t="s">
        <v>40</v>
      </c>
      <c r="E812" t="s">
        <v>48</v>
      </c>
      <c r="F812" t="s">
        <v>102</v>
      </c>
      <c r="G812">
        <v>1</v>
      </c>
      <c r="H812" s="5">
        <v>3375.21</v>
      </c>
      <c r="I812" s="4">
        <v>0</v>
      </c>
      <c r="J812" s="5">
        <v>3375.21</v>
      </c>
      <c r="K812" s="5">
        <v>2762.19</v>
      </c>
      <c r="L812" s="5">
        <v>613.02</v>
      </c>
      <c r="M812" t="s">
        <v>57</v>
      </c>
      <c r="N812" t="s">
        <v>63</v>
      </c>
      <c r="O812" t="s">
        <v>37</v>
      </c>
    </row>
    <row r="813" spans="1:15">
      <c r="A813" t="s">
        <v>1300</v>
      </c>
      <c r="B813" s="3">
        <v>45807</v>
      </c>
      <c r="C813" t="s">
        <v>1301</v>
      </c>
      <c r="D813" t="s">
        <v>40</v>
      </c>
      <c r="E813" t="s">
        <v>41</v>
      </c>
      <c r="F813" t="s">
        <v>53</v>
      </c>
      <c r="G813">
        <v>6</v>
      </c>
      <c r="H813" s="5">
        <v>2282.77</v>
      </c>
      <c r="I813" s="4">
        <v>0</v>
      </c>
      <c r="J813" s="5">
        <v>13696.62</v>
      </c>
      <c r="K813" s="5">
        <v>8415.69</v>
      </c>
      <c r="L813" s="5">
        <v>5280.93</v>
      </c>
      <c r="M813" t="s">
        <v>35</v>
      </c>
      <c r="N813" t="s">
        <v>63</v>
      </c>
      <c r="O813" t="s">
        <v>37</v>
      </c>
    </row>
    <row r="814" spans="1:15">
      <c r="A814" t="s">
        <v>1302</v>
      </c>
      <c r="B814" s="3">
        <v>46165</v>
      </c>
      <c r="C814" t="s">
        <v>1303</v>
      </c>
      <c r="D814" t="s">
        <v>95</v>
      </c>
      <c r="E814" t="s">
        <v>61</v>
      </c>
      <c r="F814" t="s">
        <v>81</v>
      </c>
      <c r="G814">
        <v>6</v>
      </c>
      <c r="H814" s="5">
        <v>4265.17</v>
      </c>
      <c r="I814" s="4">
        <v>0</v>
      </c>
      <c r="J814" s="5">
        <v>25591.02</v>
      </c>
      <c r="K814" s="5">
        <v>18065.63</v>
      </c>
      <c r="L814" s="5">
        <v>7525.39</v>
      </c>
      <c r="M814" t="s">
        <v>57</v>
      </c>
      <c r="N814" t="s">
        <v>43</v>
      </c>
      <c r="O814" t="s">
        <v>44</v>
      </c>
    </row>
    <row r="815" spans="1:15">
      <c r="A815" t="s">
        <v>1304</v>
      </c>
      <c r="B815" s="3">
        <v>46172</v>
      </c>
      <c r="C815" t="s">
        <v>619</v>
      </c>
      <c r="D815" t="s">
        <v>74</v>
      </c>
      <c r="E815" t="s">
        <v>33</v>
      </c>
      <c r="F815" t="s">
        <v>92</v>
      </c>
      <c r="G815">
        <v>5</v>
      </c>
      <c r="H815" s="5">
        <v>3723.63</v>
      </c>
      <c r="I815" s="4">
        <v>0</v>
      </c>
      <c r="J815" s="5">
        <v>18618.150000000001</v>
      </c>
      <c r="K815" s="5">
        <v>13351.54</v>
      </c>
      <c r="L815" s="5">
        <v>5266.61</v>
      </c>
      <c r="M815" t="s">
        <v>57</v>
      </c>
      <c r="N815" t="s">
        <v>63</v>
      </c>
      <c r="O815" t="s">
        <v>37</v>
      </c>
    </row>
    <row r="816" spans="1:15">
      <c r="A816" t="s">
        <v>1305</v>
      </c>
      <c r="B816" s="3">
        <v>45980</v>
      </c>
      <c r="C816" t="s">
        <v>1052</v>
      </c>
      <c r="D816" t="s">
        <v>66</v>
      </c>
      <c r="E816" t="s">
        <v>33</v>
      </c>
      <c r="F816" t="s">
        <v>92</v>
      </c>
      <c r="G816">
        <v>2</v>
      </c>
      <c r="H816" s="5">
        <v>5064.4399999999996</v>
      </c>
      <c r="I816" s="4">
        <v>0.05</v>
      </c>
      <c r="J816" s="5">
        <v>9622.44</v>
      </c>
      <c r="K816" s="5">
        <v>6353.78</v>
      </c>
      <c r="L816" s="5">
        <v>3268.66</v>
      </c>
      <c r="M816" t="s">
        <v>57</v>
      </c>
      <c r="N816" t="s">
        <v>43</v>
      </c>
      <c r="O816" t="s">
        <v>44</v>
      </c>
    </row>
    <row r="817" spans="1:15">
      <c r="A817" t="s">
        <v>1306</v>
      </c>
      <c r="B817" s="3">
        <v>45675</v>
      </c>
      <c r="C817" t="s">
        <v>1307</v>
      </c>
      <c r="D817" t="s">
        <v>134</v>
      </c>
      <c r="E817" t="s">
        <v>48</v>
      </c>
      <c r="F817" t="s">
        <v>99</v>
      </c>
      <c r="G817">
        <v>5</v>
      </c>
      <c r="H817" s="5">
        <v>948.14</v>
      </c>
      <c r="I817" s="4">
        <v>0</v>
      </c>
      <c r="J817" s="5">
        <v>4740.7</v>
      </c>
      <c r="K817" s="5">
        <v>3469.9</v>
      </c>
      <c r="L817" s="5">
        <v>1270.8</v>
      </c>
      <c r="M817" t="s">
        <v>35</v>
      </c>
      <c r="N817" t="s">
        <v>71</v>
      </c>
      <c r="O817" t="s">
        <v>44</v>
      </c>
    </row>
    <row r="818" spans="1:15">
      <c r="A818" t="s">
        <v>1308</v>
      </c>
      <c r="B818" s="3">
        <v>45930</v>
      </c>
      <c r="C818" t="s">
        <v>1309</v>
      </c>
      <c r="D818" t="s">
        <v>32</v>
      </c>
      <c r="E818" t="s">
        <v>48</v>
      </c>
      <c r="F818" t="s">
        <v>49</v>
      </c>
      <c r="G818">
        <v>5</v>
      </c>
      <c r="H818" s="5">
        <v>4526.3900000000003</v>
      </c>
      <c r="I818" s="4">
        <v>0</v>
      </c>
      <c r="J818" s="5">
        <v>22631.95</v>
      </c>
      <c r="K818" s="5">
        <v>19185.47</v>
      </c>
      <c r="L818" s="5">
        <v>3446.48</v>
      </c>
      <c r="M818" t="s">
        <v>35</v>
      </c>
      <c r="N818" t="s">
        <v>43</v>
      </c>
      <c r="O818" t="s">
        <v>44</v>
      </c>
    </row>
    <row r="819" spans="1:15">
      <c r="A819" t="s">
        <v>1310</v>
      </c>
      <c r="B819" s="3">
        <v>45964</v>
      </c>
      <c r="C819" t="s">
        <v>727</v>
      </c>
      <c r="D819" t="s">
        <v>56</v>
      </c>
      <c r="E819" t="s">
        <v>61</v>
      </c>
      <c r="F819" t="s">
        <v>89</v>
      </c>
      <c r="G819">
        <v>6</v>
      </c>
      <c r="H819" s="5">
        <v>207.01</v>
      </c>
      <c r="I819" s="4">
        <v>0</v>
      </c>
      <c r="J819" s="5">
        <v>1242.06</v>
      </c>
      <c r="K819" s="5">
        <v>715</v>
      </c>
      <c r="L819" s="5">
        <v>527.05999999999995</v>
      </c>
      <c r="M819" t="s">
        <v>57</v>
      </c>
      <c r="N819" t="s">
        <v>63</v>
      </c>
      <c r="O819" t="s">
        <v>44</v>
      </c>
    </row>
    <row r="820" spans="1:15">
      <c r="A820" t="s">
        <v>1311</v>
      </c>
      <c r="B820" s="3">
        <v>45737</v>
      </c>
      <c r="C820" t="s">
        <v>625</v>
      </c>
      <c r="D820" t="s">
        <v>32</v>
      </c>
      <c r="E820" t="s">
        <v>48</v>
      </c>
      <c r="F820" t="s">
        <v>99</v>
      </c>
      <c r="G820">
        <v>3</v>
      </c>
      <c r="H820" s="5">
        <v>4943.08</v>
      </c>
      <c r="I820" s="4">
        <v>0.15</v>
      </c>
      <c r="J820" s="5">
        <v>12604.85</v>
      </c>
      <c r="K820" s="5">
        <v>7473.34</v>
      </c>
      <c r="L820" s="5">
        <v>5131.51</v>
      </c>
      <c r="M820" t="s">
        <v>35</v>
      </c>
      <c r="N820" t="s">
        <v>43</v>
      </c>
      <c r="O820" t="s">
        <v>44</v>
      </c>
    </row>
    <row r="821" spans="1:15">
      <c r="A821" t="s">
        <v>1312</v>
      </c>
      <c r="B821" s="3">
        <v>45919</v>
      </c>
      <c r="C821" t="s">
        <v>1313</v>
      </c>
      <c r="D821" t="s">
        <v>66</v>
      </c>
      <c r="E821" t="s">
        <v>41</v>
      </c>
      <c r="F821" t="s">
        <v>153</v>
      </c>
      <c r="G821">
        <v>4</v>
      </c>
      <c r="H821" s="5">
        <v>3219.06</v>
      </c>
      <c r="I821" s="4">
        <v>0.05</v>
      </c>
      <c r="J821" s="5">
        <v>12232.43</v>
      </c>
      <c r="K821" s="5">
        <v>10364.61</v>
      </c>
      <c r="L821" s="5">
        <v>1867.82</v>
      </c>
      <c r="M821" t="s">
        <v>35</v>
      </c>
      <c r="N821" t="s">
        <v>36</v>
      </c>
      <c r="O821" t="s">
        <v>37</v>
      </c>
    </row>
    <row r="822" spans="1:15">
      <c r="A822" t="s">
        <v>1314</v>
      </c>
      <c r="B822" s="3">
        <v>45687</v>
      </c>
      <c r="C822" t="s">
        <v>269</v>
      </c>
      <c r="D822" t="s">
        <v>66</v>
      </c>
      <c r="E822" t="s">
        <v>33</v>
      </c>
      <c r="F822" t="s">
        <v>34</v>
      </c>
      <c r="G822">
        <v>1</v>
      </c>
      <c r="H822" s="5">
        <v>2809.62</v>
      </c>
      <c r="I822" s="4">
        <v>0.2</v>
      </c>
      <c r="J822" s="5">
        <v>2247.6999999999998</v>
      </c>
      <c r="K822" s="5">
        <v>1845.85</v>
      </c>
      <c r="L822" s="5">
        <v>401.85</v>
      </c>
      <c r="M822" t="s">
        <v>35</v>
      </c>
      <c r="N822" t="s">
        <v>63</v>
      </c>
      <c r="O822" t="s">
        <v>44</v>
      </c>
    </row>
    <row r="823" spans="1:15">
      <c r="A823" t="s">
        <v>1315</v>
      </c>
      <c r="B823" s="3">
        <v>45991</v>
      </c>
      <c r="C823" t="s">
        <v>954</v>
      </c>
      <c r="D823" t="s">
        <v>40</v>
      </c>
      <c r="E823" t="s">
        <v>61</v>
      </c>
      <c r="F823" t="s">
        <v>89</v>
      </c>
      <c r="G823">
        <v>4</v>
      </c>
      <c r="H823" s="5">
        <v>2147.88</v>
      </c>
      <c r="I823" s="4">
        <v>0.2</v>
      </c>
      <c r="J823" s="5">
        <v>6873.22</v>
      </c>
      <c r="K823" s="5">
        <v>3875.82</v>
      </c>
      <c r="L823" s="5">
        <v>2997.4</v>
      </c>
      <c r="M823" t="s">
        <v>57</v>
      </c>
      <c r="N823" t="s">
        <v>36</v>
      </c>
      <c r="O823" t="s">
        <v>44</v>
      </c>
    </row>
    <row r="824" spans="1:15">
      <c r="A824" t="s">
        <v>1316</v>
      </c>
      <c r="B824" s="3">
        <v>45734</v>
      </c>
      <c r="C824" t="s">
        <v>527</v>
      </c>
      <c r="D824" t="s">
        <v>52</v>
      </c>
      <c r="E824" t="s">
        <v>61</v>
      </c>
      <c r="F824" t="s">
        <v>81</v>
      </c>
      <c r="G824">
        <v>1</v>
      </c>
      <c r="H824" s="5">
        <v>287.87</v>
      </c>
      <c r="I824" s="4">
        <v>0.05</v>
      </c>
      <c r="J824" s="5">
        <v>273.48</v>
      </c>
      <c r="K824" s="5">
        <v>171.32</v>
      </c>
      <c r="L824" s="5">
        <v>102.16</v>
      </c>
      <c r="M824" t="s">
        <v>35</v>
      </c>
      <c r="N824" t="s">
        <v>36</v>
      </c>
      <c r="O824" t="s">
        <v>44</v>
      </c>
    </row>
    <row r="825" spans="1:15">
      <c r="A825" t="s">
        <v>1317</v>
      </c>
      <c r="B825" s="3">
        <v>46232</v>
      </c>
      <c r="C825" t="s">
        <v>644</v>
      </c>
      <c r="D825" t="s">
        <v>40</v>
      </c>
      <c r="E825" t="s">
        <v>41</v>
      </c>
      <c r="F825" t="s">
        <v>124</v>
      </c>
      <c r="G825">
        <v>4</v>
      </c>
      <c r="H825" s="5">
        <v>2220.58</v>
      </c>
      <c r="I825" s="4">
        <v>0.15</v>
      </c>
      <c r="J825" s="5">
        <v>7549.97</v>
      </c>
      <c r="K825" s="5">
        <v>6193.92</v>
      </c>
      <c r="L825" s="5">
        <v>1356.05</v>
      </c>
      <c r="M825" t="s">
        <v>35</v>
      </c>
      <c r="N825" t="s">
        <v>43</v>
      </c>
      <c r="O825" t="s">
        <v>37</v>
      </c>
    </row>
    <row r="826" spans="1:15">
      <c r="A826" t="s">
        <v>1318</v>
      </c>
      <c r="B826" s="3">
        <v>46223</v>
      </c>
      <c r="C826" t="s">
        <v>1319</v>
      </c>
      <c r="D826" t="s">
        <v>56</v>
      </c>
      <c r="E826" t="s">
        <v>48</v>
      </c>
      <c r="F826" t="s">
        <v>49</v>
      </c>
      <c r="G826">
        <v>3</v>
      </c>
      <c r="H826" s="5">
        <v>2440.98</v>
      </c>
      <c r="I826" s="4">
        <v>0.15</v>
      </c>
      <c r="J826" s="5">
        <v>6224.5</v>
      </c>
      <c r="K826" s="5">
        <v>4855.6400000000003</v>
      </c>
      <c r="L826" s="5">
        <v>1368.86</v>
      </c>
      <c r="M826" t="s">
        <v>35</v>
      </c>
      <c r="N826" t="s">
        <v>71</v>
      </c>
      <c r="O826" t="s">
        <v>37</v>
      </c>
    </row>
    <row r="827" spans="1:15">
      <c r="A827" t="s">
        <v>1320</v>
      </c>
      <c r="B827" s="3">
        <v>46164</v>
      </c>
      <c r="C827" t="s">
        <v>152</v>
      </c>
      <c r="D827" t="s">
        <v>52</v>
      </c>
      <c r="E827" t="s">
        <v>33</v>
      </c>
      <c r="F827" t="s">
        <v>96</v>
      </c>
      <c r="G827">
        <v>3</v>
      </c>
      <c r="H827" s="5">
        <v>3430.52</v>
      </c>
      <c r="I827" s="4">
        <v>0.1</v>
      </c>
      <c r="J827" s="5">
        <v>9262.4</v>
      </c>
      <c r="K827" s="5">
        <v>7706.76</v>
      </c>
      <c r="L827" s="5">
        <v>1555.64</v>
      </c>
      <c r="M827" t="s">
        <v>35</v>
      </c>
      <c r="N827" t="s">
        <v>36</v>
      </c>
      <c r="O827" t="s">
        <v>44</v>
      </c>
    </row>
    <row r="828" spans="1:15">
      <c r="A828" t="s">
        <v>1321</v>
      </c>
      <c r="B828" s="3">
        <v>45899</v>
      </c>
      <c r="C828" t="s">
        <v>140</v>
      </c>
      <c r="D828" t="s">
        <v>52</v>
      </c>
      <c r="E828" t="s">
        <v>61</v>
      </c>
      <c r="F828" t="s">
        <v>129</v>
      </c>
      <c r="G828">
        <v>5</v>
      </c>
      <c r="H828" s="5">
        <v>3706.34</v>
      </c>
      <c r="I828" s="4">
        <v>0.05</v>
      </c>
      <c r="J828" s="5">
        <v>17605.12</v>
      </c>
      <c r="K828" s="5">
        <v>11080.47</v>
      </c>
      <c r="L828" s="5">
        <v>6524.65</v>
      </c>
      <c r="M828" t="s">
        <v>35</v>
      </c>
      <c r="N828" t="s">
        <v>43</v>
      </c>
      <c r="O828" t="s">
        <v>44</v>
      </c>
    </row>
    <row r="829" spans="1:15">
      <c r="A829" t="s">
        <v>1322</v>
      </c>
      <c r="B829" s="3">
        <v>46152</v>
      </c>
      <c r="C829" t="s">
        <v>604</v>
      </c>
      <c r="D829" t="s">
        <v>74</v>
      </c>
      <c r="E829" t="s">
        <v>33</v>
      </c>
      <c r="F829" t="s">
        <v>34</v>
      </c>
      <c r="G829">
        <v>1</v>
      </c>
      <c r="H829" s="5">
        <v>2294.38</v>
      </c>
      <c r="I829" s="4">
        <v>0</v>
      </c>
      <c r="J829" s="5">
        <v>2294.38</v>
      </c>
      <c r="K829" s="5">
        <v>1680.64</v>
      </c>
      <c r="L829" s="5">
        <v>613.74</v>
      </c>
      <c r="M829" t="s">
        <v>57</v>
      </c>
      <c r="N829" t="s">
        <v>63</v>
      </c>
      <c r="O829" t="s">
        <v>37</v>
      </c>
    </row>
    <row r="830" spans="1:15">
      <c r="A830" t="s">
        <v>1323</v>
      </c>
      <c r="B830" s="3">
        <v>46252</v>
      </c>
      <c r="C830" t="s">
        <v>387</v>
      </c>
      <c r="D830" t="s">
        <v>74</v>
      </c>
      <c r="E830" t="s">
        <v>48</v>
      </c>
      <c r="F830" t="s">
        <v>99</v>
      </c>
      <c r="G830">
        <v>4</v>
      </c>
      <c r="H830" s="5">
        <v>4001.38</v>
      </c>
      <c r="I830" s="4">
        <v>0.15</v>
      </c>
      <c r="J830" s="5">
        <v>13604.69</v>
      </c>
      <c r="K830" s="5">
        <v>9187.19</v>
      </c>
      <c r="L830" s="5">
        <v>4417.5</v>
      </c>
      <c r="M830" t="s">
        <v>57</v>
      </c>
      <c r="N830" t="s">
        <v>43</v>
      </c>
      <c r="O830" t="s">
        <v>44</v>
      </c>
    </row>
    <row r="831" spans="1:15">
      <c r="A831" t="s">
        <v>1324</v>
      </c>
      <c r="B831" s="3">
        <v>46054</v>
      </c>
      <c r="C831" t="s">
        <v>692</v>
      </c>
      <c r="D831" t="s">
        <v>56</v>
      </c>
      <c r="E831" t="s">
        <v>33</v>
      </c>
      <c r="F831" t="s">
        <v>96</v>
      </c>
      <c r="G831">
        <v>1</v>
      </c>
      <c r="H831" s="5">
        <v>351.77</v>
      </c>
      <c r="I831" s="4">
        <v>0</v>
      </c>
      <c r="J831" s="5">
        <v>351.77</v>
      </c>
      <c r="K831" s="5">
        <v>277.89</v>
      </c>
      <c r="L831" s="5">
        <v>73.88</v>
      </c>
      <c r="M831" t="s">
        <v>35</v>
      </c>
      <c r="N831" t="s">
        <v>36</v>
      </c>
      <c r="O831" t="s">
        <v>44</v>
      </c>
    </row>
    <row r="832" spans="1:15">
      <c r="A832" t="s">
        <v>1325</v>
      </c>
      <c r="B832" s="3">
        <v>46076</v>
      </c>
      <c r="C832" t="s">
        <v>927</v>
      </c>
      <c r="D832" t="s">
        <v>32</v>
      </c>
      <c r="E832" t="s">
        <v>61</v>
      </c>
      <c r="F832" t="s">
        <v>84</v>
      </c>
      <c r="G832">
        <v>5</v>
      </c>
      <c r="H832" s="5">
        <v>4121.91</v>
      </c>
      <c r="I832" s="4">
        <v>0.2</v>
      </c>
      <c r="J832" s="5">
        <v>16487.64</v>
      </c>
      <c r="K832" s="5">
        <v>12069.37</v>
      </c>
      <c r="L832" s="5">
        <v>4418.2700000000004</v>
      </c>
      <c r="M832" t="s">
        <v>35</v>
      </c>
      <c r="N832" t="s">
        <v>36</v>
      </c>
      <c r="O832" t="s">
        <v>37</v>
      </c>
    </row>
    <row r="833" spans="1:15">
      <c r="A833" t="s">
        <v>1326</v>
      </c>
      <c r="B833" s="3">
        <v>46117</v>
      </c>
      <c r="C833" t="s">
        <v>1054</v>
      </c>
      <c r="D833" t="s">
        <v>74</v>
      </c>
      <c r="E833" t="s">
        <v>41</v>
      </c>
      <c r="F833" t="s">
        <v>42</v>
      </c>
      <c r="G833">
        <v>6</v>
      </c>
      <c r="H833" s="5">
        <v>2715.37</v>
      </c>
      <c r="I833" s="4">
        <v>0.05</v>
      </c>
      <c r="J833" s="5">
        <v>15477.61</v>
      </c>
      <c r="K833" s="5">
        <v>8998.7900000000009</v>
      </c>
      <c r="L833" s="5">
        <v>6478.82</v>
      </c>
      <c r="M833" t="s">
        <v>57</v>
      </c>
      <c r="N833" t="s">
        <v>36</v>
      </c>
      <c r="O833" t="s">
        <v>44</v>
      </c>
    </row>
    <row r="834" spans="1:15">
      <c r="A834" t="s">
        <v>1327</v>
      </c>
      <c r="B834" s="3">
        <v>45950</v>
      </c>
      <c r="C834" t="s">
        <v>328</v>
      </c>
      <c r="D834" t="s">
        <v>47</v>
      </c>
      <c r="E834" t="s">
        <v>48</v>
      </c>
      <c r="F834" t="s">
        <v>99</v>
      </c>
      <c r="G834">
        <v>6</v>
      </c>
      <c r="H834" s="5">
        <v>1510.93</v>
      </c>
      <c r="I834" s="4">
        <v>0.05</v>
      </c>
      <c r="J834" s="5">
        <v>8612.2999999999993</v>
      </c>
      <c r="K834" s="5">
        <v>7030.95</v>
      </c>
      <c r="L834" s="5">
        <v>1581.35</v>
      </c>
      <c r="M834" t="s">
        <v>57</v>
      </c>
      <c r="N834" t="s">
        <v>71</v>
      </c>
      <c r="O834" t="s">
        <v>44</v>
      </c>
    </row>
    <row r="835" spans="1:15">
      <c r="A835" t="s">
        <v>1328</v>
      </c>
      <c r="B835" s="3">
        <v>45965</v>
      </c>
      <c r="C835" t="s">
        <v>557</v>
      </c>
      <c r="D835" t="s">
        <v>95</v>
      </c>
      <c r="E835" t="s">
        <v>33</v>
      </c>
      <c r="F835" t="s">
        <v>34</v>
      </c>
      <c r="G835">
        <v>3</v>
      </c>
      <c r="H835" s="5">
        <v>580.02</v>
      </c>
      <c r="I835" s="4">
        <v>0</v>
      </c>
      <c r="J835" s="5">
        <v>1740.06</v>
      </c>
      <c r="K835" s="5">
        <v>1339.83</v>
      </c>
      <c r="L835" s="5">
        <v>400.23</v>
      </c>
      <c r="M835" t="s">
        <v>57</v>
      </c>
      <c r="N835" t="s">
        <v>71</v>
      </c>
      <c r="O835" t="s">
        <v>44</v>
      </c>
    </row>
    <row r="836" spans="1:15">
      <c r="A836" t="s">
        <v>1329</v>
      </c>
      <c r="B836" s="3">
        <v>46152</v>
      </c>
      <c r="C836" t="s">
        <v>679</v>
      </c>
      <c r="D836" t="s">
        <v>66</v>
      </c>
      <c r="E836" t="s">
        <v>61</v>
      </c>
      <c r="F836" t="s">
        <v>129</v>
      </c>
      <c r="G836">
        <v>2</v>
      </c>
      <c r="H836" s="5">
        <v>5400.25</v>
      </c>
      <c r="I836" s="4">
        <v>0.1</v>
      </c>
      <c r="J836" s="5">
        <v>9720.4500000000007</v>
      </c>
      <c r="K836" s="5">
        <v>7070.01</v>
      </c>
      <c r="L836" s="5">
        <v>2650.44</v>
      </c>
      <c r="M836" t="s">
        <v>57</v>
      </c>
      <c r="N836" t="s">
        <v>71</v>
      </c>
      <c r="O836" t="s">
        <v>37</v>
      </c>
    </row>
    <row r="837" spans="1:15">
      <c r="A837" t="s">
        <v>1330</v>
      </c>
      <c r="B837" s="3">
        <v>45864</v>
      </c>
      <c r="C837" t="s">
        <v>655</v>
      </c>
      <c r="D837" t="s">
        <v>47</v>
      </c>
      <c r="E837" t="s">
        <v>41</v>
      </c>
      <c r="F837" t="s">
        <v>53</v>
      </c>
      <c r="G837">
        <v>6</v>
      </c>
      <c r="H837" s="5">
        <v>4964.95</v>
      </c>
      <c r="I837" s="4">
        <v>0</v>
      </c>
      <c r="J837" s="5">
        <v>29789.7</v>
      </c>
      <c r="K837" s="5">
        <v>17414.93</v>
      </c>
      <c r="L837" s="5">
        <v>12374.77</v>
      </c>
      <c r="M837" t="s">
        <v>35</v>
      </c>
      <c r="N837" t="s">
        <v>63</v>
      </c>
      <c r="O837" t="s">
        <v>37</v>
      </c>
    </row>
    <row r="838" spans="1:15">
      <c r="A838" t="s">
        <v>1331</v>
      </c>
      <c r="B838" s="3">
        <v>45993</v>
      </c>
      <c r="C838" t="s">
        <v>1332</v>
      </c>
      <c r="D838" t="s">
        <v>56</v>
      </c>
      <c r="E838" t="s">
        <v>33</v>
      </c>
      <c r="F838" t="s">
        <v>67</v>
      </c>
      <c r="G838">
        <v>2</v>
      </c>
      <c r="H838" s="5">
        <v>2010.31</v>
      </c>
      <c r="I838" s="4">
        <v>0</v>
      </c>
      <c r="J838" s="5">
        <v>4020.62</v>
      </c>
      <c r="K838" s="5">
        <v>2369.7600000000002</v>
      </c>
      <c r="L838" s="5">
        <v>1650.86</v>
      </c>
      <c r="M838" t="s">
        <v>57</v>
      </c>
      <c r="N838" t="s">
        <v>63</v>
      </c>
      <c r="O838" t="s">
        <v>44</v>
      </c>
    </row>
    <row r="839" spans="1:15">
      <c r="A839" t="s">
        <v>1333</v>
      </c>
      <c r="B839" s="3">
        <v>45990</v>
      </c>
      <c r="C839" t="s">
        <v>1334</v>
      </c>
      <c r="D839" t="s">
        <v>74</v>
      </c>
      <c r="E839" t="s">
        <v>61</v>
      </c>
      <c r="F839" t="s">
        <v>81</v>
      </c>
      <c r="G839">
        <v>4</v>
      </c>
      <c r="H839" s="5">
        <v>1196.32</v>
      </c>
      <c r="I839" s="4">
        <v>0.2</v>
      </c>
      <c r="J839" s="5">
        <v>3828.22</v>
      </c>
      <c r="K839" s="5">
        <v>3001.08</v>
      </c>
      <c r="L839" s="5">
        <v>827.14</v>
      </c>
      <c r="M839" t="s">
        <v>57</v>
      </c>
      <c r="N839" t="s">
        <v>43</v>
      </c>
      <c r="O839" t="s">
        <v>44</v>
      </c>
    </row>
    <row r="840" spans="1:15">
      <c r="A840" t="s">
        <v>1335</v>
      </c>
      <c r="B840" s="3">
        <v>45728</v>
      </c>
      <c r="C840" t="s">
        <v>998</v>
      </c>
      <c r="D840" t="s">
        <v>66</v>
      </c>
      <c r="E840" t="s">
        <v>48</v>
      </c>
      <c r="F840" t="s">
        <v>49</v>
      </c>
      <c r="G840">
        <v>6</v>
      </c>
      <c r="H840" s="5">
        <v>1261.48</v>
      </c>
      <c r="I840" s="4">
        <v>0</v>
      </c>
      <c r="J840" s="5">
        <v>7568.88</v>
      </c>
      <c r="K840" s="5">
        <v>6044.59</v>
      </c>
      <c r="L840" s="5">
        <v>1524.29</v>
      </c>
      <c r="M840" t="s">
        <v>35</v>
      </c>
      <c r="N840" t="s">
        <v>43</v>
      </c>
      <c r="O840" t="s">
        <v>37</v>
      </c>
    </row>
    <row r="841" spans="1:15">
      <c r="A841" t="s">
        <v>1336</v>
      </c>
      <c r="B841" s="3">
        <v>45682</v>
      </c>
      <c r="C841" t="s">
        <v>131</v>
      </c>
      <c r="D841" t="s">
        <v>95</v>
      </c>
      <c r="E841" t="s">
        <v>41</v>
      </c>
      <c r="F841" t="s">
        <v>124</v>
      </c>
      <c r="G841">
        <v>5</v>
      </c>
      <c r="H841" s="5">
        <v>4677.96</v>
      </c>
      <c r="I841" s="4">
        <v>0</v>
      </c>
      <c r="J841" s="5">
        <v>23389.8</v>
      </c>
      <c r="K841" s="5">
        <v>14558.4</v>
      </c>
      <c r="L841" s="5">
        <v>8831.4</v>
      </c>
      <c r="M841" t="s">
        <v>57</v>
      </c>
      <c r="N841" t="s">
        <v>63</v>
      </c>
      <c r="O841" t="s">
        <v>44</v>
      </c>
    </row>
    <row r="842" spans="1:15">
      <c r="A842" t="s">
        <v>1337</v>
      </c>
      <c r="B842" s="3">
        <v>46214</v>
      </c>
      <c r="C842" t="s">
        <v>1338</v>
      </c>
      <c r="D842" t="s">
        <v>47</v>
      </c>
      <c r="E842" t="s">
        <v>33</v>
      </c>
      <c r="F842" t="s">
        <v>34</v>
      </c>
      <c r="G842">
        <v>1</v>
      </c>
      <c r="H842" s="5">
        <v>1733.89</v>
      </c>
      <c r="I842" s="4">
        <v>0.2</v>
      </c>
      <c r="J842" s="5">
        <v>1387.11</v>
      </c>
      <c r="K842" s="5">
        <v>827.02</v>
      </c>
      <c r="L842" s="5">
        <v>560.09</v>
      </c>
      <c r="M842" t="s">
        <v>57</v>
      </c>
      <c r="N842" t="s">
        <v>71</v>
      </c>
      <c r="O842" t="s">
        <v>44</v>
      </c>
    </row>
    <row r="843" spans="1:15">
      <c r="A843" t="s">
        <v>1339</v>
      </c>
      <c r="B843" s="3">
        <v>45906</v>
      </c>
      <c r="C843" t="s">
        <v>83</v>
      </c>
      <c r="D843" t="s">
        <v>95</v>
      </c>
      <c r="E843" t="s">
        <v>48</v>
      </c>
      <c r="F843" t="s">
        <v>70</v>
      </c>
      <c r="G843">
        <v>3</v>
      </c>
      <c r="H843" s="5">
        <v>2302.46</v>
      </c>
      <c r="I843" s="4">
        <v>0</v>
      </c>
      <c r="J843" s="5">
        <v>6907.38</v>
      </c>
      <c r="K843" s="5">
        <v>5148.1099999999997</v>
      </c>
      <c r="L843" s="5">
        <v>1759.27</v>
      </c>
      <c r="M843" t="s">
        <v>35</v>
      </c>
      <c r="N843" t="s">
        <v>71</v>
      </c>
      <c r="O843" t="s">
        <v>44</v>
      </c>
    </row>
    <row r="844" spans="1:15">
      <c r="A844" t="s">
        <v>1340</v>
      </c>
      <c r="B844" s="3">
        <v>45720</v>
      </c>
      <c r="C844" t="s">
        <v>815</v>
      </c>
      <c r="D844" t="s">
        <v>66</v>
      </c>
      <c r="E844" t="s">
        <v>33</v>
      </c>
      <c r="F844" t="s">
        <v>34</v>
      </c>
      <c r="G844">
        <v>4</v>
      </c>
      <c r="H844" s="5">
        <v>3355.33</v>
      </c>
      <c r="I844" s="4">
        <v>0</v>
      </c>
      <c r="J844" s="5">
        <v>13421.32</v>
      </c>
      <c r="K844" s="5">
        <v>8626.1</v>
      </c>
      <c r="L844" s="5">
        <v>4795.22</v>
      </c>
      <c r="M844" t="s">
        <v>57</v>
      </c>
      <c r="N844" t="s">
        <v>36</v>
      </c>
      <c r="O844" t="s">
        <v>44</v>
      </c>
    </row>
    <row r="845" spans="1:15">
      <c r="A845" t="s">
        <v>1341</v>
      </c>
      <c r="B845" s="3">
        <v>46077</v>
      </c>
      <c r="C845" t="s">
        <v>1342</v>
      </c>
      <c r="D845" t="s">
        <v>40</v>
      </c>
      <c r="E845" t="s">
        <v>48</v>
      </c>
      <c r="F845" t="s">
        <v>70</v>
      </c>
      <c r="G845">
        <v>6</v>
      </c>
      <c r="H845" s="5">
        <v>1784.31</v>
      </c>
      <c r="I845" s="4">
        <v>0.2</v>
      </c>
      <c r="J845" s="5">
        <v>8564.69</v>
      </c>
      <c r="K845" s="5">
        <v>4758.62</v>
      </c>
      <c r="L845" s="5">
        <v>3806.07</v>
      </c>
      <c r="M845" t="s">
        <v>57</v>
      </c>
      <c r="N845" t="s">
        <v>43</v>
      </c>
      <c r="O845" t="s">
        <v>37</v>
      </c>
    </row>
    <row r="846" spans="1:15">
      <c r="A846" t="s">
        <v>1343</v>
      </c>
      <c r="B846" s="3">
        <v>45954</v>
      </c>
      <c r="C846" t="s">
        <v>228</v>
      </c>
      <c r="D846" t="s">
        <v>60</v>
      </c>
      <c r="E846" t="s">
        <v>48</v>
      </c>
      <c r="F846" t="s">
        <v>102</v>
      </c>
      <c r="G846">
        <v>2</v>
      </c>
      <c r="H846" s="5">
        <v>4381.57</v>
      </c>
      <c r="I846" s="4">
        <v>0.05</v>
      </c>
      <c r="J846" s="5">
        <v>8324.98</v>
      </c>
      <c r="K846" s="5">
        <v>5435.36</v>
      </c>
      <c r="L846" s="5">
        <v>2889.62</v>
      </c>
      <c r="M846" t="s">
        <v>35</v>
      </c>
      <c r="N846" t="s">
        <v>36</v>
      </c>
      <c r="O846" t="s">
        <v>44</v>
      </c>
    </row>
    <row r="847" spans="1:15">
      <c r="A847" t="s">
        <v>1344</v>
      </c>
      <c r="B847" s="3">
        <v>45961</v>
      </c>
      <c r="C847" t="s">
        <v>73</v>
      </c>
      <c r="D847" t="s">
        <v>66</v>
      </c>
      <c r="E847" t="s">
        <v>48</v>
      </c>
      <c r="F847" t="s">
        <v>102</v>
      </c>
      <c r="G847">
        <v>4</v>
      </c>
      <c r="H847" s="5">
        <v>3321.41</v>
      </c>
      <c r="I847" s="4">
        <v>0</v>
      </c>
      <c r="J847" s="5">
        <v>13285.64</v>
      </c>
      <c r="K847" s="5">
        <v>10049.68</v>
      </c>
      <c r="L847" s="5">
        <v>3235.96</v>
      </c>
      <c r="M847" t="s">
        <v>35</v>
      </c>
      <c r="N847" t="s">
        <v>71</v>
      </c>
      <c r="O847" t="s">
        <v>37</v>
      </c>
    </row>
    <row r="848" spans="1:15">
      <c r="A848" t="s">
        <v>1345</v>
      </c>
      <c r="B848" s="3">
        <v>46220</v>
      </c>
      <c r="C848" t="s">
        <v>1000</v>
      </c>
      <c r="D848" t="s">
        <v>95</v>
      </c>
      <c r="E848" t="s">
        <v>48</v>
      </c>
      <c r="F848" t="s">
        <v>113</v>
      </c>
      <c r="G848">
        <v>4</v>
      </c>
      <c r="H848" s="5">
        <v>1015.18</v>
      </c>
      <c r="I848" s="4">
        <v>0.15</v>
      </c>
      <c r="J848" s="5">
        <v>3451.61</v>
      </c>
      <c r="K848" s="5">
        <v>2176.31</v>
      </c>
      <c r="L848" s="5">
        <v>1275.3</v>
      </c>
      <c r="M848" t="s">
        <v>57</v>
      </c>
      <c r="N848" t="s">
        <v>63</v>
      </c>
      <c r="O848" t="s">
        <v>44</v>
      </c>
    </row>
    <row r="849" spans="1:15">
      <c r="A849" t="s">
        <v>1346</v>
      </c>
      <c r="B849" s="3">
        <v>45767</v>
      </c>
      <c r="C849" t="s">
        <v>306</v>
      </c>
      <c r="D849" t="s">
        <v>74</v>
      </c>
      <c r="E849" t="s">
        <v>41</v>
      </c>
      <c r="F849" t="s">
        <v>42</v>
      </c>
      <c r="G849">
        <v>2</v>
      </c>
      <c r="H849" s="5">
        <v>4512.28</v>
      </c>
      <c r="I849" s="4">
        <v>0.05</v>
      </c>
      <c r="J849" s="5">
        <v>8573.33</v>
      </c>
      <c r="K849" s="5">
        <v>6908.58</v>
      </c>
      <c r="L849" s="5">
        <v>1664.75</v>
      </c>
      <c r="M849" t="s">
        <v>35</v>
      </c>
      <c r="N849" t="s">
        <v>36</v>
      </c>
      <c r="O849" t="s">
        <v>37</v>
      </c>
    </row>
    <row r="850" spans="1:15">
      <c r="A850" t="s">
        <v>1347</v>
      </c>
      <c r="B850" s="3">
        <v>45945</v>
      </c>
      <c r="C850" t="s">
        <v>909</v>
      </c>
      <c r="D850" t="s">
        <v>95</v>
      </c>
      <c r="E850" t="s">
        <v>41</v>
      </c>
      <c r="F850" t="s">
        <v>119</v>
      </c>
      <c r="G850">
        <v>2</v>
      </c>
      <c r="H850" s="5">
        <v>2462.0100000000002</v>
      </c>
      <c r="I850" s="4">
        <v>0.2</v>
      </c>
      <c r="J850" s="5">
        <v>3939.22</v>
      </c>
      <c r="K850" s="5">
        <v>2762.8</v>
      </c>
      <c r="L850" s="5">
        <v>1176.42</v>
      </c>
      <c r="M850" t="s">
        <v>57</v>
      </c>
      <c r="N850" t="s">
        <v>63</v>
      </c>
      <c r="O850" t="s">
        <v>37</v>
      </c>
    </row>
    <row r="851" spans="1:15">
      <c r="A851" t="s">
        <v>1348</v>
      </c>
      <c r="B851" s="3">
        <v>45739</v>
      </c>
      <c r="C851" t="s">
        <v>447</v>
      </c>
      <c r="D851" t="s">
        <v>134</v>
      </c>
      <c r="E851" t="s">
        <v>48</v>
      </c>
      <c r="F851" t="s">
        <v>99</v>
      </c>
      <c r="G851">
        <v>2</v>
      </c>
      <c r="H851" s="5">
        <v>3586.51</v>
      </c>
      <c r="I851" s="4">
        <v>0.1</v>
      </c>
      <c r="J851" s="5">
        <v>6455.72</v>
      </c>
      <c r="K851" s="5">
        <v>5230.53</v>
      </c>
      <c r="L851" s="5">
        <v>1225.19</v>
      </c>
      <c r="M851" t="s">
        <v>57</v>
      </c>
      <c r="N851" t="s">
        <v>43</v>
      </c>
      <c r="O851" t="s">
        <v>44</v>
      </c>
    </row>
    <row r="852" spans="1:15">
      <c r="A852" t="s">
        <v>1349</v>
      </c>
      <c r="B852" s="3">
        <v>45781</v>
      </c>
      <c r="C852" t="s">
        <v>864</v>
      </c>
      <c r="D852" t="s">
        <v>52</v>
      </c>
      <c r="E852" t="s">
        <v>33</v>
      </c>
      <c r="F852" t="s">
        <v>34</v>
      </c>
      <c r="G852">
        <v>4</v>
      </c>
      <c r="H852" s="5">
        <v>240.24</v>
      </c>
      <c r="I852" s="4">
        <v>0.05</v>
      </c>
      <c r="J852" s="5">
        <v>912.91</v>
      </c>
      <c r="K852" s="5">
        <v>542.44000000000005</v>
      </c>
      <c r="L852" s="5">
        <v>370.47</v>
      </c>
      <c r="M852" t="s">
        <v>57</v>
      </c>
      <c r="N852" t="s">
        <v>63</v>
      </c>
      <c r="O852" t="s">
        <v>44</v>
      </c>
    </row>
    <row r="853" spans="1:15">
      <c r="A853" t="s">
        <v>1350</v>
      </c>
      <c r="B853" s="3">
        <v>46116</v>
      </c>
      <c r="C853" t="s">
        <v>378</v>
      </c>
      <c r="D853" t="s">
        <v>66</v>
      </c>
      <c r="E853" t="s">
        <v>33</v>
      </c>
      <c r="F853" t="s">
        <v>34</v>
      </c>
      <c r="G853">
        <v>6</v>
      </c>
      <c r="H853" s="5">
        <v>2304.69</v>
      </c>
      <c r="I853" s="4">
        <v>0.1</v>
      </c>
      <c r="J853" s="5">
        <v>12445.33</v>
      </c>
      <c r="K853" s="5">
        <v>9354.32</v>
      </c>
      <c r="L853" s="5">
        <v>3091.01</v>
      </c>
      <c r="M853" t="s">
        <v>57</v>
      </c>
      <c r="N853" t="s">
        <v>71</v>
      </c>
      <c r="O853" t="s">
        <v>44</v>
      </c>
    </row>
    <row r="854" spans="1:15">
      <c r="A854" t="s">
        <v>1351</v>
      </c>
      <c r="B854" s="3">
        <v>45719</v>
      </c>
      <c r="C854" t="s">
        <v>948</v>
      </c>
      <c r="D854" t="s">
        <v>74</v>
      </c>
      <c r="E854" t="s">
        <v>48</v>
      </c>
      <c r="F854" t="s">
        <v>113</v>
      </c>
      <c r="G854">
        <v>6</v>
      </c>
      <c r="H854" s="5">
        <v>3925.03</v>
      </c>
      <c r="I854" s="4">
        <v>0.2</v>
      </c>
      <c r="J854" s="5">
        <v>18840.14</v>
      </c>
      <c r="K854" s="5">
        <v>13479.11</v>
      </c>
      <c r="L854" s="5">
        <v>5361.03</v>
      </c>
      <c r="M854" t="s">
        <v>57</v>
      </c>
      <c r="N854" t="s">
        <v>63</v>
      </c>
      <c r="O854" t="s">
        <v>44</v>
      </c>
    </row>
    <row r="855" spans="1:15">
      <c r="A855" t="s">
        <v>1352</v>
      </c>
      <c r="B855" s="3">
        <v>45705</v>
      </c>
      <c r="C855" t="s">
        <v>771</v>
      </c>
      <c r="D855" t="s">
        <v>66</v>
      </c>
      <c r="E855" t="s">
        <v>33</v>
      </c>
      <c r="F855" t="s">
        <v>96</v>
      </c>
      <c r="G855">
        <v>6</v>
      </c>
      <c r="H855" s="5">
        <v>474.16</v>
      </c>
      <c r="I855" s="4">
        <v>0</v>
      </c>
      <c r="J855" s="5">
        <v>2844.96</v>
      </c>
      <c r="K855" s="5">
        <v>2149.21</v>
      </c>
      <c r="L855" s="5">
        <v>695.75</v>
      </c>
      <c r="M855" t="s">
        <v>35</v>
      </c>
      <c r="N855" t="s">
        <v>36</v>
      </c>
      <c r="O855" t="s">
        <v>44</v>
      </c>
    </row>
    <row r="856" spans="1:15">
      <c r="A856" t="s">
        <v>1353</v>
      </c>
      <c r="B856" s="3">
        <v>45753</v>
      </c>
      <c r="C856" t="s">
        <v>1354</v>
      </c>
      <c r="D856" t="s">
        <v>66</v>
      </c>
      <c r="E856" t="s">
        <v>61</v>
      </c>
      <c r="F856" t="s">
        <v>129</v>
      </c>
      <c r="G856">
        <v>2</v>
      </c>
      <c r="H856" s="5">
        <v>2186.6</v>
      </c>
      <c r="I856" s="4">
        <v>0</v>
      </c>
      <c r="J856" s="5">
        <v>4373.2</v>
      </c>
      <c r="K856" s="5">
        <v>3175.06</v>
      </c>
      <c r="L856" s="5">
        <v>1198.1400000000001</v>
      </c>
      <c r="M856" t="s">
        <v>57</v>
      </c>
      <c r="N856" t="s">
        <v>71</v>
      </c>
      <c r="O856" t="s">
        <v>44</v>
      </c>
    </row>
    <row r="857" spans="1:15">
      <c r="A857" t="s">
        <v>1355</v>
      </c>
      <c r="B857" s="3">
        <v>45956</v>
      </c>
      <c r="C857" t="s">
        <v>110</v>
      </c>
      <c r="D857" t="s">
        <v>95</v>
      </c>
      <c r="E857" t="s">
        <v>61</v>
      </c>
      <c r="F857" t="s">
        <v>89</v>
      </c>
      <c r="G857">
        <v>4</v>
      </c>
      <c r="H857" s="5">
        <v>2384.67</v>
      </c>
      <c r="I857" s="4">
        <v>0.15</v>
      </c>
      <c r="J857" s="5">
        <v>8107.88</v>
      </c>
      <c r="K857" s="5">
        <v>6593.19</v>
      </c>
      <c r="L857" s="5">
        <v>1514.69</v>
      </c>
      <c r="M857" t="s">
        <v>57</v>
      </c>
      <c r="N857" t="s">
        <v>36</v>
      </c>
      <c r="O857" t="s">
        <v>37</v>
      </c>
    </row>
    <row r="858" spans="1:15">
      <c r="A858" t="s">
        <v>1356</v>
      </c>
      <c r="B858" s="3">
        <v>45678</v>
      </c>
      <c r="C858" t="s">
        <v>1357</v>
      </c>
      <c r="D858" t="s">
        <v>32</v>
      </c>
      <c r="E858" t="s">
        <v>61</v>
      </c>
      <c r="F858" t="s">
        <v>84</v>
      </c>
      <c r="G858">
        <v>4</v>
      </c>
      <c r="H858" s="5">
        <v>1702.57</v>
      </c>
      <c r="I858" s="4">
        <v>0.05</v>
      </c>
      <c r="J858" s="5">
        <v>6469.77</v>
      </c>
      <c r="K858" s="5">
        <v>3567.64</v>
      </c>
      <c r="L858" s="5">
        <v>2902.13</v>
      </c>
      <c r="M858" t="s">
        <v>35</v>
      </c>
      <c r="N858" t="s">
        <v>63</v>
      </c>
      <c r="O858" t="s">
        <v>44</v>
      </c>
    </row>
    <row r="859" spans="1:15">
      <c r="A859" t="s">
        <v>1358</v>
      </c>
      <c r="B859" s="3">
        <v>46153</v>
      </c>
      <c r="C859" t="s">
        <v>382</v>
      </c>
      <c r="D859" t="s">
        <v>74</v>
      </c>
      <c r="E859" t="s">
        <v>48</v>
      </c>
      <c r="F859" t="s">
        <v>102</v>
      </c>
      <c r="G859">
        <v>1</v>
      </c>
      <c r="H859" s="5">
        <v>4247.67</v>
      </c>
      <c r="I859" s="4">
        <v>0.1</v>
      </c>
      <c r="J859" s="5">
        <v>3822.9</v>
      </c>
      <c r="K859" s="5">
        <v>3123.93</v>
      </c>
      <c r="L859" s="5">
        <v>698.97</v>
      </c>
      <c r="M859" t="s">
        <v>35</v>
      </c>
      <c r="N859" t="s">
        <v>71</v>
      </c>
      <c r="O859" t="s">
        <v>37</v>
      </c>
    </row>
    <row r="860" spans="1:15">
      <c r="A860" t="s">
        <v>1359</v>
      </c>
      <c r="B860" s="3">
        <v>46007</v>
      </c>
      <c r="C860" t="s">
        <v>1360</v>
      </c>
      <c r="D860" t="s">
        <v>66</v>
      </c>
      <c r="E860" t="s">
        <v>41</v>
      </c>
      <c r="F860" t="s">
        <v>42</v>
      </c>
      <c r="G860">
        <v>6</v>
      </c>
      <c r="H860" s="5">
        <v>527.11</v>
      </c>
      <c r="I860" s="4">
        <v>0.2</v>
      </c>
      <c r="J860" s="5">
        <v>2530.13</v>
      </c>
      <c r="K860" s="5">
        <v>1421.82</v>
      </c>
      <c r="L860" s="5">
        <v>1108.31</v>
      </c>
      <c r="M860" t="s">
        <v>35</v>
      </c>
      <c r="N860" t="s">
        <v>36</v>
      </c>
      <c r="O860" t="s">
        <v>37</v>
      </c>
    </row>
    <row r="861" spans="1:15">
      <c r="A861" t="s">
        <v>1361</v>
      </c>
      <c r="B861" s="3">
        <v>46045</v>
      </c>
      <c r="C861" t="s">
        <v>743</v>
      </c>
      <c r="D861" t="s">
        <v>47</v>
      </c>
      <c r="E861" t="s">
        <v>61</v>
      </c>
      <c r="F861" t="s">
        <v>89</v>
      </c>
      <c r="G861">
        <v>6</v>
      </c>
      <c r="H861" s="5">
        <v>2206.69</v>
      </c>
      <c r="I861" s="4">
        <v>0</v>
      </c>
      <c r="J861" s="5">
        <v>13240.14</v>
      </c>
      <c r="K861" s="5">
        <v>7962.72</v>
      </c>
      <c r="L861" s="5">
        <v>5277.42</v>
      </c>
      <c r="M861" t="s">
        <v>57</v>
      </c>
      <c r="N861" t="s">
        <v>43</v>
      </c>
      <c r="O861" t="s">
        <v>44</v>
      </c>
    </row>
    <row r="862" spans="1:15">
      <c r="A862" t="s">
        <v>1362</v>
      </c>
      <c r="B862" s="3">
        <v>46095</v>
      </c>
      <c r="C862" t="s">
        <v>927</v>
      </c>
      <c r="D862" t="s">
        <v>60</v>
      </c>
      <c r="E862" t="s">
        <v>33</v>
      </c>
      <c r="F862" t="s">
        <v>67</v>
      </c>
      <c r="G862">
        <v>3</v>
      </c>
      <c r="H862" s="5">
        <v>2666.52</v>
      </c>
      <c r="I862" s="4">
        <v>0</v>
      </c>
      <c r="J862" s="5">
        <v>7999.56</v>
      </c>
      <c r="K862" s="5">
        <v>4467.38</v>
      </c>
      <c r="L862" s="5">
        <v>3532.18</v>
      </c>
      <c r="M862" t="s">
        <v>57</v>
      </c>
      <c r="N862" t="s">
        <v>71</v>
      </c>
      <c r="O862" t="s">
        <v>44</v>
      </c>
    </row>
    <row r="863" spans="1:15">
      <c r="A863" t="s">
        <v>1363</v>
      </c>
      <c r="B863" s="3">
        <v>45773</v>
      </c>
      <c r="C863" t="s">
        <v>1364</v>
      </c>
      <c r="D863" t="s">
        <v>56</v>
      </c>
      <c r="E863" t="s">
        <v>61</v>
      </c>
      <c r="F863" t="s">
        <v>81</v>
      </c>
      <c r="G863">
        <v>5</v>
      </c>
      <c r="H863" s="5">
        <v>3324.59</v>
      </c>
      <c r="I863" s="4">
        <v>0.1</v>
      </c>
      <c r="J863" s="5">
        <v>14960.66</v>
      </c>
      <c r="K863" s="5">
        <v>11387.66</v>
      </c>
      <c r="L863" s="5">
        <v>3573</v>
      </c>
      <c r="M863" t="s">
        <v>35</v>
      </c>
      <c r="N863" t="s">
        <v>71</v>
      </c>
      <c r="O863" t="s">
        <v>44</v>
      </c>
    </row>
    <row r="864" spans="1:15">
      <c r="A864" t="s">
        <v>1365</v>
      </c>
      <c r="B864" s="3">
        <v>46124</v>
      </c>
      <c r="C864" t="s">
        <v>1366</v>
      </c>
      <c r="D864" t="s">
        <v>32</v>
      </c>
      <c r="E864" t="s">
        <v>33</v>
      </c>
      <c r="F864" t="s">
        <v>67</v>
      </c>
      <c r="G864">
        <v>3</v>
      </c>
      <c r="H864" s="5">
        <v>1902.62</v>
      </c>
      <c r="I864" s="4">
        <v>0.1</v>
      </c>
      <c r="J864" s="5">
        <v>5137.07</v>
      </c>
      <c r="K864" s="5">
        <v>3341.4</v>
      </c>
      <c r="L864" s="5">
        <v>1795.67</v>
      </c>
      <c r="M864" t="s">
        <v>57</v>
      </c>
      <c r="N864" t="s">
        <v>63</v>
      </c>
      <c r="O864" t="s">
        <v>44</v>
      </c>
    </row>
    <row r="865" spans="1:15">
      <c r="A865" t="s">
        <v>1367</v>
      </c>
      <c r="B865" s="3">
        <v>46210</v>
      </c>
      <c r="C865" t="s">
        <v>1368</v>
      </c>
      <c r="D865" t="s">
        <v>47</v>
      </c>
      <c r="E865" t="s">
        <v>33</v>
      </c>
      <c r="F865" t="s">
        <v>34</v>
      </c>
      <c r="G865">
        <v>5</v>
      </c>
      <c r="H865" s="5">
        <v>157.91999999999999</v>
      </c>
      <c r="I865" s="4">
        <v>0.15</v>
      </c>
      <c r="J865" s="5">
        <v>671.16</v>
      </c>
      <c r="K865" s="5">
        <v>561.67999999999995</v>
      </c>
      <c r="L865" s="5">
        <v>109.48</v>
      </c>
      <c r="M865" t="s">
        <v>35</v>
      </c>
      <c r="N865" t="s">
        <v>71</v>
      </c>
      <c r="O865" t="s">
        <v>44</v>
      </c>
    </row>
    <row r="866" spans="1:15">
      <c r="A866" t="s">
        <v>1369</v>
      </c>
      <c r="B866" s="3">
        <v>45777</v>
      </c>
      <c r="C866" t="s">
        <v>474</v>
      </c>
      <c r="D866" t="s">
        <v>52</v>
      </c>
      <c r="E866" t="s">
        <v>41</v>
      </c>
      <c r="F866" t="s">
        <v>124</v>
      </c>
      <c r="G866">
        <v>4</v>
      </c>
      <c r="H866" s="5">
        <v>2599.5700000000002</v>
      </c>
      <c r="I866" s="4">
        <v>0</v>
      </c>
      <c r="J866" s="5">
        <v>10398.280000000001</v>
      </c>
      <c r="K866" s="5">
        <v>8752.23</v>
      </c>
      <c r="L866" s="5">
        <v>1646.05</v>
      </c>
      <c r="M866" t="s">
        <v>35</v>
      </c>
      <c r="N866" t="s">
        <v>63</v>
      </c>
      <c r="O866" t="s">
        <v>44</v>
      </c>
    </row>
    <row r="867" spans="1:15">
      <c r="A867" t="s">
        <v>1370</v>
      </c>
      <c r="B867" s="3">
        <v>46173</v>
      </c>
      <c r="C867" t="s">
        <v>352</v>
      </c>
      <c r="D867" t="s">
        <v>32</v>
      </c>
      <c r="E867" t="s">
        <v>48</v>
      </c>
      <c r="F867" t="s">
        <v>102</v>
      </c>
      <c r="G867">
        <v>1</v>
      </c>
      <c r="H867" s="5">
        <v>4563.13</v>
      </c>
      <c r="I867" s="4">
        <v>0.15</v>
      </c>
      <c r="J867" s="5">
        <v>3878.66</v>
      </c>
      <c r="K867" s="5">
        <v>2300.83</v>
      </c>
      <c r="L867" s="5">
        <v>1577.83</v>
      </c>
      <c r="M867" t="s">
        <v>35</v>
      </c>
      <c r="N867" t="s">
        <v>71</v>
      </c>
      <c r="O867" t="s">
        <v>44</v>
      </c>
    </row>
    <row r="868" spans="1:15">
      <c r="A868" t="s">
        <v>1371</v>
      </c>
      <c r="B868" s="3">
        <v>45762</v>
      </c>
      <c r="C868" t="s">
        <v>962</v>
      </c>
      <c r="D868" t="s">
        <v>66</v>
      </c>
      <c r="E868" t="s">
        <v>33</v>
      </c>
      <c r="F868" t="s">
        <v>34</v>
      </c>
      <c r="G868">
        <v>1</v>
      </c>
      <c r="H868" s="5">
        <v>1039.32</v>
      </c>
      <c r="I868" s="4">
        <v>0.05</v>
      </c>
      <c r="J868" s="5">
        <v>987.35</v>
      </c>
      <c r="K868" s="5">
        <v>823.75</v>
      </c>
      <c r="L868" s="5">
        <v>163.6</v>
      </c>
      <c r="M868" t="s">
        <v>35</v>
      </c>
      <c r="N868" t="s">
        <v>43</v>
      </c>
      <c r="O868" t="s">
        <v>44</v>
      </c>
    </row>
    <row r="869" spans="1:15">
      <c r="A869" t="s">
        <v>1372</v>
      </c>
      <c r="B869" s="3">
        <v>45711</v>
      </c>
      <c r="C869" t="s">
        <v>1373</v>
      </c>
      <c r="D869" t="s">
        <v>56</v>
      </c>
      <c r="E869" t="s">
        <v>33</v>
      </c>
      <c r="F869" t="s">
        <v>96</v>
      </c>
      <c r="G869">
        <v>1</v>
      </c>
      <c r="H869" s="5">
        <v>4726.6899999999996</v>
      </c>
      <c r="I869" s="4">
        <v>0.1</v>
      </c>
      <c r="J869" s="5">
        <v>4254.0200000000004</v>
      </c>
      <c r="K869" s="5">
        <v>2756.8</v>
      </c>
      <c r="L869" s="5">
        <v>1497.22</v>
      </c>
      <c r="M869" t="s">
        <v>57</v>
      </c>
      <c r="N869" t="s">
        <v>71</v>
      </c>
      <c r="O869" t="s">
        <v>44</v>
      </c>
    </row>
    <row r="870" spans="1:15">
      <c r="A870" t="s">
        <v>1374</v>
      </c>
      <c r="B870" s="3">
        <v>45997</v>
      </c>
      <c r="C870" t="s">
        <v>550</v>
      </c>
      <c r="D870" t="s">
        <v>52</v>
      </c>
      <c r="E870" t="s">
        <v>48</v>
      </c>
      <c r="F870" t="s">
        <v>49</v>
      </c>
      <c r="G870">
        <v>4</v>
      </c>
      <c r="H870" s="5">
        <v>1315.07</v>
      </c>
      <c r="I870" s="4">
        <v>0</v>
      </c>
      <c r="J870" s="5">
        <v>5260.28</v>
      </c>
      <c r="K870" s="5">
        <v>3109.05</v>
      </c>
      <c r="L870" s="5">
        <v>2151.23</v>
      </c>
      <c r="M870" t="s">
        <v>35</v>
      </c>
      <c r="N870" t="s">
        <v>63</v>
      </c>
      <c r="O870" t="s">
        <v>37</v>
      </c>
    </row>
    <row r="871" spans="1:15">
      <c r="A871" t="s">
        <v>1375</v>
      </c>
      <c r="B871" s="3">
        <v>45929</v>
      </c>
      <c r="C871" t="s">
        <v>1376</v>
      </c>
      <c r="D871" t="s">
        <v>74</v>
      </c>
      <c r="E871" t="s">
        <v>48</v>
      </c>
      <c r="F871" t="s">
        <v>99</v>
      </c>
      <c r="G871">
        <v>1</v>
      </c>
      <c r="H871" s="5">
        <v>4123.9399999999996</v>
      </c>
      <c r="I871" s="4">
        <v>0</v>
      </c>
      <c r="J871" s="5">
        <v>4123.9399999999996</v>
      </c>
      <c r="K871" s="5">
        <v>3207.3</v>
      </c>
      <c r="L871" s="5">
        <v>916.64</v>
      </c>
      <c r="M871" t="s">
        <v>35</v>
      </c>
      <c r="N871" t="s">
        <v>71</v>
      </c>
      <c r="O871" t="s">
        <v>44</v>
      </c>
    </row>
    <row r="872" spans="1:15">
      <c r="A872" t="s">
        <v>1377</v>
      </c>
      <c r="B872" s="3">
        <v>45848</v>
      </c>
      <c r="C872" t="s">
        <v>1058</v>
      </c>
      <c r="D872" t="s">
        <v>95</v>
      </c>
      <c r="E872" t="s">
        <v>48</v>
      </c>
      <c r="F872" t="s">
        <v>49</v>
      </c>
      <c r="G872">
        <v>1</v>
      </c>
      <c r="H872" s="5">
        <v>3940.44</v>
      </c>
      <c r="I872" s="4">
        <v>0</v>
      </c>
      <c r="J872" s="5">
        <v>3940.44</v>
      </c>
      <c r="K872" s="5">
        <v>3262.64</v>
      </c>
      <c r="L872" s="5">
        <v>677.8</v>
      </c>
      <c r="M872" t="s">
        <v>57</v>
      </c>
      <c r="N872" t="s">
        <v>43</v>
      </c>
      <c r="O872" t="s">
        <v>44</v>
      </c>
    </row>
    <row r="873" spans="1:15">
      <c r="A873" t="s">
        <v>1378</v>
      </c>
      <c r="B873" s="3">
        <v>46211</v>
      </c>
      <c r="C873" t="s">
        <v>335</v>
      </c>
      <c r="D873" t="s">
        <v>60</v>
      </c>
      <c r="E873" t="s">
        <v>61</v>
      </c>
      <c r="F873" t="s">
        <v>84</v>
      </c>
      <c r="G873">
        <v>2</v>
      </c>
      <c r="H873" s="5">
        <v>3791.36</v>
      </c>
      <c r="I873" s="4">
        <v>0.1</v>
      </c>
      <c r="J873" s="5">
        <v>6824.45</v>
      </c>
      <c r="K873" s="5">
        <v>5536.9</v>
      </c>
      <c r="L873" s="5">
        <v>1287.55</v>
      </c>
      <c r="M873" t="s">
        <v>57</v>
      </c>
      <c r="N873" t="s">
        <v>43</v>
      </c>
      <c r="O873" t="s">
        <v>44</v>
      </c>
    </row>
    <row r="874" spans="1:15">
      <c r="A874" t="s">
        <v>1379</v>
      </c>
      <c r="B874" s="3">
        <v>45680</v>
      </c>
      <c r="C874" t="s">
        <v>1380</v>
      </c>
      <c r="D874" t="s">
        <v>56</v>
      </c>
      <c r="E874" t="s">
        <v>48</v>
      </c>
      <c r="F874" t="s">
        <v>102</v>
      </c>
      <c r="G874">
        <v>4</v>
      </c>
      <c r="H874" s="5">
        <v>3589.77</v>
      </c>
      <c r="I874" s="4">
        <v>0.15</v>
      </c>
      <c r="J874" s="5">
        <v>12205.22</v>
      </c>
      <c r="K874" s="5">
        <v>6937.97</v>
      </c>
      <c r="L874" s="5">
        <v>5267.25</v>
      </c>
      <c r="M874" t="s">
        <v>35</v>
      </c>
      <c r="N874" t="s">
        <v>63</v>
      </c>
      <c r="O874" t="s">
        <v>37</v>
      </c>
    </row>
    <row r="875" spans="1:15">
      <c r="A875" t="s">
        <v>1381</v>
      </c>
      <c r="B875" s="3">
        <v>45787</v>
      </c>
      <c r="C875" t="s">
        <v>346</v>
      </c>
      <c r="D875" t="s">
        <v>95</v>
      </c>
      <c r="E875" t="s">
        <v>41</v>
      </c>
      <c r="F875" t="s">
        <v>53</v>
      </c>
      <c r="G875">
        <v>4</v>
      </c>
      <c r="H875" s="5">
        <v>4753.62</v>
      </c>
      <c r="I875" s="4">
        <v>0</v>
      </c>
      <c r="J875" s="5">
        <v>19014.48</v>
      </c>
      <c r="K875" s="5">
        <v>14104.26</v>
      </c>
      <c r="L875" s="5">
        <v>4910.22</v>
      </c>
      <c r="M875" t="s">
        <v>35</v>
      </c>
      <c r="N875" t="s">
        <v>43</v>
      </c>
      <c r="O875" t="s">
        <v>37</v>
      </c>
    </row>
    <row r="876" spans="1:15">
      <c r="A876" t="s">
        <v>1382</v>
      </c>
      <c r="B876" s="3">
        <v>45772</v>
      </c>
      <c r="C876" t="s">
        <v>1383</v>
      </c>
      <c r="D876" t="s">
        <v>52</v>
      </c>
      <c r="E876" t="s">
        <v>41</v>
      </c>
      <c r="F876" t="s">
        <v>42</v>
      </c>
      <c r="G876">
        <v>6</v>
      </c>
      <c r="H876" s="5">
        <v>857.83</v>
      </c>
      <c r="I876" s="4">
        <v>0</v>
      </c>
      <c r="J876" s="5">
        <v>5146.9799999999996</v>
      </c>
      <c r="K876" s="5">
        <v>3395.13</v>
      </c>
      <c r="L876" s="5">
        <v>1751.85</v>
      </c>
      <c r="M876" t="s">
        <v>57</v>
      </c>
      <c r="N876" t="s">
        <v>43</v>
      </c>
      <c r="O876" t="s">
        <v>44</v>
      </c>
    </row>
    <row r="877" spans="1:15">
      <c r="A877" t="s">
        <v>1384</v>
      </c>
      <c r="B877" s="3">
        <v>45862</v>
      </c>
      <c r="C877" t="s">
        <v>427</v>
      </c>
      <c r="D877" t="s">
        <v>60</v>
      </c>
      <c r="E877" t="s">
        <v>41</v>
      </c>
      <c r="F877" t="s">
        <v>153</v>
      </c>
      <c r="G877">
        <v>2</v>
      </c>
      <c r="H877" s="5">
        <v>2719.88</v>
      </c>
      <c r="I877" s="4">
        <v>0.1</v>
      </c>
      <c r="J877" s="5">
        <v>4895.78</v>
      </c>
      <c r="K877" s="5">
        <v>3728.71</v>
      </c>
      <c r="L877" s="5">
        <v>1167.07</v>
      </c>
      <c r="M877" t="s">
        <v>35</v>
      </c>
      <c r="N877" t="s">
        <v>43</v>
      </c>
      <c r="O877" t="s">
        <v>44</v>
      </c>
    </row>
    <row r="878" spans="1:15">
      <c r="A878" t="s">
        <v>1385</v>
      </c>
      <c r="B878" s="3">
        <v>45659</v>
      </c>
      <c r="C878" t="s">
        <v>304</v>
      </c>
      <c r="D878" t="s">
        <v>95</v>
      </c>
      <c r="E878" t="s">
        <v>61</v>
      </c>
      <c r="F878" t="s">
        <v>81</v>
      </c>
      <c r="G878">
        <v>6</v>
      </c>
      <c r="H878" s="5">
        <v>1013.92</v>
      </c>
      <c r="I878" s="4">
        <v>0.05</v>
      </c>
      <c r="J878" s="5">
        <v>5779.34</v>
      </c>
      <c r="K878" s="5">
        <v>4205.3</v>
      </c>
      <c r="L878" s="5">
        <v>1574.04</v>
      </c>
      <c r="M878" t="s">
        <v>57</v>
      </c>
      <c r="N878" t="s">
        <v>36</v>
      </c>
      <c r="O878" t="s">
        <v>44</v>
      </c>
    </row>
    <row r="879" spans="1:15">
      <c r="A879" t="s">
        <v>1386</v>
      </c>
      <c r="B879" s="3">
        <v>45892</v>
      </c>
      <c r="C879" t="s">
        <v>273</v>
      </c>
      <c r="D879" t="s">
        <v>60</v>
      </c>
      <c r="E879" t="s">
        <v>48</v>
      </c>
      <c r="F879" t="s">
        <v>102</v>
      </c>
      <c r="G879">
        <v>2</v>
      </c>
      <c r="H879" s="5">
        <v>5251.24</v>
      </c>
      <c r="I879" s="4">
        <v>0</v>
      </c>
      <c r="J879" s="5">
        <v>10502.48</v>
      </c>
      <c r="K879" s="5">
        <v>7806.87</v>
      </c>
      <c r="L879" s="5">
        <v>2695.61</v>
      </c>
      <c r="M879" t="s">
        <v>35</v>
      </c>
      <c r="N879" t="s">
        <v>63</v>
      </c>
      <c r="O879" t="s">
        <v>44</v>
      </c>
    </row>
    <row r="880" spans="1:15">
      <c r="A880" t="s">
        <v>1387</v>
      </c>
      <c r="B880" s="3">
        <v>46134</v>
      </c>
      <c r="C880" t="s">
        <v>115</v>
      </c>
      <c r="D880" t="s">
        <v>40</v>
      </c>
      <c r="E880" t="s">
        <v>48</v>
      </c>
      <c r="F880" t="s">
        <v>102</v>
      </c>
      <c r="G880">
        <v>5</v>
      </c>
      <c r="H880" s="5">
        <v>2378.9299999999998</v>
      </c>
      <c r="I880" s="4">
        <v>0.1</v>
      </c>
      <c r="J880" s="5">
        <v>10705.18</v>
      </c>
      <c r="K880" s="5">
        <v>8247.7999999999993</v>
      </c>
      <c r="L880" s="5">
        <v>2457.38</v>
      </c>
      <c r="M880" t="s">
        <v>57</v>
      </c>
      <c r="N880" t="s">
        <v>63</v>
      </c>
      <c r="O880" t="s">
        <v>37</v>
      </c>
    </row>
    <row r="881" spans="1:15">
      <c r="A881" t="s">
        <v>1388</v>
      </c>
      <c r="B881" s="3">
        <v>46025</v>
      </c>
      <c r="C881" t="s">
        <v>1389</v>
      </c>
      <c r="D881" t="s">
        <v>56</v>
      </c>
      <c r="E881" t="s">
        <v>61</v>
      </c>
      <c r="F881" t="s">
        <v>62</v>
      </c>
      <c r="G881">
        <v>1</v>
      </c>
      <c r="H881" s="5">
        <v>250.97</v>
      </c>
      <c r="I881" s="4">
        <v>0.15</v>
      </c>
      <c r="J881" s="5">
        <v>213.32</v>
      </c>
      <c r="K881" s="5">
        <v>120.45</v>
      </c>
      <c r="L881" s="5">
        <v>92.87</v>
      </c>
      <c r="M881" t="s">
        <v>35</v>
      </c>
      <c r="N881" t="s">
        <v>43</v>
      </c>
      <c r="O881" t="s">
        <v>44</v>
      </c>
    </row>
    <row r="882" spans="1:15">
      <c r="A882" t="s">
        <v>1390</v>
      </c>
      <c r="B882" s="3">
        <v>45913</v>
      </c>
      <c r="C882" t="s">
        <v>164</v>
      </c>
      <c r="D882" t="s">
        <v>60</v>
      </c>
      <c r="E882" t="s">
        <v>33</v>
      </c>
      <c r="F882" t="s">
        <v>96</v>
      </c>
      <c r="G882">
        <v>5</v>
      </c>
      <c r="H882" s="5">
        <v>4922.7700000000004</v>
      </c>
      <c r="I882" s="4">
        <v>0.2</v>
      </c>
      <c r="J882" s="5">
        <v>19691.080000000002</v>
      </c>
      <c r="K882" s="5">
        <v>12168.84</v>
      </c>
      <c r="L882" s="5">
        <v>7522.24</v>
      </c>
      <c r="M882" t="s">
        <v>57</v>
      </c>
      <c r="N882" t="s">
        <v>36</v>
      </c>
      <c r="O882" t="s">
        <v>37</v>
      </c>
    </row>
    <row r="883" spans="1:15">
      <c r="A883" t="s">
        <v>1391</v>
      </c>
      <c r="B883" s="3">
        <v>45732</v>
      </c>
      <c r="C883" t="s">
        <v>1392</v>
      </c>
      <c r="E883" t="s">
        <v>48</v>
      </c>
      <c r="F883" t="s">
        <v>99</v>
      </c>
      <c r="G883">
        <v>5</v>
      </c>
      <c r="H883" s="5">
        <v>3538.49</v>
      </c>
      <c r="I883" s="4">
        <v>0.1</v>
      </c>
      <c r="J883" s="5">
        <v>15923.2</v>
      </c>
      <c r="K883" s="5">
        <v>12562.07</v>
      </c>
      <c r="L883" s="5">
        <v>3361.13</v>
      </c>
      <c r="M883" t="s">
        <v>35</v>
      </c>
      <c r="N883" t="s">
        <v>36</v>
      </c>
      <c r="O883" t="s">
        <v>44</v>
      </c>
    </row>
    <row r="884" spans="1:15">
      <c r="A884" t="s">
        <v>1393</v>
      </c>
      <c r="B884" s="3">
        <v>45744</v>
      </c>
      <c r="C884" t="s">
        <v>161</v>
      </c>
      <c r="D884" t="s">
        <v>52</v>
      </c>
      <c r="E884" t="s">
        <v>48</v>
      </c>
      <c r="F884" t="s">
        <v>102</v>
      </c>
      <c r="G884">
        <v>2</v>
      </c>
      <c r="H884" s="5">
        <v>3353.48</v>
      </c>
      <c r="I884" s="4">
        <v>0.1</v>
      </c>
      <c r="J884" s="5">
        <v>6036.26</v>
      </c>
      <c r="K884" s="5">
        <v>4822.62</v>
      </c>
      <c r="L884" s="5">
        <v>1213.6400000000001</v>
      </c>
      <c r="M884" t="s">
        <v>57</v>
      </c>
      <c r="N884" t="s">
        <v>63</v>
      </c>
      <c r="O884" t="s">
        <v>37</v>
      </c>
    </row>
    <row r="885" spans="1:15">
      <c r="A885" t="s">
        <v>1394</v>
      </c>
      <c r="B885" s="3">
        <v>45924</v>
      </c>
      <c r="C885" t="s">
        <v>553</v>
      </c>
      <c r="D885" t="s">
        <v>1395</v>
      </c>
      <c r="E885" t="s">
        <v>33</v>
      </c>
      <c r="F885" t="s">
        <v>67</v>
      </c>
      <c r="G885">
        <v>2</v>
      </c>
      <c r="H885" s="5">
        <v>441.13</v>
      </c>
      <c r="I885" s="4">
        <v>0</v>
      </c>
      <c r="J885" s="5">
        <v>882.26</v>
      </c>
      <c r="K885" s="5">
        <v>552.37</v>
      </c>
      <c r="L885" s="5">
        <v>329.89</v>
      </c>
      <c r="M885" t="s">
        <v>57</v>
      </c>
      <c r="N885" t="s">
        <v>71</v>
      </c>
      <c r="O885" t="s">
        <v>37</v>
      </c>
    </row>
    <row r="886" spans="1:15">
      <c r="A886" t="s">
        <v>1396</v>
      </c>
      <c r="B886" s="3">
        <v>46055</v>
      </c>
      <c r="C886" t="s">
        <v>316</v>
      </c>
      <c r="D886" t="s">
        <v>32</v>
      </c>
      <c r="E886" t="s">
        <v>41</v>
      </c>
      <c r="F886" t="s">
        <v>42</v>
      </c>
      <c r="G886">
        <v>1</v>
      </c>
      <c r="H886" s="5">
        <v>4651.05</v>
      </c>
      <c r="I886" s="4">
        <v>0.15</v>
      </c>
      <c r="J886" s="5">
        <v>3953.39</v>
      </c>
      <c r="K886" s="5">
        <v>3007.69</v>
      </c>
      <c r="L886" s="5">
        <v>945.7</v>
      </c>
      <c r="M886" t="s">
        <v>35</v>
      </c>
      <c r="N886" t="s">
        <v>71</v>
      </c>
      <c r="O886" t="s">
        <v>44</v>
      </c>
    </row>
    <row r="887" spans="1:15">
      <c r="A887" t="s">
        <v>1397</v>
      </c>
      <c r="B887" s="3">
        <v>45783</v>
      </c>
      <c r="C887" t="s">
        <v>241</v>
      </c>
      <c r="D887" t="s">
        <v>56</v>
      </c>
      <c r="E887" t="s">
        <v>61</v>
      </c>
      <c r="F887" t="s">
        <v>129</v>
      </c>
      <c r="G887">
        <v>6</v>
      </c>
      <c r="H887" s="5">
        <v>5012.01</v>
      </c>
      <c r="I887" s="4">
        <v>0</v>
      </c>
      <c r="J887" s="5">
        <v>30072.06</v>
      </c>
      <c r="K887" s="5">
        <v>22701.78</v>
      </c>
      <c r="L887" s="5">
        <v>7370.28</v>
      </c>
      <c r="M887" t="s">
        <v>57</v>
      </c>
      <c r="N887" t="s">
        <v>71</v>
      </c>
      <c r="O887" t="s">
        <v>44</v>
      </c>
    </row>
    <row r="888" spans="1:15">
      <c r="A888" t="s">
        <v>1398</v>
      </c>
      <c r="B888" s="3">
        <v>46101</v>
      </c>
      <c r="C888" t="s">
        <v>296</v>
      </c>
      <c r="D888" t="s">
        <v>52</v>
      </c>
      <c r="E888" t="s">
        <v>33</v>
      </c>
      <c r="F888" t="s">
        <v>176</v>
      </c>
      <c r="G888">
        <v>2</v>
      </c>
      <c r="H888" s="5">
        <v>1709.12</v>
      </c>
      <c r="I888" s="4">
        <v>0.15</v>
      </c>
      <c r="J888" s="5">
        <v>2905.5</v>
      </c>
      <c r="K888" s="5">
        <v>1699.1</v>
      </c>
      <c r="L888" s="5">
        <v>1206.4000000000001</v>
      </c>
      <c r="M888" t="s">
        <v>57</v>
      </c>
      <c r="N888" t="s">
        <v>63</v>
      </c>
      <c r="O888" t="s">
        <v>44</v>
      </c>
    </row>
    <row r="889" spans="1:15">
      <c r="A889" t="s">
        <v>1399</v>
      </c>
      <c r="B889" s="3">
        <v>45909</v>
      </c>
      <c r="C889" t="s">
        <v>110</v>
      </c>
      <c r="D889" t="s">
        <v>56</v>
      </c>
      <c r="E889" t="s">
        <v>33</v>
      </c>
      <c r="F889" t="s">
        <v>92</v>
      </c>
      <c r="G889">
        <v>5</v>
      </c>
      <c r="H889" s="5">
        <v>4604.8900000000003</v>
      </c>
      <c r="I889" s="4">
        <v>0</v>
      </c>
      <c r="J889" s="5">
        <v>23024.45</v>
      </c>
      <c r="K889" s="5">
        <v>13852.36</v>
      </c>
      <c r="L889" s="5">
        <v>9172.09</v>
      </c>
      <c r="M889" t="s">
        <v>57</v>
      </c>
      <c r="N889" t="s">
        <v>36</v>
      </c>
      <c r="O889" t="s">
        <v>37</v>
      </c>
    </row>
    <row r="890" spans="1:15">
      <c r="A890" t="s">
        <v>1400</v>
      </c>
      <c r="B890" s="3">
        <v>45673</v>
      </c>
      <c r="C890" t="s">
        <v>1401</v>
      </c>
      <c r="D890" t="s">
        <v>56</v>
      </c>
      <c r="E890" t="s">
        <v>41</v>
      </c>
      <c r="F890" t="s">
        <v>153</v>
      </c>
      <c r="G890">
        <v>6</v>
      </c>
      <c r="H890" s="5">
        <v>2086.54</v>
      </c>
      <c r="I890" s="4">
        <v>0.05</v>
      </c>
      <c r="J890" s="5">
        <v>11893.28</v>
      </c>
      <c r="K890" s="5">
        <v>9349.14</v>
      </c>
      <c r="L890" s="5">
        <v>2544.14</v>
      </c>
      <c r="M890" t="s">
        <v>35</v>
      </c>
      <c r="N890" t="s">
        <v>71</v>
      </c>
      <c r="O890" t="s">
        <v>44</v>
      </c>
    </row>
    <row r="891" spans="1:15">
      <c r="A891" t="s">
        <v>1402</v>
      </c>
      <c r="B891" s="3">
        <v>45773</v>
      </c>
      <c r="C891" t="s">
        <v>474</v>
      </c>
      <c r="D891" t="s">
        <v>95</v>
      </c>
      <c r="E891" t="s">
        <v>33</v>
      </c>
      <c r="F891" t="s">
        <v>34</v>
      </c>
      <c r="G891">
        <v>3</v>
      </c>
      <c r="H891" s="5">
        <v>4858.96</v>
      </c>
      <c r="I891" s="4">
        <v>0</v>
      </c>
      <c r="J891" s="5">
        <v>14576.88</v>
      </c>
      <c r="K891" s="5">
        <v>11478.96</v>
      </c>
      <c r="L891" s="5">
        <v>3097.92</v>
      </c>
      <c r="M891" t="s">
        <v>35</v>
      </c>
      <c r="N891" t="s">
        <v>43</v>
      </c>
      <c r="O891" t="s">
        <v>44</v>
      </c>
    </row>
    <row r="892" spans="1:15">
      <c r="A892" t="s">
        <v>1403</v>
      </c>
      <c r="B892" s="3">
        <v>45691</v>
      </c>
      <c r="C892" t="s">
        <v>224</v>
      </c>
      <c r="D892" t="s">
        <v>1045</v>
      </c>
      <c r="E892" t="s">
        <v>48</v>
      </c>
      <c r="F892" t="s">
        <v>113</v>
      </c>
      <c r="G892">
        <v>5</v>
      </c>
      <c r="H892" s="5">
        <v>534.26</v>
      </c>
      <c r="I892" s="4">
        <v>0.1</v>
      </c>
      <c r="J892" s="5">
        <v>2404.17</v>
      </c>
      <c r="K892" s="5">
        <v>1640.53</v>
      </c>
      <c r="L892" s="5">
        <v>763.64</v>
      </c>
      <c r="M892" t="s">
        <v>35</v>
      </c>
      <c r="N892" t="s">
        <v>71</v>
      </c>
      <c r="O892" t="s">
        <v>37</v>
      </c>
    </row>
    <row r="893" spans="1:15">
      <c r="A893" t="s">
        <v>1404</v>
      </c>
      <c r="B893" s="3">
        <v>46086</v>
      </c>
      <c r="C893" t="s">
        <v>511</v>
      </c>
      <c r="D893" t="s">
        <v>66</v>
      </c>
      <c r="E893" t="s">
        <v>61</v>
      </c>
      <c r="F893" t="s">
        <v>62</v>
      </c>
      <c r="G893">
        <v>5</v>
      </c>
      <c r="H893" s="5">
        <v>1101.92</v>
      </c>
      <c r="I893" s="4">
        <v>0</v>
      </c>
      <c r="J893" s="5">
        <v>5509.6</v>
      </c>
      <c r="K893" s="5">
        <v>3276.67</v>
      </c>
      <c r="L893" s="5">
        <v>2232.9299999999998</v>
      </c>
      <c r="M893" t="s">
        <v>35</v>
      </c>
      <c r="N893" t="s">
        <v>43</v>
      </c>
      <c r="O893" t="s">
        <v>44</v>
      </c>
    </row>
    <row r="894" spans="1:15">
      <c r="A894" t="s">
        <v>1405</v>
      </c>
      <c r="B894" s="3">
        <v>45747</v>
      </c>
      <c r="C894" t="s">
        <v>914</v>
      </c>
      <c r="D894" t="s">
        <v>95</v>
      </c>
      <c r="E894" t="s">
        <v>33</v>
      </c>
      <c r="F894" t="s">
        <v>176</v>
      </c>
      <c r="G894">
        <v>6</v>
      </c>
      <c r="H894" s="5">
        <v>3643.34</v>
      </c>
      <c r="I894" s="4">
        <v>0.2</v>
      </c>
      <c r="J894" s="5">
        <v>17488.03</v>
      </c>
      <c r="K894" s="5">
        <v>10881.61</v>
      </c>
      <c r="L894" s="5">
        <v>6606.42</v>
      </c>
      <c r="M894" t="s">
        <v>57</v>
      </c>
      <c r="N894" t="s">
        <v>71</v>
      </c>
      <c r="O894" t="s">
        <v>37</v>
      </c>
    </row>
    <row r="895" spans="1:15">
      <c r="A895" t="s">
        <v>1406</v>
      </c>
      <c r="B895" s="3">
        <v>45708</v>
      </c>
      <c r="C895" t="s">
        <v>322</v>
      </c>
      <c r="D895" t="s">
        <v>32</v>
      </c>
      <c r="E895" t="s">
        <v>41</v>
      </c>
      <c r="F895" t="s">
        <v>53</v>
      </c>
      <c r="G895">
        <v>3</v>
      </c>
      <c r="H895" s="5">
        <v>3547.24</v>
      </c>
      <c r="I895" s="4">
        <v>0.2</v>
      </c>
      <c r="J895" s="5">
        <v>8513.3799999999992</v>
      </c>
      <c r="K895" s="5">
        <v>4957.01</v>
      </c>
      <c r="L895" s="5">
        <v>3556.37</v>
      </c>
      <c r="M895" t="s">
        <v>57</v>
      </c>
      <c r="N895" t="s">
        <v>63</v>
      </c>
      <c r="O895" t="s">
        <v>37</v>
      </c>
    </row>
    <row r="896" spans="1:15">
      <c r="A896" t="s">
        <v>1407</v>
      </c>
      <c r="B896" s="3">
        <v>45738</v>
      </c>
      <c r="C896" t="s">
        <v>1282</v>
      </c>
      <c r="D896" t="s">
        <v>52</v>
      </c>
      <c r="E896" t="s">
        <v>33</v>
      </c>
      <c r="F896" t="s">
        <v>96</v>
      </c>
      <c r="G896">
        <v>5</v>
      </c>
      <c r="H896" s="5">
        <v>4797.8500000000004</v>
      </c>
      <c r="I896" s="4">
        <v>0.15</v>
      </c>
      <c r="J896" s="5">
        <v>20390.86</v>
      </c>
      <c r="K896" s="5">
        <v>14133.81</v>
      </c>
      <c r="L896" s="5">
        <v>6257.05</v>
      </c>
      <c r="M896" t="s">
        <v>57</v>
      </c>
      <c r="N896" t="s">
        <v>36</v>
      </c>
      <c r="O896" t="s">
        <v>44</v>
      </c>
    </row>
    <row r="897" spans="1:15">
      <c r="A897" t="s">
        <v>1408</v>
      </c>
      <c r="B897" s="3">
        <v>45769</v>
      </c>
      <c r="C897" t="s">
        <v>762</v>
      </c>
      <c r="D897" t="s">
        <v>134</v>
      </c>
      <c r="E897" t="s">
        <v>33</v>
      </c>
      <c r="F897" t="s">
        <v>96</v>
      </c>
      <c r="G897">
        <v>5</v>
      </c>
      <c r="H897" s="5">
        <v>4541.8599999999997</v>
      </c>
      <c r="I897" s="4">
        <v>0.2</v>
      </c>
      <c r="J897" s="5">
        <v>18167.439999999999</v>
      </c>
      <c r="K897" s="5">
        <v>14405.2</v>
      </c>
      <c r="L897" s="5">
        <v>3762.24</v>
      </c>
      <c r="M897" t="s">
        <v>57</v>
      </c>
      <c r="N897" t="s">
        <v>71</v>
      </c>
      <c r="O897" t="s">
        <v>44</v>
      </c>
    </row>
    <row r="898" spans="1:15">
      <c r="A898" t="s">
        <v>1409</v>
      </c>
      <c r="B898" s="3">
        <v>45790</v>
      </c>
      <c r="C898" t="s">
        <v>1410</v>
      </c>
      <c r="D898" t="s">
        <v>66</v>
      </c>
      <c r="E898" t="s">
        <v>33</v>
      </c>
      <c r="F898" t="s">
        <v>176</v>
      </c>
      <c r="G898">
        <v>3</v>
      </c>
      <c r="H898" s="5">
        <v>3981.95</v>
      </c>
      <c r="I898" s="4">
        <v>0.1</v>
      </c>
      <c r="J898" s="5">
        <v>10751.26</v>
      </c>
      <c r="K898" s="5">
        <v>6331.75</v>
      </c>
      <c r="L898" s="5">
        <v>4419.51</v>
      </c>
      <c r="M898" t="s">
        <v>57</v>
      </c>
      <c r="N898" t="s">
        <v>71</v>
      </c>
      <c r="O898" t="s">
        <v>44</v>
      </c>
    </row>
    <row r="899" spans="1:15">
      <c r="A899" t="s">
        <v>1411</v>
      </c>
      <c r="B899" s="3">
        <v>46251</v>
      </c>
      <c r="C899" t="s">
        <v>1412</v>
      </c>
      <c r="D899" t="s">
        <v>95</v>
      </c>
      <c r="E899" t="s">
        <v>48</v>
      </c>
      <c r="F899" t="s">
        <v>113</v>
      </c>
      <c r="G899">
        <v>6</v>
      </c>
      <c r="H899" s="5">
        <v>742.42</v>
      </c>
      <c r="I899" s="4">
        <v>0.2</v>
      </c>
      <c r="J899" s="5">
        <v>3563.62</v>
      </c>
      <c r="K899" s="5">
        <v>2581.63</v>
      </c>
      <c r="L899" s="5">
        <v>981.99</v>
      </c>
      <c r="M899" t="s">
        <v>57</v>
      </c>
      <c r="N899" t="s">
        <v>71</v>
      </c>
      <c r="O899" t="s">
        <v>44</v>
      </c>
    </row>
    <row r="900" spans="1:15">
      <c r="A900" t="s">
        <v>1413</v>
      </c>
      <c r="B900" s="3">
        <v>46104</v>
      </c>
      <c r="C900" t="s">
        <v>348</v>
      </c>
      <c r="D900" t="s">
        <v>47</v>
      </c>
      <c r="E900" t="s">
        <v>61</v>
      </c>
      <c r="F900" t="s">
        <v>84</v>
      </c>
      <c r="G900">
        <v>6</v>
      </c>
      <c r="H900" s="5">
        <v>1793.27</v>
      </c>
      <c r="I900" s="4">
        <v>0.15</v>
      </c>
      <c r="J900" s="5">
        <v>9145.68</v>
      </c>
      <c r="K900" s="5">
        <v>7281.17</v>
      </c>
      <c r="L900" s="5">
        <v>1864.51</v>
      </c>
      <c r="M900" t="s">
        <v>35</v>
      </c>
      <c r="N900" t="s">
        <v>71</v>
      </c>
      <c r="O900" t="s">
        <v>44</v>
      </c>
    </row>
    <row r="901" spans="1:15">
      <c r="A901" t="s">
        <v>1414</v>
      </c>
      <c r="B901" s="3">
        <v>45795</v>
      </c>
      <c r="C901" t="s">
        <v>1366</v>
      </c>
      <c r="D901" t="s">
        <v>40</v>
      </c>
      <c r="E901" t="s">
        <v>48</v>
      </c>
      <c r="F901" t="s">
        <v>113</v>
      </c>
      <c r="G901">
        <v>5</v>
      </c>
      <c r="H901" s="5">
        <v>1390.92</v>
      </c>
      <c r="I901" s="4">
        <v>0</v>
      </c>
      <c r="J901" s="5">
        <v>6954.6</v>
      </c>
      <c r="K901" s="5">
        <v>4916.08</v>
      </c>
      <c r="L901" s="5">
        <v>2038.52</v>
      </c>
      <c r="M901" t="s">
        <v>35</v>
      </c>
      <c r="N901" t="s">
        <v>63</v>
      </c>
      <c r="O901" t="s">
        <v>44</v>
      </c>
    </row>
    <row r="902" spans="1:15">
      <c r="A902" t="s">
        <v>1415</v>
      </c>
      <c r="B902" s="3">
        <v>45871</v>
      </c>
      <c r="C902" t="s">
        <v>725</v>
      </c>
      <c r="D902" t="s">
        <v>95</v>
      </c>
      <c r="E902" t="s">
        <v>33</v>
      </c>
      <c r="F902" t="s">
        <v>92</v>
      </c>
      <c r="G902">
        <v>4</v>
      </c>
      <c r="H902" s="5">
        <v>715.86</v>
      </c>
      <c r="I902" s="4">
        <v>0.15</v>
      </c>
      <c r="J902" s="5">
        <v>2433.92</v>
      </c>
      <c r="K902" s="5">
        <v>1809.64</v>
      </c>
      <c r="L902" s="5">
        <v>624.28</v>
      </c>
      <c r="M902" t="s">
        <v>57</v>
      </c>
      <c r="N902" t="s">
        <v>71</v>
      </c>
      <c r="O902" t="s">
        <v>44</v>
      </c>
    </row>
    <row r="903" spans="1:15">
      <c r="A903" t="s">
        <v>1416</v>
      </c>
      <c r="B903" s="3">
        <v>45748</v>
      </c>
      <c r="C903" t="s">
        <v>170</v>
      </c>
      <c r="D903" t="s">
        <v>56</v>
      </c>
      <c r="E903" t="s">
        <v>61</v>
      </c>
      <c r="F903" t="s">
        <v>81</v>
      </c>
      <c r="G903">
        <v>4</v>
      </c>
      <c r="H903" s="5">
        <v>1991.39</v>
      </c>
      <c r="I903" s="4">
        <v>0</v>
      </c>
      <c r="J903" s="5">
        <v>7965.56</v>
      </c>
      <c r="K903" s="5">
        <v>6086.58</v>
      </c>
      <c r="L903" s="5">
        <v>1878.98</v>
      </c>
      <c r="M903" t="s">
        <v>57</v>
      </c>
      <c r="N903" t="s">
        <v>63</v>
      </c>
      <c r="O903" t="s">
        <v>44</v>
      </c>
    </row>
    <row r="904" spans="1:15">
      <c r="A904" t="s">
        <v>1417</v>
      </c>
      <c r="B904" s="3">
        <v>46245</v>
      </c>
      <c r="C904" t="s">
        <v>320</v>
      </c>
      <c r="D904" t="s">
        <v>134</v>
      </c>
      <c r="E904" t="s">
        <v>41</v>
      </c>
      <c r="F904" t="s">
        <v>53</v>
      </c>
      <c r="G904">
        <v>1</v>
      </c>
      <c r="H904" s="5">
        <v>1684.41</v>
      </c>
      <c r="I904" s="4">
        <v>0.2</v>
      </c>
      <c r="J904" s="5">
        <v>1347.53</v>
      </c>
      <c r="K904" s="5">
        <v>1129.42</v>
      </c>
      <c r="L904" s="5">
        <v>218.11</v>
      </c>
      <c r="M904" t="s">
        <v>35</v>
      </c>
      <c r="N904" t="s">
        <v>43</v>
      </c>
      <c r="O904" t="s">
        <v>37</v>
      </c>
    </row>
    <row r="905" spans="1:15">
      <c r="A905" t="s">
        <v>1418</v>
      </c>
      <c r="B905" s="3">
        <v>45842</v>
      </c>
      <c r="C905" t="s">
        <v>646</v>
      </c>
      <c r="D905" t="s">
        <v>66</v>
      </c>
      <c r="E905" t="s">
        <v>61</v>
      </c>
      <c r="F905" t="s">
        <v>89</v>
      </c>
      <c r="G905">
        <v>5</v>
      </c>
      <c r="H905" s="5">
        <v>441.04</v>
      </c>
      <c r="I905" s="4">
        <v>0</v>
      </c>
      <c r="J905" s="5">
        <v>2205.1999999999998</v>
      </c>
      <c r="K905" s="5">
        <v>1441.9</v>
      </c>
      <c r="L905" s="5">
        <v>763.3</v>
      </c>
      <c r="M905" t="s">
        <v>57</v>
      </c>
      <c r="N905" t="s">
        <v>71</v>
      </c>
      <c r="O905" t="s">
        <v>44</v>
      </c>
    </row>
    <row r="906" spans="1:15">
      <c r="A906" t="s">
        <v>1419</v>
      </c>
      <c r="B906" s="3">
        <v>45836</v>
      </c>
      <c r="C906" t="s">
        <v>1360</v>
      </c>
      <c r="D906" t="s">
        <v>74</v>
      </c>
      <c r="E906" t="s">
        <v>41</v>
      </c>
      <c r="F906" t="s">
        <v>124</v>
      </c>
      <c r="G906">
        <v>4</v>
      </c>
      <c r="H906" s="5">
        <v>1993.39</v>
      </c>
      <c r="I906" s="4">
        <v>0.05</v>
      </c>
      <c r="J906" s="5">
        <v>7574.88</v>
      </c>
      <c r="K906" s="5">
        <v>5694.76</v>
      </c>
      <c r="L906" s="5">
        <v>1880.12</v>
      </c>
      <c r="M906" t="s">
        <v>57</v>
      </c>
      <c r="N906" t="s">
        <v>71</v>
      </c>
      <c r="O906" t="s">
        <v>44</v>
      </c>
    </row>
    <row r="907" spans="1:15">
      <c r="A907" t="s">
        <v>1420</v>
      </c>
      <c r="B907" s="3">
        <v>45752</v>
      </c>
      <c r="C907" t="s">
        <v>1421</v>
      </c>
      <c r="D907" t="s">
        <v>66</v>
      </c>
      <c r="E907" t="s">
        <v>61</v>
      </c>
      <c r="F907" t="s">
        <v>89</v>
      </c>
      <c r="G907">
        <v>1</v>
      </c>
      <c r="H907" s="5">
        <v>3632.94</v>
      </c>
      <c r="I907" s="4">
        <v>0</v>
      </c>
      <c r="J907" s="5">
        <v>3632.94</v>
      </c>
      <c r="K907" s="5">
        <v>2974.55</v>
      </c>
      <c r="L907" s="5">
        <v>658.39</v>
      </c>
      <c r="M907" t="s">
        <v>35</v>
      </c>
      <c r="N907" t="s">
        <v>71</v>
      </c>
      <c r="O907" t="s">
        <v>44</v>
      </c>
    </row>
    <row r="908" spans="1:15">
      <c r="A908" t="s">
        <v>1422</v>
      </c>
      <c r="B908" s="3">
        <v>45684</v>
      </c>
      <c r="C908" t="s">
        <v>259</v>
      </c>
      <c r="D908" t="s">
        <v>95</v>
      </c>
      <c r="E908" t="s">
        <v>61</v>
      </c>
      <c r="F908" t="s">
        <v>84</v>
      </c>
      <c r="G908">
        <v>6</v>
      </c>
      <c r="H908" s="5">
        <v>1893.65</v>
      </c>
      <c r="I908" s="4">
        <v>0</v>
      </c>
      <c r="J908" s="5">
        <v>11361.9</v>
      </c>
      <c r="K908" s="5">
        <v>9605.43</v>
      </c>
      <c r="L908" s="5">
        <v>1756.47</v>
      </c>
      <c r="M908" t="s">
        <v>35</v>
      </c>
      <c r="N908" t="s">
        <v>43</v>
      </c>
      <c r="O908" t="s">
        <v>37</v>
      </c>
    </row>
    <row r="909" spans="1:15">
      <c r="A909" t="s">
        <v>1423</v>
      </c>
      <c r="B909" s="3">
        <v>46171</v>
      </c>
      <c r="C909" t="s">
        <v>191</v>
      </c>
      <c r="D909" t="s">
        <v>56</v>
      </c>
      <c r="E909" t="s">
        <v>41</v>
      </c>
      <c r="F909" t="s">
        <v>53</v>
      </c>
      <c r="G909">
        <v>3</v>
      </c>
      <c r="H909" s="5">
        <v>3317.98</v>
      </c>
      <c r="I909" s="4">
        <v>0.1</v>
      </c>
      <c r="J909" s="5">
        <v>8958.5499999999993</v>
      </c>
      <c r="K909" s="5">
        <v>6261.22</v>
      </c>
      <c r="L909" s="5">
        <v>2697.33</v>
      </c>
      <c r="M909" t="s">
        <v>57</v>
      </c>
      <c r="N909" t="s">
        <v>63</v>
      </c>
      <c r="O909" t="s">
        <v>44</v>
      </c>
    </row>
    <row r="910" spans="1:15">
      <c r="A910" t="s">
        <v>1424</v>
      </c>
      <c r="B910" s="3">
        <v>45771</v>
      </c>
      <c r="C910" t="s">
        <v>695</v>
      </c>
      <c r="D910" t="s">
        <v>66</v>
      </c>
      <c r="E910" t="s">
        <v>48</v>
      </c>
      <c r="F910" t="s">
        <v>70</v>
      </c>
      <c r="G910">
        <v>1</v>
      </c>
      <c r="H910" s="5">
        <v>3768.81</v>
      </c>
      <c r="I910" s="4">
        <v>0.05</v>
      </c>
      <c r="J910" s="5">
        <v>3580.37</v>
      </c>
      <c r="K910" s="5">
        <v>3037.62</v>
      </c>
      <c r="L910" s="5">
        <v>542.75</v>
      </c>
      <c r="M910" t="s">
        <v>57</v>
      </c>
      <c r="N910" t="s">
        <v>71</v>
      </c>
      <c r="O910" t="s">
        <v>44</v>
      </c>
    </row>
    <row r="911" spans="1:15">
      <c r="A911" t="s">
        <v>1425</v>
      </c>
      <c r="B911" s="3">
        <v>45665</v>
      </c>
      <c r="C911" t="s">
        <v>648</v>
      </c>
      <c r="D911" t="s">
        <v>60</v>
      </c>
      <c r="E911" t="s">
        <v>61</v>
      </c>
      <c r="F911" t="s">
        <v>81</v>
      </c>
      <c r="G911">
        <v>2</v>
      </c>
      <c r="H911" s="5">
        <v>4611.08</v>
      </c>
      <c r="I911" s="4">
        <v>0</v>
      </c>
      <c r="J911" s="5">
        <v>9222.16</v>
      </c>
      <c r="K911" s="5">
        <v>7437.49</v>
      </c>
      <c r="L911" s="5">
        <v>1784.67</v>
      </c>
      <c r="M911" t="s">
        <v>35</v>
      </c>
      <c r="N911" t="s">
        <v>43</v>
      </c>
      <c r="O911" t="s">
        <v>44</v>
      </c>
    </row>
    <row r="912" spans="1:15">
      <c r="A912" t="s">
        <v>1426</v>
      </c>
      <c r="B912" s="3">
        <v>45908</v>
      </c>
      <c r="C912" t="s">
        <v>441</v>
      </c>
      <c r="D912" t="s">
        <v>95</v>
      </c>
      <c r="E912" t="s">
        <v>33</v>
      </c>
      <c r="F912" t="s">
        <v>176</v>
      </c>
      <c r="G912">
        <v>2</v>
      </c>
      <c r="H912" s="5">
        <v>5436.15</v>
      </c>
      <c r="I912" s="4">
        <v>0</v>
      </c>
      <c r="J912" s="5">
        <v>10872.3</v>
      </c>
      <c r="K912" s="5">
        <v>8672.7000000000007</v>
      </c>
      <c r="L912" s="5">
        <v>2199.6</v>
      </c>
      <c r="M912" t="s">
        <v>35</v>
      </c>
      <c r="N912" t="s">
        <v>63</v>
      </c>
      <c r="O912" t="s">
        <v>44</v>
      </c>
    </row>
    <row r="913" spans="1:15">
      <c r="A913" t="s">
        <v>1427</v>
      </c>
      <c r="B913" s="3">
        <v>45755</v>
      </c>
      <c r="C913" t="s">
        <v>131</v>
      </c>
      <c r="D913" t="s">
        <v>47</v>
      </c>
      <c r="E913" t="s">
        <v>61</v>
      </c>
      <c r="F913" t="s">
        <v>62</v>
      </c>
      <c r="G913">
        <v>1</v>
      </c>
      <c r="H913" s="5">
        <v>1404.41</v>
      </c>
      <c r="I913" s="4">
        <v>0</v>
      </c>
      <c r="J913" s="5">
        <v>1404.41</v>
      </c>
      <c r="K913" s="5">
        <v>919.63</v>
      </c>
      <c r="L913" s="5">
        <v>484.78</v>
      </c>
      <c r="M913" t="s">
        <v>35</v>
      </c>
      <c r="N913" t="s">
        <v>43</v>
      </c>
      <c r="O913" t="s">
        <v>44</v>
      </c>
    </row>
    <row r="914" spans="1:15">
      <c r="A914" t="s">
        <v>1428</v>
      </c>
      <c r="B914" s="3">
        <v>45852</v>
      </c>
      <c r="C914" t="s">
        <v>1421</v>
      </c>
      <c r="D914" t="s">
        <v>74</v>
      </c>
      <c r="E914" t="s">
        <v>61</v>
      </c>
      <c r="F914" t="s">
        <v>129</v>
      </c>
      <c r="G914">
        <v>6</v>
      </c>
      <c r="H914" s="5">
        <v>1159.07</v>
      </c>
      <c r="I914" s="4">
        <v>0.1</v>
      </c>
      <c r="J914" s="5">
        <v>6258.98</v>
      </c>
      <c r="K914" s="5">
        <v>4944.1000000000004</v>
      </c>
      <c r="L914" s="5">
        <v>1314.88</v>
      </c>
      <c r="M914" t="s">
        <v>35</v>
      </c>
      <c r="N914" t="s">
        <v>36</v>
      </c>
      <c r="O914" t="s">
        <v>37</v>
      </c>
    </row>
    <row r="915" spans="1:15">
      <c r="A915" t="s">
        <v>1429</v>
      </c>
      <c r="B915" s="3">
        <v>45815</v>
      </c>
      <c r="C915" t="s">
        <v>1430</v>
      </c>
      <c r="D915" t="s">
        <v>40</v>
      </c>
      <c r="E915" t="s">
        <v>61</v>
      </c>
      <c r="F915" t="s">
        <v>84</v>
      </c>
      <c r="G915">
        <v>3</v>
      </c>
      <c r="H915" s="5">
        <v>2420.33</v>
      </c>
      <c r="I915" s="4">
        <v>0.15</v>
      </c>
      <c r="J915" s="5">
        <v>6171.84</v>
      </c>
      <c r="K915" s="5">
        <v>3808.23</v>
      </c>
      <c r="L915" s="5">
        <v>2363.61</v>
      </c>
      <c r="M915" t="s">
        <v>57</v>
      </c>
      <c r="N915" t="s">
        <v>63</v>
      </c>
      <c r="O915" t="s">
        <v>44</v>
      </c>
    </row>
    <row r="916" spans="1:15">
      <c r="A916" t="s">
        <v>1431</v>
      </c>
      <c r="B916" s="3">
        <v>46162</v>
      </c>
      <c r="C916" t="s">
        <v>1432</v>
      </c>
      <c r="D916" t="s">
        <v>56</v>
      </c>
      <c r="E916" t="s">
        <v>41</v>
      </c>
      <c r="F916" t="s">
        <v>53</v>
      </c>
      <c r="G916">
        <v>2</v>
      </c>
      <c r="H916" s="5">
        <v>4637.33</v>
      </c>
      <c r="I916" s="4">
        <v>0.1</v>
      </c>
      <c r="J916" s="5">
        <v>8347.19</v>
      </c>
      <c r="K916" s="5">
        <v>4953.49</v>
      </c>
      <c r="L916" s="5">
        <v>3393.7</v>
      </c>
      <c r="M916" t="s">
        <v>57</v>
      </c>
      <c r="N916" t="s">
        <v>43</v>
      </c>
      <c r="O916" t="s">
        <v>44</v>
      </c>
    </row>
    <row r="917" spans="1:15">
      <c r="A917" t="s">
        <v>1433</v>
      </c>
      <c r="B917" s="3">
        <v>46002</v>
      </c>
      <c r="C917" t="s">
        <v>1000</v>
      </c>
      <c r="D917" t="s">
        <v>60</v>
      </c>
      <c r="E917" t="s">
        <v>41</v>
      </c>
      <c r="F917" t="s">
        <v>119</v>
      </c>
      <c r="G917">
        <v>2</v>
      </c>
      <c r="H917" s="5">
        <v>5274.48</v>
      </c>
      <c r="I917" s="4">
        <v>0.05</v>
      </c>
      <c r="J917" s="5">
        <v>10021.51</v>
      </c>
      <c r="K917" s="5">
        <v>5653.24</v>
      </c>
      <c r="L917" s="5">
        <v>4368.2700000000004</v>
      </c>
      <c r="M917" t="s">
        <v>35</v>
      </c>
      <c r="N917" t="s">
        <v>71</v>
      </c>
      <c r="O917" t="s">
        <v>44</v>
      </c>
    </row>
    <row r="918" spans="1:15">
      <c r="A918" t="s">
        <v>1434</v>
      </c>
      <c r="B918" s="3">
        <v>46054</v>
      </c>
      <c r="C918" t="s">
        <v>545</v>
      </c>
      <c r="D918" t="s">
        <v>56</v>
      </c>
      <c r="E918" t="s">
        <v>41</v>
      </c>
      <c r="F918" t="s">
        <v>124</v>
      </c>
      <c r="G918">
        <v>4</v>
      </c>
      <c r="H918" s="5">
        <v>900.93</v>
      </c>
      <c r="I918" s="4">
        <v>0.15</v>
      </c>
      <c r="J918" s="5">
        <v>3063.16</v>
      </c>
      <c r="K918" s="5">
        <v>2309.96</v>
      </c>
      <c r="L918" s="5">
        <v>753.2</v>
      </c>
      <c r="M918" t="s">
        <v>35</v>
      </c>
      <c r="N918" t="s">
        <v>36</v>
      </c>
      <c r="O918" t="s">
        <v>44</v>
      </c>
    </row>
    <row r="919" spans="1:15">
      <c r="A919" t="s">
        <v>1435</v>
      </c>
      <c r="B919" s="3">
        <v>46231</v>
      </c>
      <c r="C919" t="s">
        <v>927</v>
      </c>
      <c r="D919" t="s">
        <v>134</v>
      </c>
      <c r="E919" t="s">
        <v>61</v>
      </c>
      <c r="F919" t="s">
        <v>84</v>
      </c>
      <c r="G919">
        <v>2</v>
      </c>
      <c r="H919" s="5">
        <v>2360.42</v>
      </c>
      <c r="I919" s="4">
        <v>0.05</v>
      </c>
      <c r="J919" s="5">
        <v>4484.8</v>
      </c>
      <c r="K919" s="5">
        <v>2986.3</v>
      </c>
      <c r="L919" s="5">
        <v>1498.5</v>
      </c>
      <c r="M919" t="s">
        <v>35</v>
      </c>
      <c r="N919" t="s">
        <v>63</v>
      </c>
      <c r="O919" t="s">
        <v>44</v>
      </c>
    </row>
    <row r="920" spans="1:15">
      <c r="A920" t="s">
        <v>1436</v>
      </c>
      <c r="B920" s="3">
        <v>46060</v>
      </c>
      <c r="C920" t="s">
        <v>1354</v>
      </c>
      <c r="D920" t="s">
        <v>95</v>
      </c>
      <c r="E920" t="s">
        <v>48</v>
      </c>
      <c r="F920" t="s">
        <v>113</v>
      </c>
      <c r="G920">
        <v>6</v>
      </c>
      <c r="H920" s="5">
        <v>2086.4499999999998</v>
      </c>
      <c r="I920" s="4">
        <v>0</v>
      </c>
      <c r="J920" s="5">
        <v>12518.7</v>
      </c>
      <c r="K920" s="5">
        <v>6920.41</v>
      </c>
      <c r="L920" s="5">
        <v>5598.29</v>
      </c>
      <c r="M920" t="s">
        <v>35</v>
      </c>
      <c r="N920" t="s">
        <v>63</v>
      </c>
      <c r="O920" t="s">
        <v>37</v>
      </c>
    </row>
    <row r="921" spans="1:15">
      <c r="A921" t="s">
        <v>1437</v>
      </c>
      <c r="B921" s="3">
        <v>46047</v>
      </c>
      <c r="C921" t="s">
        <v>1438</v>
      </c>
      <c r="D921" t="s">
        <v>47</v>
      </c>
      <c r="E921" t="s">
        <v>48</v>
      </c>
      <c r="F921" t="s">
        <v>99</v>
      </c>
      <c r="G921">
        <v>3</v>
      </c>
      <c r="H921" s="5">
        <v>4142.82</v>
      </c>
      <c r="I921" s="4">
        <v>0.15</v>
      </c>
      <c r="J921" s="5">
        <v>10564.19</v>
      </c>
      <c r="K921" s="5">
        <v>6449.68</v>
      </c>
      <c r="L921" s="5">
        <v>4114.51</v>
      </c>
      <c r="M921" t="s">
        <v>35</v>
      </c>
      <c r="N921" t="s">
        <v>71</v>
      </c>
      <c r="O921" t="s">
        <v>37</v>
      </c>
    </row>
    <row r="922" spans="1:15">
      <c r="A922" t="s">
        <v>1439</v>
      </c>
      <c r="B922" s="3">
        <v>46119</v>
      </c>
      <c r="C922" t="s">
        <v>521</v>
      </c>
      <c r="D922" t="s">
        <v>95</v>
      </c>
      <c r="E922" t="s">
        <v>41</v>
      </c>
      <c r="F922" t="s">
        <v>124</v>
      </c>
      <c r="G922">
        <v>6</v>
      </c>
      <c r="H922" s="5">
        <v>690.54</v>
      </c>
      <c r="I922" s="4">
        <v>0.05</v>
      </c>
      <c r="J922" s="5">
        <v>3936.08</v>
      </c>
      <c r="K922" s="5">
        <v>2867.28</v>
      </c>
      <c r="L922" s="5">
        <v>1068.8</v>
      </c>
      <c r="M922" t="s">
        <v>57</v>
      </c>
      <c r="N922" t="s">
        <v>36</v>
      </c>
      <c r="O922" t="s">
        <v>44</v>
      </c>
    </row>
    <row r="923" spans="1:15">
      <c r="A923" t="s">
        <v>1440</v>
      </c>
      <c r="B923" s="3">
        <v>46093</v>
      </c>
      <c r="C923" t="s">
        <v>864</v>
      </c>
      <c r="D923" t="s">
        <v>60</v>
      </c>
      <c r="E923" t="s">
        <v>48</v>
      </c>
      <c r="F923" t="s">
        <v>70</v>
      </c>
      <c r="G923">
        <v>4</v>
      </c>
      <c r="H923" s="5">
        <v>4831.83</v>
      </c>
      <c r="I923" s="4">
        <v>0</v>
      </c>
      <c r="J923" s="5">
        <v>19327.32</v>
      </c>
      <c r="K923" s="5">
        <v>12951.81</v>
      </c>
      <c r="L923" s="5">
        <v>6375.51</v>
      </c>
      <c r="M923" t="s">
        <v>57</v>
      </c>
      <c r="N923" t="s">
        <v>43</v>
      </c>
      <c r="O923" t="s">
        <v>44</v>
      </c>
    </row>
    <row r="924" spans="1:15">
      <c r="A924" t="s">
        <v>1441</v>
      </c>
      <c r="B924" s="3">
        <v>46019</v>
      </c>
      <c r="C924" t="s">
        <v>1376</v>
      </c>
      <c r="D924" t="s">
        <v>74</v>
      </c>
      <c r="E924" t="s">
        <v>33</v>
      </c>
      <c r="F924" t="s">
        <v>176</v>
      </c>
      <c r="G924">
        <v>6</v>
      </c>
      <c r="H924" s="5">
        <v>1499.64</v>
      </c>
      <c r="I924" s="4">
        <v>0</v>
      </c>
      <c r="J924" s="5">
        <v>8997.84</v>
      </c>
      <c r="K924" s="5">
        <v>5633.86</v>
      </c>
      <c r="L924" s="5">
        <v>3363.98</v>
      </c>
      <c r="M924" t="s">
        <v>57</v>
      </c>
      <c r="N924" t="s">
        <v>63</v>
      </c>
      <c r="O924" t="s">
        <v>37</v>
      </c>
    </row>
    <row r="925" spans="1:15">
      <c r="A925" t="s">
        <v>1442</v>
      </c>
      <c r="B925" s="3">
        <v>45692</v>
      </c>
      <c r="C925" t="s">
        <v>665</v>
      </c>
      <c r="D925" t="s">
        <v>47</v>
      </c>
      <c r="E925" t="s">
        <v>41</v>
      </c>
      <c r="F925" t="s">
        <v>119</v>
      </c>
      <c r="G925">
        <v>1</v>
      </c>
      <c r="H925" s="5">
        <v>744.93</v>
      </c>
      <c r="I925" s="4">
        <v>0.2</v>
      </c>
      <c r="J925" s="5">
        <v>595.94000000000005</v>
      </c>
      <c r="K925" s="5">
        <v>455.51</v>
      </c>
      <c r="L925" s="5">
        <v>140.43</v>
      </c>
      <c r="M925" t="s">
        <v>57</v>
      </c>
      <c r="N925" t="s">
        <v>63</v>
      </c>
      <c r="O925" t="s">
        <v>44</v>
      </c>
    </row>
    <row r="926" spans="1:15">
      <c r="A926" t="s">
        <v>1443</v>
      </c>
      <c r="B926" s="3">
        <v>45759</v>
      </c>
      <c r="C926" t="s">
        <v>1048</v>
      </c>
      <c r="D926" t="s">
        <v>66</v>
      </c>
      <c r="E926" t="s">
        <v>48</v>
      </c>
      <c r="F926" t="s">
        <v>99</v>
      </c>
      <c r="G926">
        <v>5</v>
      </c>
      <c r="H926" s="5">
        <v>3180.44</v>
      </c>
      <c r="I926" s="4">
        <v>0.15</v>
      </c>
      <c r="J926" s="5">
        <v>13516.87</v>
      </c>
      <c r="K926" s="5">
        <v>9888.17</v>
      </c>
      <c r="L926" s="5">
        <v>3628.7</v>
      </c>
      <c r="M926" t="s">
        <v>57</v>
      </c>
      <c r="N926" t="s">
        <v>43</v>
      </c>
      <c r="O926" t="s">
        <v>37</v>
      </c>
    </row>
    <row r="927" spans="1:15">
      <c r="A927" t="s">
        <v>1444</v>
      </c>
      <c r="B927" s="3">
        <v>45670</v>
      </c>
      <c r="C927" t="s">
        <v>466</v>
      </c>
      <c r="D927" t="s">
        <v>134</v>
      </c>
      <c r="E927" t="s">
        <v>33</v>
      </c>
      <c r="F927" t="s">
        <v>92</v>
      </c>
      <c r="G927">
        <v>5</v>
      </c>
      <c r="H927" s="5">
        <v>1540.52</v>
      </c>
      <c r="I927" s="4">
        <v>0</v>
      </c>
      <c r="J927" s="5">
        <v>7702.6</v>
      </c>
      <c r="K927" s="5">
        <v>6223.28</v>
      </c>
      <c r="L927" s="5">
        <v>1479.32</v>
      </c>
      <c r="M927" t="s">
        <v>57</v>
      </c>
      <c r="N927" t="s">
        <v>63</v>
      </c>
      <c r="O927" t="s">
        <v>44</v>
      </c>
    </row>
    <row r="928" spans="1:15">
      <c r="A928" t="s">
        <v>1445</v>
      </c>
      <c r="B928" s="3">
        <v>45716</v>
      </c>
      <c r="C928" t="s">
        <v>1357</v>
      </c>
      <c r="D928" t="s">
        <v>95</v>
      </c>
      <c r="E928" t="s">
        <v>48</v>
      </c>
      <c r="F928" t="s">
        <v>99</v>
      </c>
      <c r="G928">
        <v>3</v>
      </c>
      <c r="H928" s="5">
        <v>697.01</v>
      </c>
      <c r="I928" s="4">
        <v>0.05</v>
      </c>
      <c r="J928" s="5">
        <v>1986.48</v>
      </c>
      <c r="K928" s="5">
        <v>1141.55</v>
      </c>
      <c r="L928" s="5">
        <v>844.93</v>
      </c>
      <c r="M928" t="s">
        <v>57</v>
      </c>
      <c r="N928" t="s">
        <v>71</v>
      </c>
      <c r="O928" t="s">
        <v>44</v>
      </c>
    </row>
    <row r="929" spans="1:15">
      <c r="A929" t="s">
        <v>1446</v>
      </c>
      <c r="B929" s="3">
        <v>45916</v>
      </c>
      <c r="C929" t="s">
        <v>215</v>
      </c>
      <c r="D929" t="s">
        <v>47</v>
      </c>
      <c r="E929" t="s">
        <v>61</v>
      </c>
      <c r="F929" t="s">
        <v>129</v>
      </c>
      <c r="G929">
        <v>6</v>
      </c>
      <c r="H929" s="5">
        <v>3712.54</v>
      </c>
      <c r="I929" s="4">
        <v>0.1</v>
      </c>
      <c r="J929" s="5">
        <v>20047.72</v>
      </c>
      <c r="K929" s="5">
        <v>14383.24</v>
      </c>
      <c r="L929" s="5">
        <v>5664.48</v>
      </c>
      <c r="M929" t="s">
        <v>57</v>
      </c>
      <c r="N929" t="s">
        <v>36</v>
      </c>
      <c r="O929" t="s">
        <v>37</v>
      </c>
    </row>
    <row r="930" spans="1:15">
      <c r="A930" t="s">
        <v>1447</v>
      </c>
      <c r="B930" s="3">
        <v>46206</v>
      </c>
      <c r="C930" t="s">
        <v>276</v>
      </c>
      <c r="D930" t="s">
        <v>32</v>
      </c>
      <c r="E930" t="s">
        <v>48</v>
      </c>
      <c r="F930" t="s">
        <v>70</v>
      </c>
      <c r="G930">
        <v>2</v>
      </c>
      <c r="H930" s="5">
        <v>2447.2800000000002</v>
      </c>
      <c r="I930" s="4">
        <v>0</v>
      </c>
      <c r="J930" s="5">
        <v>4894.5600000000004</v>
      </c>
      <c r="K930" s="5">
        <v>3389.38</v>
      </c>
      <c r="L930" s="5">
        <v>1505.18</v>
      </c>
      <c r="M930" t="s">
        <v>35</v>
      </c>
      <c r="N930" t="s">
        <v>43</v>
      </c>
      <c r="O930" t="s">
        <v>37</v>
      </c>
    </row>
    <row r="931" spans="1:15">
      <c r="A931" t="s">
        <v>1448</v>
      </c>
      <c r="B931" s="3">
        <v>45998</v>
      </c>
      <c r="C931" t="s">
        <v>1071</v>
      </c>
      <c r="D931" t="s">
        <v>66</v>
      </c>
      <c r="E931" t="s">
        <v>33</v>
      </c>
      <c r="F931" t="s">
        <v>67</v>
      </c>
      <c r="G931">
        <v>2</v>
      </c>
      <c r="H931" s="5">
        <v>1280.76</v>
      </c>
      <c r="I931" s="4">
        <v>0</v>
      </c>
      <c r="J931" s="5">
        <v>2561.52</v>
      </c>
      <c r="K931" s="5">
        <v>1683.01</v>
      </c>
      <c r="L931" s="5">
        <v>878.51</v>
      </c>
      <c r="M931" t="s">
        <v>35</v>
      </c>
      <c r="N931" t="s">
        <v>43</v>
      </c>
      <c r="O931" t="s">
        <v>37</v>
      </c>
    </row>
    <row r="932" spans="1:15">
      <c r="A932" t="s">
        <v>1449</v>
      </c>
      <c r="B932" s="3">
        <v>45689</v>
      </c>
      <c r="C932" t="s">
        <v>346</v>
      </c>
      <c r="D932" t="s">
        <v>95</v>
      </c>
      <c r="E932" t="s">
        <v>41</v>
      </c>
      <c r="F932" t="s">
        <v>119</v>
      </c>
      <c r="G932">
        <v>2</v>
      </c>
      <c r="H932" s="5">
        <v>3409.48</v>
      </c>
      <c r="I932" s="4">
        <v>0.1</v>
      </c>
      <c r="J932" s="5">
        <v>6137.06</v>
      </c>
      <c r="K932" s="5">
        <v>4758.6099999999997</v>
      </c>
      <c r="L932" s="5">
        <v>1378.45</v>
      </c>
      <c r="M932" t="s">
        <v>35</v>
      </c>
      <c r="N932" t="s">
        <v>36</v>
      </c>
      <c r="O932" t="s">
        <v>44</v>
      </c>
    </row>
    <row r="933" spans="1:15">
      <c r="A933" t="s">
        <v>1450</v>
      </c>
      <c r="B933" s="3">
        <v>46148</v>
      </c>
      <c r="C933" t="s">
        <v>217</v>
      </c>
      <c r="D933" t="s">
        <v>32</v>
      </c>
      <c r="E933" t="s">
        <v>48</v>
      </c>
      <c r="F933" t="s">
        <v>102</v>
      </c>
      <c r="G933">
        <v>3</v>
      </c>
      <c r="H933" s="5">
        <v>485.46</v>
      </c>
      <c r="I933" s="4">
        <v>0</v>
      </c>
      <c r="J933" s="5">
        <v>1456.38</v>
      </c>
      <c r="K933" s="5">
        <v>1181.93</v>
      </c>
      <c r="L933" s="5">
        <v>274.45</v>
      </c>
      <c r="M933" t="s">
        <v>57</v>
      </c>
      <c r="N933" t="s">
        <v>36</v>
      </c>
      <c r="O933" t="s">
        <v>44</v>
      </c>
    </row>
    <row r="934" spans="1:15">
      <c r="A934" t="s">
        <v>1451</v>
      </c>
      <c r="B934" s="3">
        <v>46173</v>
      </c>
      <c r="C934" t="s">
        <v>88</v>
      </c>
      <c r="D934" t="s">
        <v>40</v>
      </c>
      <c r="E934" t="s">
        <v>61</v>
      </c>
      <c r="F934" t="s">
        <v>81</v>
      </c>
      <c r="G934">
        <v>1</v>
      </c>
      <c r="H934" s="5">
        <v>3066.62</v>
      </c>
      <c r="I934" s="4">
        <v>0.1</v>
      </c>
      <c r="J934" s="5">
        <v>2759.96</v>
      </c>
      <c r="K934" s="5">
        <v>1714.51</v>
      </c>
      <c r="L934" s="5">
        <v>1045.45</v>
      </c>
      <c r="M934" t="s">
        <v>57</v>
      </c>
      <c r="N934" t="s">
        <v>36</v>
      </c>
      <c r="O934" t="s">
        <v>44</v>
      </c>
    </row>
    <row r="935" spans="1:15">
      <c r="A935" t="s">
        <v>1452</v>
      </c>
      <c r="B935" s="3">
        <v>46056</v>
      </c>
      <c r="C935" t="s">
        <v>1453</v>
      </c>
      <c r="D935" t="s">
        <v>66</v>
      </c>
      <c r="E935" t="s">
        <v>61</v>
      </c>
      <c r="F935" t="s">
        <v>129</v>
      </c>
      <c r="G935">
        <v>5</v>
      </c>
      <c r="H935" s="5">
        <v>3980.22</v>
      </c>
      <c r="I935" s="4">
        <v>0.15</v>
      </c>
      <c r="J935" s="5">
        <v>16915.93</v>
      </c>
      <c r="K935" s="5">
        <v>11475.52</v>
      </c>
      <c r="L935" s="5">
        <v>5440.41</v>
      </c>
      <c r="M935" t="s">
        <v>57</v>
      </c>
      <c r="N935" t="s">
        <v>63</v>
      </c>
      <c r="O935" t="s">
        <v>44</v>
      </c>
    </row>
    <row r="936" spans="1:15">
      <c r="A936" t="s">
        <v>1454</v>
      </c>
      <c r="B936" s="3">
        <v>46078</v>
      </c>
      <c r="C936" t="s">
        <v>1069</v>
      </c>
      <c r="D936" t="s">
        <v>95</v>
      </c>
      <c r="E936" t="s">
        <v>61</v>
      </c>
      <c r="F936" t="s">
        <v>81</v>
      </c>
      <c r="G936">
        <v>4</v>
      </c>
      <c r="H936" s="5">
        <v>3250.51</v>
      </c>
      <c r="I936" s="4">
        <v>0</v>
      </c>
      <c r="J936" s="5">
        <v>13002.04</v>
      </c>
      <c r="K936" s="5">
        <v>9958.2900000000009</v>
      </c>
      <c r="L936" s="5">
        <v>3043.75</v>
      </c>
      <c r="M936" t="s">
        <v>35</v>
      </c>
      <c r="N936" t="s">
        <v>71</v>
      </c>
      <c r="O936" t="s">
        <v>44</v>
      </c>
    </row>
    <row r="937" spans="1:15">
      <c r="A937" t="s">
        <v>1455</v>
      </c>
      <c r="B937" s="3">
        <v>45969</v>
      </c>
      <c r="C937" t="s">
        <v>179</v>
      </c>
      <c r="D937" t="s">
        <v>134</v>
      </c>
      <c r="E937" t="s">
        <v>41</v>
      </c>
      <c r="F937" t="s">
        <v>119</v>
      </c>
      <c r="G937">
        <v>1</v>
      </c>
      <c r="H937" s="5">
        <v>1725.03</v>
      </c>
      <c r="I937" s="4">
        <v>0.2</v>
      </c>
      <c r="J937" s="5">
        <v>1380.02</v>
      </c>
      <c r="K937" s="5">
        <v>1115.8900000000001</v>
      </c>
      <c r="L937" s="5">
        <v>264.13</v>
      </c>
      <c r="M937" t="s">
        <v>57</v>
      </c>
      <c r="N937" t="s">
        <v>71</v>
      </c>
      <c r="O937" t="s">
        <v>44</v>
      </c>
    </row>
    <row r="938" spans="1:15">
      <c r="A938" t="s">
        <v>1456</v>
      </c>
      <c r="B938" s="3">
        <v>46065</v>
      </c>
      <c r="C938" t="s">
        <v>131</v>
      </c>
      <c r="D938" t="s">
        <v>52</v>
      </c>
      <c r="E938" t="s">
        <v>48</v>
      </c>
      <c r="F938" t="s">
        <v>99</v>
      </c>
      <c r="G938">
        <v>6</v>
      </c>
      <c r="H938" s="5">
        <v>1890.41</v>
      </c>
      <c r="I938" s="4">
        <v>0</v>
      </c>
      <c r="J938" s="5">
        <v>11342.46</v>
      </c>
      <c r="K938" s="5">
        <v>6743.83</v>
      </c>
      <c r="L938" s="5">
        <v>4598.63</v>
      </c>
      <c r="M938" t="s">
        <v>35</v>
      </c>
      <c r="N938" t="s">
        <v>36</v>
      </c>
      <c r="O938" t="s">
        <v>44</v>
      </c>
    </row>
    <row r="939" spans="1:15">
      <c r="A939" t="s">
        <v>1457</v>
      </c>
      <c r="B939" s="3">
        <v>46108</v>
      </c>
      <c r="C939" t="s">
        <v>350</v>
      </c>
      <c r="D939" t="s">
        <v>60</v>
      </c>
      <c r="E939" t="s">
        <v>33</v>
      </c>
      <c r="F939" t="s">
        <v>176</v>
      </c>
      <c r="G939">
        <v>6</v>
      </c>
      <c r="H939" s="5">
        <v>3920.82</v>
      </c>
      <c r="I939" s="4">
        <v>0.2</v>
      </c>
      <c r="J939" s="5">
        <v>18819.939999999999</v>
      </c>
      <c r="K939" s="5">
        <v>12954.57</v>
      </c>
      <c r="L939" s="5">
        <v>5865.37</v>
      </c>
      <c r="M939" t="s">
        <v>35</v>
      </c>
      <c r="N939" t="s">
        <v>43</v>
      </c>
      <c r="O939" t="s">
        <v>44</v>
      </c>
    </row>
    <row r="940" spans="1:15">
      <c r="A940" t="s">
        <v>1458</v>
      </c>
      <c r="B940" s="3">
        <v>45764</v>
      </c>
      <c r="C940" t="s">
        <v>161</v>
      </c>
      <c r="D940" t="s">
        <v>32</v>
      </c>
      <c r="E940" t="s">
        <v>61</v>
      </c>
      <c r="F940" t="s">
        <v>62</v>
      </c>
      <c r="G940">
        <v>2</v>
      </c>
      <c r="H940" s="5">
        <v>3690.98</v>
      </c>
      <c r="I940" s="4">
        <v>0.15</v>
      </c>
      <c r="J940" s="5">
        <v>6274.67</v>
      </c>
      <c r="K940" s="5">
        <v>4463.54</v>
      </c>
      <c r="L940" s="5">
        <v>1811.13</v>
      </c>
      <c r="M940" t="s">
        <v>35</v>
      </c>
      <c r="N940" t="s">
        <v>63</v>
      </c>
      <c r="O940" t="s">
        <v>44</v>
      </c>
    </row>
    <row r="941" spans="1:15">
      <c r="A941" t="s">
        <v>1459</v>
      </c>
      <c r="B941" s="3">
        <v>45900</v>
      </c>
      <c r="C941" t="s">
        <v>326</v>
      </c>
      <c r="D941" t="s">
        <v>52</v>
      </c>
      <c r="E941" t="s">
        <v>33</v>
      </c>
      <c r="F941" t="s">
        <v>92</v>
      </c>
      <c r="G941">
        <v>2</v>
      </c>
      <c r="H941" s="5">
        <v>3355.02</v>
      </c>
      <c r="I941" s="4">
        <v>0.05</v>
      </c>
      <c r="J941" s="5">
        <v>6374.54</v>
      </c>
      <c r="K941" s="5">
        <v>4098.3900000000003</v>
      </c>
      <c r="L941" s="5">
        <v>2276.15</v>
      </c>
      <c r="M941" t="s">
        <v>35</v>
      </c>
      <c r="N941" t="s">
        <v>63</v>
      </c>
      <c r="O941" t="s">
        <v>44</v>
      </c>
    </row>
    <row r="942" spans="1:15">
      <c r="A942" t="s">
        <v>1460</v>
      </c>
      <c r="B942" s="3">
        <v>45990</v>
      </c>
      <c r="C942" t="s">
        <v>1461</v>
      </c>
      <c r="D942" t="s">
        <v>52</v>
      </c>
      <c r="E942" t="s">
        <v>61</v>
      </c>
      <c r="F942" t="s">
        <v>84</v>
      </c>
      <c r="G942">
        <v>4</v>
      </c>
      <c r="H942" s="5">
        <v>2289.52</v>
      </c>
      <c r="I942" s="4">
        <v>0.15</v>
      </c>
      <c r="J942" s="5">
        <v>7784.37</v>
      </c>
      <c r="K942" s="5">
        <v>4798.28</v>
      </c>
      <c r="L942" s="5">
        <v>2986.09</v>
      </c>
      <c r="M942" t="s">
        <v>57</v>
      </c>
      <c r="N942" t="s">
        <v>63</v>
      </c>
      <c r="O942" t="s">
        <v>37</v>
      </c>
    </row>
    <row r="943" spans="1:15">
      <c r="A943" t="s">
        <v>1462</v>
      </c>
      <c r="B943" s="3">
        <v>46003</v>
      </c>
      <c r="C943" t="s">
        <v>420</v>
      </c>
      <c r="D943" t="s">
        <v>40</v>
      </c>
      <c r="E943" t="s">
        <v>41</v>
      </c>
      <c r="F943" t="s">
        <v>42</v>
      </c>
      <c r="G943">
        <v>4</v>
      </c>
      <c r="H943" s="5">
        <v>4420.97</v>
      </c>
      <c r="I943" s="4">
        <v>0.1</v>
      </c>
      <c r="J943" s="5">
        <v>15915.49</v>
      </c>
      <c r="K943" s="5">
        <v>12229.34</v>
      </c>
      <c r="L943" s="5">
        <v>3686.15</v>
      </c>
      <c r="M943" t="s">
        <v>35</v>
      </c>
      <c r="N943" t="s">
        <v>71</v>
      </c>
      <c r="O943" t="s">
        <v>37</v>
      </c>
    </row>
    <row r="944" spans="1:15">
      <c r="A944" t="s">
        <v>1463</v>
      </c>
      <c r="B944" s="3">
        <v>45681</v>
      </c>
      <c r="C944" t="s">
        <v>1464</v>
      </c>
      <c r="D944" t="s">
        <v>52</v>
      </c>
      <c r="E944" t="s">
        <v>33</v>
      </c>
      <c r="F944" t="s">
        <v>67</v>
      </c>
      <c r="G944">
        <v>6</v>
      </c>
      <c r="H944" s="5">
        <v>996.75</v>
      </c>
      <c r="I944" s="4">
        <v>0.1</v>
      </c>
      <c r="J944" s="5">
        <v>5382.45</v>
      </c>
      <c r="K944" s="5">
        <v>4045.62</v>
      </c>
      <c r="L944" s="5">
        <v>1336.83</v>
      </c>
      <c r="M944" t="s">
        <v>57</v>
      </c>
      <c r="N944" t="s">
        <v>63</v>
      </c>
      <c r="O944" t="s">
        <v>37</v>
      </c>
    </row>
    <row r="945" spans="1:15">
      <c r="A945" t="s">
        <v>1465</v>
      </c>
      <c r="B945" s="3">
        <v>46250</v>
      </c>
      <c r="C945" t="s">
        <v>1058</v>
      </c>
      <c r="D945" t="s">
        <v>95</v>
      </c>
      <c r="E945" t="s">
        <v>33</v>
      </c>
      <c r="F945" t="s">
        <v>96</v>
      </c>
      <c r="G945">
        <v>2</v>
      </c>
      <c r="H945" s="5">
        <v>4003.23</v>
      </c>
      <c r="I945" s="4">
        <v>0</v>
      </c>
      <c r="J945" s="5">
        <v>8006.46</v>
      </c>
      <c r="K945" s="5">
        <v>5932.91</v>
      </c>
      <c r="L945" s="5">
        <v>2073.5500000000002</v>
      </c>
      <c r="M945" t="s">
        <v>57</v>
      </c>
      <c r="N945" t="s">
        <v>63</v>
      </c>
      <c r="O945" t="s">
        <v>44</v>
      </c>
    </row>
    <row r="946" spans="1:15">
      <c r="A946" t="s">
        <v>1466</v>
      </c>
      <c r="B946" s="3">
        <v>45737</v>
      </c>
      <c r="C946" t="s">
        <v>1383</v>
      </c>
      <c r="D946" t="s">
        <v>40</v>
      </c>
      <c r="E946" t="s">
        <v>61</v>
      </c>
      <c r="F946" t="s">
        <v>62</v>
      </c>
      <c r="G946">
        <v>2</v>
      </c>
      <c r="H946" s="5">
        <v>2775.07</v>
      </c>
      <c r="I946" s="4">
        <v>0.15</v>
      </c>
      <c r="J946" s="5">
        <v>4717.62</v>
      </c>
      <c r="K946" s="5">
        <v>3681.38</v>
      </c>
      <c r="L946" s="5">
        <v>1036.24</v>
      </c>
      <c r="M946" t="s">
        <v>35</v>
      </c>
      <c r="N946" t="s">
        <v>63</v>
      </c>
      <c r="O946" t="s">
        <v>44</v>
      </c>
    </row>
    <row r="947" spans="1:15">
      <c r="A947" t="s">
        <v>1467</v>
      </c>
      <c r="B947" s="3">
        <v>46011</v>
      </c>
      <c r="C947" t="s">
        <v>824</v>
      </c>
      <c r="D947" t="s">
        <v>66</v>
      </c>
      <c r="E947" t="s">
        <v>61</v>
      </c>
      <c r="F947" t="s">
        <v>129</v>
      </c>
      <c r="G947">
        <v>1</v>
      </c>
      <c r="H947" s="5">
        <v>1190.17</v>
      </c>
      <c r="I947" s="4">
        <v>0.15</v>
      </c>
      <c r="J947" s="5">
        <v>1011.64</v>
      </c>
      <c r="K947" s="5">
        <v>620.03</v>
      </c>
      <c r="L947" s="5">
        <v>391.61</v>
      </c>
      <c r="M947" t="s">
        <v>35</v>
      </c>
      <c r="N947" t="s">
        <v>63</v>
      </c>
      <c r="O947" t="s">
        <v>44</v>
      </c>
    </row>
    <row r="948" spans="1:15">
      <c r="A948" t="s">
        <v>1468</v>
      </c>
      <c r="B948" s="3">
        <v>45875</v>
      </c>
      <c r="C948" t="s">
        <v>387</v>
      </c>
      <c r="D948" t="s">
        <v>47</v>
      </c>
      <c r="E948" t="s">
        <v>41</v>
      </c>
      <c r="F948" t="s">
        <v>124</v>
      </c>
      <c r="G948">
        <v>5</v>
      </c>
      <c r="H948" s="5">
        <v>3290.28</v>
      </c>
      <c r="I948" s="4">
        <v>0</v>
      </c>
      <c r="J948" s="5">
        <v>16451.400000000001</v>
      </c>
      <c r="K948" s="5">
        <v>12127.53</v>
      </c>
      <c r="L948" s="5">
        <v>4323.87</v>
      </c>
      <c r="M948" t="s">
        <v>35</v>
      </c>
      <c r="N948" t="s">
        <v>43</v>
      </c>
      <c r="O948" t="s">
        <v>44</v>
      </c>
    </row>
    <row r="949" spans="1:15">
      <c r="A949" t="s">
        <v>1469</v>
      </c>
      <c r="B949" s="3">
        <v>46130</v>
      </c>
      <c r="C949" t="s">
        <v>366</v>
      </c>
      <c r="D949" t="s">
        <v>56</v>
      </c>
      <c r="E949" t="s">
        <v>33</v>
      </c>
      <c r="F949" t="s">
        <v>67</v>
      </c>
      <c r="G949">
        <v>6</v>
      </c>
      <c r="H949" s="5">
        <v>2798.63</v>
      </c>
      <c r="I949" s="4">
        <v>0.05</v>
      </c>
      <c r="J949" s="5">
        <v>15952.19</v>
      </c>
      <c r="K949" s="5">
        <v>12317.96</v>
      </c>
      <c r="L949" s="5">
        <v>3634.23</v>
      </c>
      <c r="M949" t="s">
        <v>35</v>
      </c>
      <c r="N949" t="s">
        <v>71</v>
      </c>
      <c r="O949" t="s">
        <v>44</v>
      </c>
    </row>
    <row r="950" spans="1:15">
      <c r="A950" t="s">
        <v>1470</v>
      </c>
      <c r="B950" s="3">
        <v>46053</v>
      </c>
      <c r="C950" t="s">
        <v>1243</v>
      </c>
      <c r="D950" t="s">
        <v>60</v>
      </c>
      <c r="E950" t="s">
        <v>48</v>
      </c>
      <c r="F950" t="s">
        <v>99</v>
      </c>
      <c r="G950">
        <v>1</v>
      </c>
      <c r="H950" s="5">
        <v>559.25</v>
      </c>
      <c r="I950" s="4">
        <v>0</v>
      </c>
      <c r="J950" s="5">
        <v>559.25</v>
      </c>
      <c r="K950" s="5">
        <v>472.49</v>
      </c>
      <c r="L950" s="5">
        <v>86.76</v>
      </c>
      <c r="M950" t="s">
        <v>35</v>
      </c>
      <c r="N950" t="s">
        <v>71</v>
      </c>
      <c r="O950" t="s">
        <v>37</v>
      </c>
    </row>
    <row r="951" spans="1:15">
      <c r="A951" t="s">
        <v>1471</v>
      </c>
      <c r="B951" s="3">
        <v>46018</v>
      </c>
      <c r="C951" t="s">
        <v>1472</v>
      </c>
      <c r="D951" t="s">
        <v>32</v>
      </c>
      <c r="E951" t="s">
        <v>41</v>
      </c>
      <c r="F951" t="s">
        <v>53</v>
      </c>
      <c r="G951">
        <v>5</v>
      </c>
      <c r="H951" s="5">
        <v>5036.49</v>
      </c>
      <c r="I951" s="4">
        <v>0.05</v>
      </c>
      <c r="J951" s="5">
        <v>23923.33</v>
      </c>
      <c r="K951" s="5">
        <v>18241.310000000001</v>
      </c>
      <c r="L951" s="5">
        <v>5682.02</v>
      </c>
      <c r="M951" t="s">
        <v>57</v>
      </c>
      <c r="N951" t="s">
        <v>43</v>
      </c>
      <c r="O951" t="s">
        <v>37</v>
      </c>
    </row>
    <row r="952" spans="1:15">
      <c r="A952" t="s">
        <v>1473</v>
      </c>
      <c r="B952" s="3">
        <v>45687</v>
      </c>
      <c r="C952" t="s">
        <v>354</v>
      </c>
      <c r="D952" t="s">
        <v>56</v>
      </c>
      <c r="E952" t="s">
        <v>33</v>
      </c>
      <c r="F952" t="s">
        <v>34</v>
      </c>
      <c r="G952">
        <v>3</v>
      </c>
      <c r="H952" s="5">
        <v>971.1</v>
      </c>
      <c r="I952" s="4">
        <v>0.15</v>
      </c>
      <c r="J952" s="5">
        <v>2476.31</v>
      </c>
      <c r="K952" s="5">
        <v>1917.84</v>
      </c>
      <c r="L952" s="5">
        <v>558.47</v>
      </c>
      <c r="M952" t="s">
        <v>35</v>
      </c>
      <c r="N952" t="s">
        <v>43</v>
      </c>
      <c r="O952" t="s">
        <v>44</v>
      </c>
    </row>
    <row r="953" spans="1:15">
      <c r="A953" t="s">
        <v>1474</v>
      </c>
      <c r="B953" s="3">
        <v>45875</v>
      </c>
      <c r="C953" t="s">
        <v>1475</v>
      </c>
      <c r="D953" t="s">
        <v>66</v>
      </c>
      <c r="E953" t="s">
        <v>48</v>
      </c>
      <c r="F953" t="s">
        <v>99</v>
      </c>
      <c r="G953">
        <v>6</v>
      </c>
      <c r="H953" s="5">
        <v>3343.67</v>
      </c>
      <c r="I953" s="4">
        <v>0.15</v>
      </c>
      <c r="J953" s="5">
        <v>17052.72</v>
      </c>
      <c r="K953" s="5">
        <v>13625.76</v>
      </c>
      <c r="L953" s="5">
        <v>3426.96</v>
      </c>
      <c r="M953" t="s">
        <v>57</v>
      </c>
      <c r="N953" t="s">
        <v>36</v>
      </c>
      <c r="O953" t="s">
        <v>37</v>
      </c>
    </row>
    <row r="954" spans="1:15">
      <c r="A954" t="s">
        <v>1476</v>
      </c>
      <c r="B954" s="3">
        <v>45748</v>
      </c>
      <c r="C954" t="s">
        <v>1073</v>
      </c>
      <c r="D954" t="s">
        <v>40</v>
      </c>
      <c r="E954" t="s">
        <v>61</v>
      </c>
      <c r="F954" t="s">
        <v>62</v>
      </c>
      <c r="G954">
        <v>1</v>
      </c>
      <c r="H954" s="5">
        <v>2870.89</v>
      </c>
      <c r="I954" s="4">
        <v>0.05</v>
      </c>
      <c r="J954" s="5">
        <v>2727.35</v>
      </c>
      <c r="K954" s="5">
        <v>1510</v>
      </c>
      <c r="L954" s="5">
        <v>1217.3499999999999</v>
      </c>
      <c r="M954" t="s">
        <v>35</v>
      </c>
      <c r="N954" t="s">
        <v>43</v>
      </c>
      <c r="O954" t="s">
        <v>44</v>
      </c>
    </row>
    <row r="955" spans="1:15">
      <c r="A955" t="s">
        <v>1477</v>
      </c>
      <c r="B955" s="3">
        <v>45840</v>
      </c>
      <c r="C955" t="s">
        <v>1478</v>
      </c>
      <c r="D955" t="s">
        <v>32</v>
      </c>
      <c r="E955" t="s">
        <v>48</v>
      </c>
      <c r="F955" t="s">
        <v>113</v>
      </c>
      <c r="G955">
        <v>1</v>
      </c>
      <c r="H955" s="5">
        <v>4399.71</v>
      </c>
      <c r="I955" s="4">
        <v>0.2</v>
      </c>
      <c r="J955" s="5">
        <v>3519.77</v>
      </c>
      <c r="K955" s="5">
        <v>2788.48</v>
      </c>
      <c r="L955" s="5">
        <v>731.29</v>
      </c>
      <c r="M955" t="s">
        <v>57</v>
      </c>
      <c r="N955" t="s">
        <v>36</v>
      </c>
      <c r="O955" t="s">
        <v>44</v>
      </c>
    </row>
    <row r="956" spans="1:15">
      <c r="A956" t="s">
        <v>1479</v>
      </c>
      <c r="B956" s="3">
        <v>46037</v>
      </c>
      <c r="C956" t="s">
        <v>195</v>
      </c>
      <c r="D956" t="s">
        <v>74</v>
      </c>
      <c r="E956" t="s">
        <v>33</v>
      </c>
      <c r="F956" t="s">
        <v>176</v>
      </c>
      <c r="G956">
        <v>6</v>
      </c>
      <c r="H956" s="5">
        <v>3869.95</v>
      </c>
      <c r="I956" s="4">
        <v>0</v>
      </c>
      <c r="J956" s="5">
        <v>23219.7</v>
      </c>
      <c r="K956" s="5">
        <v>16157.78</v>
      </c>
      <c r="L956" s="5">
        <v>7061.92</v>
      </c>
      <c r="M956" t="s">
        <v>35</v>
      </c>
      <c r="N956" t="s">
        <v>63</v>
      </c>
      <c r="O956" t="s">
        <v>37</v>
      </c>
    </row>
    <row r="957" spans="1:15">
      <c r="A957" t="s">
        <v>1480</v>
      </c>
      <c r="B957" s="3">
        <v>45668</v>
      </c>
      <c r="C957" t="s">
        <v>939</v>
      </c>
      <c r="D957" t="s">
        <v>56</v>
      </c>
      <c r="E957" t="s">
        <v>61</v>
      </c>
      <c r="F957" t="s">
        <v>62</v>
      </c>
      <c r="G957">
        <v>3</v>
      </c>
      <c r="H957" s="5">
        <v>3841.22</v>
      </c>
      <c r="I957" s="4">
        <v>0</v>
      </c>
      <c r="J957" s="5">
        <v>11523.66</v>
      </c>
      <c r="K957" s="5">
        <v>7727.12</v>
      </c>
      <c r="L957" s="5">
        <v>3796.54</v>
      </c>
      <c r="M957" t="s">
        <v>57</v>
      </c>
      <c r="N957" t="s">
        <v>63</v>
      </c>
      <c r="O957" t="s">
        <v>37</v>
      </c>
    </row>
    <row r="958" spans="1:15">
      <c r="A958" t="s">
        <v>1481</v>
      </c>
      <c r="B958" s="3">
        <v>46153</v>
      </c>
      <c r="C958" t="s">
        <v>596</v>
      </c>
      <c r="D958" t="s">
        <v>134</v>
      </c>
      <c r="E958" t="s">
        <v>48</v>
      </c>
      <c r="F958" t="s">
        <v>102</v>
      </c>
      <c r="G958">
        <v>1</v>
      </c>
      <c r="H958" s="5">
        <v>4623.1400000000003</v>
      </c>
      <c r="I958" s="4">
        <v>0.15</v>
      </c>
      <c r="J958" s="5">
        <v>3929.67</v>
      </c>
      <c r="K958" s="5">
        <v>2648.38</v>
      </c>
      <c r="L958" s="5">
        <v>1281.29</v>
      </c>
      <c r="M958" t="s">
        <v>57</v>
      </c>
      <c r="N958" t="s">
        <v>63</v>
      </c>
      <c r="O958" t="s">
        <v>37</v>
      </c>
    </row>
    <row r="959" spans="1:15">
      <c r="A959" t="s">
        <v>1482</v>
      </c>
      <c r="B959" s="3">
        <v>45848</v>
      </c>
      <c r="C959" t="s">
        <v>267</v>
      </c>
      <c r="D959" t="s">
        <v>134</v>
      </c>
      <c r="E959" t="s">
        <v>41</v>
      </c>
      <c r="F959" t="s">
        <v>124</v>
      </c>
      <c r="G959">
        <v>1</v>
      </c>
      <c r="H959" s="5">
        <v>5272.82</v>
      </c>
      <c r="I959" s="4">
        <v>0</v>
      </c>
      <c r="J959" s="5">
        <v>5272.82</v>
      </c>
      <c r="K959" s="5">
        <v>3665.82</v>
      </c>
      <c r="L959" s="5">
        <v>1607</v>
      </c>
      <c r="M959" t="s">
        <v>35</v>
      </c>
      <c r="N959" t="s">
        <v>63</v>
      </c>
      <c r="O959" t="s">
        <v>44</v>
      </c>
    </row>
    <row r="960" spans="1:15">
      <c r="A960" t="s">
        <v>1483</v>
      </c>
      <c r="B960" s="3">
        <v>45720</v>
      </c>
      <c r="C960" t="s">
        <v>144</v>
      </c>
      <c r="D960" t="s">
        <v>66</v>
      </c>
      <c r="E960" t="s">
        <v>61</v>
      </c>
      <c r="F960" t="s">
        <v>129</v>
      </c>
      <c r="G960">
        <v>5</v>
      </c>
      <c r="H960" s="5">
        <v>1696.44</v>
      </c>
      <c r="I960" s="4">
        <v>0</v>
      </c>
      <c r="J960" s="5">
        <v>8482.2000000000007</v>
      </c>
      <c r="K960" s="5">
        <v>6517.65</v>
      </c>
      <c r="L960" s="5">
        <v>1964.55</v>
      </c>
      <c r="M960" t="s">
        <v>57</v>
      </c>
      <c r="N960" t="s">
        <v>63</v>
      </c>
      <c r="O960" t="s">
        <v>44</v>
      </c>
    </row>
    <row r="961" spans="1:15">
      <c r="A961" t="s">
        <v>1484</v>
      </c>
      <c r="B961" s="3">
        <v>46216</v>
      </c>
      <c r="C961" t="s">
        <v>1088</v>
      </c>
      <c r="D961" t="s">
        <v>134</v>
      </c>
      <c r="E961" t="s">
        <v>41</v>
      </c>
      <c r="F961" t="s">
        <v>119</v>
      </c>
      <c r="G961">
        <v>2</v>
      </c>
      <c r="H961" s="5">
        <v>2812.92</v>
      </c>
      <c r="I961" s="4">
        <v>0.2</v>
      </c>
      <c r="J961" s="5">
        <v>4500.67</v>
      </c>
      <c r="K961" s="5">
        <v>2924.06</v>
      </c>
      <c r="L961" s="5">
        <v>1576.61</v>
      </c>
      <c r="M961" t="s">
        <v>57</v>
      </c>
      <c r="N961" t="s">
        <v>71</v>
      </c>
      <c r="O961" t="s">
        <v>44</v>
      </c>
    </row>
    <row r="962" spans="1:15">
      <c r="A962" t="s">
        <v>1485</v>
      </c>
      <c r="B962" s="3">
        <v>45828</v>
      </c>
      <c r="C962" t="s">
        <v>1486</v>
      </c>
      <c r="D962" t="s">
        <v>32</v>
      </c>
      <c r="E962" t="s">
        <v>33</v>
      </c>
      <c r="F962" t="s">
        <v>96</v>
      </c>
      <c r="G962">
        <v>2</v>
      </c>
      <c r="H962" s="5">
        <v>4766.5600000000004</v>
      </c>
      <c r="I962" s="4">
        <v>0.1</v>
      </c>
      <c r="J962" s="5">
        <v>8579.81</v>
      </c>
      <c r="K962" s="5">
        <v>7010.97</v>
      </c>
      <c r="L962" s="5">
        <v>1568.84</v>
      </c>
      <c r="M962" t="s">
        <v>57</v>
      </c>
      <c r="N962" t="s">
        <v>36</v>
      </c>
      <c r="O962" t="s">
        <v>44</v>
      </c>
    </row>
    <row r="963" spans="1:15">
      <c r="A963" t="s">
        <v>1487</v>
      </c>
      <c r="B963" s="3">
        <v>45842</v>
      </c>
      <c r="C963" t="s">
        <v>248</v>
      </c>
      <c r="D963" t="s">
        <v>52</v>
      </c>
      <c r="E963" t="s">
        <v>41</v>
      </c>
      <c r="F963" t="s">
        <v>119</v>
      </c>
      <c r="G963">
        <v>6</v>
      </c>
      <c r="H963" s="5">
        <v>4031.42</v>
      </c>
      <c r="I963" s="4">
        <v>0.15</v>
      </c>
      <c r="J963" s="5">
        <v>20560.240000000002</v>
      </c>
      <c r="K963" s="5">
        <v>13574.77</v>
      </c>
      <c r="L963" s="5">
        <v>6985.47</v>
      </c>
      <c r="M963" t="s">
        <v>57</v>
      </c>
      <c r="N963" t="s">
        <v>43</v>
      </c>
      <c r="O963" t="s">
        <v>44</v>
      </c>
    </row>
    <row r="964" spans="1:15">
      <c r="A964" t="s">
        <v>1488</v>
      </c>
      <c r="B964" s="3">
        <v>45661</v>
      </c>
      <c r="C964" t="s">
        <v>230</v>
      </c>
      <c r="D964" t="s">
        <v>40</v>
      </c>
      <c r="E964" t="s">
        <v>61</v>
      </c>
      <c r="F964" t="s">
        <v>84</v>
      </c>
      <c r="G964">
        <v>3</v>
      </c>
      <c r="H964" s="5">
        <v>5373.47</v>
      </c>
      <c r="I964" s="4">
        <v>0.1</v>
      </c>
      <c r="J964" s="5">
        <v>14508.37</v>
      </c>
      <c r="K964" s="5">
        <v>11399.47</v>
      </c>
      <c r="L964" s="5">
        <v>3108.9</v>
      </c>
      <c r="M964" t="s">
        <v>35</v>
      </c>
      <c r="N964" t="s">
        <v>71</v>
      </c>
      <c r="O964" t="s">
        <v>44</v>
      </c>
    </row>
    <row r="965" spans="1:15">
      <c r="A965" t="s">
        <v>1489</v>
      </c>
      <c r="B965" s="3">
        <v>46056</v>
      </c>
      <c r="C965" t="s">
        <v>515</v>
      </c>
      <c r="D965" t="s">
        <v>32</v>
      </c>
      <c r="E965" t="s">
        <v>61</v>
      </c>
      <c r="F965" t="s">
        <v>129</v>
      </c>
      <c r="G965">
        <v>1</v>
      </c>
      <c r="H965" s="5">
        <v>2768.65</v>
      </c>
      <c r="I965" s="4">
        <v>0</v>
      </c>
      <c r="J965" s="5">
        <v>2768.65</v>
      </c>
      <c r="K965" s="5">
        <v>1957.43</v>
      </c>
      <c r="L965" s="5">
        <v>811.22</v>
      </c>
      <c r="M965" t="s">
        <v>35</v>
      </c>
      <c r="N965" t="s">
        <v>43</v>
      </c>
      <c r="O965" t="s">
        <v>44</v>
      </c>
    </row>
    <row r="966" spans="1:15">
      <c r="A966" t="s">
        <v>1490</v>
      </c>
      <c r="B966" s="3">
        <v>45878</v>
      </c>
      <c r="C966" t="s">
        <v>150</v>
      </c>
      <c r="D966" t="s">
        <v>66</v>
      </c>
      <c r="E966" t="s">
        <v>41</v>
      </c>
      <c r="F966" t="s">
        <v>42</v>
      </c>
      <c r="G966">
        <v>4</v>
      </c>
      <c r="H966" s="5">
        <v>4859.91</v>
      </c>
      <c r="I966" s="4">
        <v>0.2</v>
      </c>
      <c r="J966" s="5">
        <v>15551.71</v>
      </c>
      <c r="K966" s="5">
        <v>10272.91</v>
      </c>
      <c r="L966" s="5">
        <v>5278.8</v>
      </c>
      <c r="M966" t="s">
        <v>35</v>
      </c>
      <c r="N966" t="s">
        <v>71</v>
      </c>
      <c r="O966" t="s">
        <v>44</v>
      </c>
    </row>
    <row r="967" spans="1:15">
      <c r="A967" t="s">
        <v>1491</v>
      </c>
      <c r="B967" s="3">
        <v>45958</v>
      </c>
      <c r="C967" t="s">
        <v>213</v>
      </c>
      <c r="D967" t="s">
        <v>56</v>
      </c>
      <c r="E967" t="s">
        <v>33</v>
      </c>
      <c r="F967" t="s">
        <v>34</v>
      </c>
      <c r="G967">
        <v>3</v>
      </c>
      <c r="H967" s="5">
        <v>4029.9</v>
      </c>
      <c r="I967" s="4">
        <v>0.1</v>
      </c>
      <c r="J967" s="5">
        <v>10880.73</v>
      </c>
      <c r="K967" s="5">
        <v>7833.91</v>
      </c>
      <c r="L967" s="5">
        <v>3046.82</v>
      </c>
      <c r="M967" t="s">
        <v>35</v>
      </c>
      <c r="N967" t="s">
        <v>43</v>
      </c>
      <c r="O967" t="s">
        <v>37</v>
      </c>
    </row>
    <row r="968" spans="1:15">
      <c r="A968" t="s">
        <v>1492</v>
      </c>
      <c r="B968" s="3">
        <v>46027</v>
      </c>
      <c r="C968" t="s">
        <v>166</v>
      </c>
      <c r="D968" t="s">
        <v>52</v>
      </c>
      <c r="E968" t="s">
        <v>48</v>
      </c>
      <c r="F968" t="s">
        <v>49</v>
      </c>
      <c r="G968">
        <v>5</v>
      </c>
      <c r="H968" s="5">
        <v>3945.38</v>
      </c>
      <c r="I968" s="4">
        <v>0</v>
      </c>
      <c r="J968" s="5">
        <v>19726.900000000001</v>
      </c>
      <c r="K968" s="5">
        <v>15936.41</v>
      </c>
      <c r="L968" s="5">
        <v>3790.49</v>
      </c>
      <c r="M968" t="s">
        <v>57</v>
      </c>
      <c r="N968" t="s">
        <v>63</v>
      </c>
      <c r="O968" t="s">
        <v>44</v>
      </c>
    </row>
    <row r="969" spans="1:15">
      <c r="A969" t="s">
        <v>1493</v>
      </c>
      <c r="B969" s="3">
        <v>45732</v>
      </c>
      <c r="C969" t="s">
        <v>1494</v>
      </c>
      <c r="D969" t="s">
        <v>52</v>
      </c>
      <c r="E969" t="s">
        <v>48</v>
      </c>
      <c r="F969" t="s">
        <v>102</v>
      </c>
      <c r="G969">
        <v>4</v>
      </c>
      <c r="H969" s="5">
        <v>1200.42</v>
      </c>
      <c r="I969" s="4">
        <v>0.2</v>
      </c>
      <c r="J969" s="5">
        <v>3841.34</v>
      </c>
      <c r="K969" s="5">
        <v>3238.78</v>
      </c>
      <c r="L969" s="5">
        <v>602.55999999999995</v>
      </c>
      <c r="M969" t="s">
        <v>57</v>
      </c>
      <c r="N969" t="s">
        <v>43</v>
      </c>
      <c r="O969" t="s">
        <v>44</v>
      </c>
    </row>
    <row r="970" spans="1:15">
      <c r="A970" t="s">
        <v>1495</v>
      </c>
      <c r="B970" s="3">
        <v>46087</v>
      </c>
      <c r="C970" t="s">
        <v>267</v>
      </c>
      <c r="D970" t="s">
        <v>66</v>
      </c>
      <c r="E970" t="s">
        <v>33</v>
      </c>
      <c r="F970" t="s">
        <v>67</v>
      </c>
      <c r="G970">
        <v>3</v>
      </c>
      <c r="H970" s="5">
        <v>635.17999999999995</v>
      </c>
      <c r="I970" s="4">
        <v>0</v>
      </c>
      <c r="J970" s="5">
        <v>1905.54</v>
      </c>
      <c r="K970" s="5">
        <v>1594.12</v>
      </c>
      <c r="L970" s="5">
        <v>311.42</v>
      </c>
      <c r="M970" t="s">
        <v>35</v>
      </c>
      <c r="N970" t="s">
        <v>63</v>
      </c>
      <c r="O970" t="s">
        <v>44</v>
      </c>
    </row>
    <row r="971" spans="1:15">
      <c r="A971" t="s">
        <v>1496</v>
      </c>
      <c r="B971" s="3">
        <v>45878</v>
      </c>
      <c r="C971" t="s">
        <v>228</v>
      </c>
      <c r="D971" t="s">
        <v>66</v>
      </c>
      <c r="E971" t="s">
        <v>48</v>
      </c>
      <c r="F971" t="s">
        <v>102</v>
      </c>
      <c r="G971">
        <v>3</v>
      </c>
      <c r="H971" s="5">
        <v>2841.7</v>
      </c>
      <c r="I971" s="4">
        <v>0.2</v>
      </c>
      <c r="J971" s="5">
        <v>6820.08</v>
      </c>
      <c r="K971" s="5">
        <v>4780.7700000000004</v>
      </c>
      <c r="L971" s="5">
        <v>2039.31</v>
      </c>
      <c r="M971" t="s">
        <v>57</v>
      </c>
      <c r="N971" t="s">
        <v>63</v>
      </c>
      <c r="O971" t="s">
        <v>44</v>
      </c>
    </row>
    <row r="972" spans="1:15">
      <c r="A972" t="s">
        <v>1497</v>
      </c>
      <c r="B972" s="3">
        <v>46104</v>
      </c>
      <c r="C972" t="s">
        <v>55</v>
      </c>
      <c r="D972" t="s">
        <v>95</v>
      </c>
      <c r="E972" t="s">
        <v>61</v>
      </c>
      <c r="F972" t="s">
        <v>89</v>
      </c>
      <c r="G972">
        <v>4</v>
      </c>
      <c r="H972" s="5">
        <v>2634.83</v>
      </c>
      <c r="I972" s="4">
        <v>0</v>
      </c>
      <c r="J972" s="5">
        <v>10539.32</v>
      </c>
      <c r="K972" s="5">
        <v>7664.42</v>
      </c>
      <c r="L972" s="5">
        <v>2874.9</v>
      </c>
      <c r="M972" t="s">
        <v>57</v>
      </c>
      <c r="N972" t="s">
        <v>63</v>
      </c>
      <c r="O972" t="s">
        <v>44</v>
      </c>
    </row>
    <row r="973" spans="1:15">
      <c r="A973" t="s">
        <v>1498</v>
      </c>
      <c r="B973" s="3">
        <v>45923</v>
      </c>
      <c r="C973" t="s">
        <v>1499</v>
      </c>
      <c r="D973" t="s">
        <v>66</v>
      </c>
      <c r="E973" t="s">
        <v>61</v>
      </c>
      <c r="F973" t="s">
        <v>62</v>
      </c>
      <c r="G973">
        <v>5</v>
      </c>
      <c r="H973" s="5">
        <v>1988.89</v>
      </c>
      <c r="I973" s="4">
        <v>0.1</v>
      </c>
      <c r="J973" s="5">
        <v>8950.01</v>
      </c>
      <c r="K973" s="5">
        <v>6086.48</v>
      </c>
      <c r="L973" s="5">
        <v>2863.53</v>
      </c>
      <c r="M973" t="s">
        <v>57</v>
      </c>
      <c r="N973" t="s">
        <v>36</v>
      </c>
      <c r="O973" t="s">
        <v>37</v>
      </c>
    </row>
    <row r="974" spans="1:15">
      <c r="A974" t="s">
        <v>1500</v>
      </c>
      <c r="B974" s="3">
        <v>45927</v>
      </c>
      <c r="C974" t="s">
        <v>1501</v>
      </c>
      <c r="D974" t="s">
        <v>74</v>
      </c>
      <c r="E974" t="s">
        <v>41</v>
      </c>
      <c r="F974" t="s">
        <v>53</v>
      </c>
      <c r="G974">
        <v>1</v>
      </c>
      <c r="H974" s="5">
        <v>4054.56</v>
      </c>
      <c r="I974" s="4">
        <v>0.05</v>
      </c>
      <c r="J974" s="5">
        <v>3851.83</v>
      </c>
      <c r="K974" s="5">
        <v>2849.06</v>
      </c>
      <c r="L974" s="5">
        <v>1002.77</v>
      </c>
      <c r="M974" t="s">
        <v>57</v>
      </c>
      <c r="N974" t="s">
        <v>63</v>
      </c>
      <c r="O974" t="s">
        <v>44</v>
      </c>
    </row>
    <row r="975" spans="1:15">
      <c r="A975" t="s">
        <v>1502</v>
      </c>
      <c r="B975" s="3">
        <v>45806</v>
      </c>
      <c r="C975" t="s">
        <v>1190</v>
      </c>
      <c r="D975" t="s">
        <v>40</v>
      </c>
      <c r="E975" t="s">
        <v>48</v>
      </c>
      <c r="F975" t="s">
        <v>49</v>
      </c>
      <c r="G975">
        <v>6</v>
      </c>
      <c r="H975" s="5">
        <v>4657.8</v>
      </c>
      <c r="I975" s="4">
        <v>0.05</v>
      </c>
      <c r="J975" s="5">
        <v>26549.46</v>
      </c>
      <c r="K975" s="5">
        <v>16732.490000000002</v>
      </c>
      <c r="L975" s="5">
        <v>9816.9699999999993</v>
      </c>
      <c r="M975" t="s">
        <v>57</v>
      </c>
      <c r="N975" t="s">
        <v>43</v>
      </c>
      <c r="O975" t="s">
        <v>37</v>
      </c>
    </row>
    <row r="976" spans="1:15">
      <c r="A976" t="s">
        <v>1503</v>
      </c>
      <c r="B976" s="3">
        <v>46135</v>
      </c>
      <c r="C976" t="s">
        <v>602</v>
      </c>
      <c r="D976" t="s">
        <v>134</v>
      </c>
      <c r="E976" t="s">
        <v>48</v>
      </c>
      <c r="F976" t="s">
        <v>113</v>
      </c>
      <c r="G976">
        <v>4</v>
      </c>
      <c r="H976" s="5">
        <v>1594.93</v>
      </c>
      <c r="I976" s="4">
        <v>0.15</v>
      </c>
      <c r="J976" s="5">
        <v>5422.76</v>
      </c>
      <c r="K976" s="5">
        <v>4157.17</v>
      </c>
      <c r="L976" s="5">
        <v>1265.5899999999999</v>
      </c>
      <c r="M976" t="s">
        <v>57</v>
      </c>
      <c r="N976" t="s">
        <v>36</v>
      </c>
      <c r="O976" t="s">
        <v>44</v>
      </c>
    </row>
    <row r="977" spans="1:15">
      <c r="A977" t="s">
        <v>1504</v>
      </c>
      <c r="B977" s="3">
        <v>46246</v>
      </c>
      <c r="C977" t="s">
        <v>727</v>
      </c>
      <c r="D977" t="s">
        <v>40</v>
      </c>
      <c r="E977" t="s">
        <v>61</v>
      </c>
      <c r="F977" t="s">
        <v>84</v>
      </c>
      <c r="G977">
        <v>5</v>
      </c>
      <c r="H977" s="5">
        <v>1283.54</v>
      </c>
      <c r="I977" s="4">
        <v>0.1</v>
      </c>
      <c r="J977" s="5">
        <v>5775.93</v>
      </c>
      <c r="K977" s="5">
        <v>4267.6000000000004</v>
      </c>
      <c r="L977" s="5">
        <v>1508.33</v>
      </c>
      <c r="M977" t="s">
        <v>57</v>
      </c>
      <c r="N977" t="s">
        <v>71</v>
      </c>
      <c r="O977" t="s">
        <v>44</v>
      </c>
    </row>
    <row r="978" spans="1:15">
      <c r="A978" t="s">
        <v>1505</v>
      </c>
      <c r="B978" s="3">
        <v>45862</v>
      </c>
      <c r="C978" t="s">
        <v>1366</v>
      </c>
      <c r="D978" t="s">
        <v>95</v>
      </c>
      <c r="E978" t="s">
        <v>48</v>
      </c>
      <c r="F978" t="s">
        <v>70</v>
      </c>
      <c r="G978">
        <v>1</v>
      </c>
      <c r="H978" s="5">
        <v>3819.17</v>
      </c>
      <c r="I978" s="4">
        <v>0.05</v>
      </c>
      <c r="J978" s="5">
        <v>3628.21</v>
      </c>
      <c r="K978" s="5">
        <v>2643.28</v>
      </c>
      <c r="L978" s="5">
        <v>984.93</v>
      </c>
      <c r="M978" t="s">
        <v>35</v>
      </c>
      <c r="N978" t="s">
        <v>43</v>
      </c>
      <c r="O978" t="s">
        <v>44</v>
      </c>
    </row>
    <row r="979" spans="1:15">
      <c r="A979" t="s">
        <v>1506</v>
      </c>
      <c r="B979" s="3">
        <v>45890</v>
      </c>
      <c r="C979" t="s">
        <v>209</v>
      </c>
      <c r="D979" t="s">
        <v>95</v>
      </c>
      <c r="E979" t="s">
        <v>41</v>
      </c>
      <c r="F979" t="s">
        <v>124</v>
      </c>
      <c r="G979">
        <v>5</v>
      </c>
      <c r="H979" s="5">
        <v>4835.04</v>
      </c>
      <c r="I979" s="4">
        <v>0.2</v>
      </c>
      <c r="J979" s="5">
        <v>19340.16</v>
      </c>
      <c r="K979" s="5">
        <v>14157.71</v>
      </c>
      <c r="L979" s="5">
        <v>5182.45</v>
      </c>
      <c r="M979" t="s">
        <v>57</v>
      </c>
      <c r="N979" t="s">
        <v>63</v>
      </c>
      <c r="O979" t="s">
        <v>44</v>
      </c>
    </row>
    <row r="980" spans="1:15">
      <c r="A980" t="s">
        <v>1507</v>
      </c>
      <c r="B980" s="3">
        <v>45749</v>
      </c>
      <c r="C980" t="s">
        <v>1366</v>
      </c>
      <c r="D980" t="s">
        <v>74</v>
      </c>
      <c r="E980" t="s">
        <v>48</v>
      </c>
      <c r="F980" t="s">
        <v>113</v>
      </c>
      <c r="G980">
        <v>2</v>
      </c>
      <c r="H980" s="5">
        <v>2580.6</v>
      </c>
      <c r="I980" s="4">
        <v>0.15</v>
      </c>
      <c r="J980" s="5">
        <v>4387.0200000000004</v>
      </c>
      <c r="K980" s="5">
        <v>3470.06</v>
      </c>
      <c r="L980" s="5">
        <v>916.96</v>
      </c>
      <c r="M980" t="s">
        <v>57</v>
      </c>
      <c r="N980" t="s">
        <v>63</v>
      </c>
      <c r="O980" t="s">
        <v>44</v>
      </c>
    </row>
    <row r="981" spans="1:15">
      <c r="A981" t="s">
        <v>1508</v>
      </c>
      <c r="B981" s="3">
        <v>46225</v>
      </c>
      <c r="C981" t="s">
        <v>648</v>
      </c>
      <c r="D981" t="s">
        <v>40</v>
      </c>
      <c r="E981" t="s">
        <v>48</v>
      </c>
      <c r="F981" t="s">
        <v>99</v>
      </c>
      <c r="G981">
        <v>4</v>
      </c>
      <c r="H981" s="5">
        <v>814.24</v>
      </c>
      <c r="I981" s="4">
        <v>0.1</v>
      </c>
      <c r="J981" s="5">
        <v>2931.26</v>
      </c>
      <c r="K981" s="5">
        <v>2414.09</v>
      </c>
      <c r="L981" s="5">
        <v>517.16999999999996</v>
      </c>
      <c r="M981" t="s">
        <v>57</v>
      </c>
      <c r="N981" t="s">
        <v>43</v>
      </c>
      <c r="O981" t="s">
        <v>37</v>
      </c>
    </row>
    <row r="982" spans="1:15">
      <c r="A982" t="s">
        <v>1509</v>
      </c>
      <c r="B982" s="3">
        <v>45767</v>
      </c>
      <c r="C982" t="s">
        <v>555</v>
      </c>
      <c r="D982" t="s">
        <v>47</v>
      </c>
      <c r="E982" t="s">
        <v>33</v>
      </c>
      <c r="F982" t="s">
        <v>34</v>
      </c>
      <c r="G982">
        <v>1</v>
      </c>
      <c r="H982" s="5">
        <v>4049.26</v>
      </c>
      <c r="I982" s="4">
        <v>0.2</v>
      </c>
      <c r="J982" s="5">
        <v>3239.41</v>
      </c>
      <c r="K982" s="5">
        <v>2100.5500000000002</v>
      </c>
      <c r="L982" s="5">
        <v>1138.8599999999999</v>
      </c>
      <c r="M982" t="s">
        <v>57</v>
      </c>
      <c r="N982" t="s">
        <v>36</v>
      </c>
      <c r="O982" t="s">
        <v>44</v>
      </c>
    </row>
    <row r="983" spans="1:15">
      <c r="A983" t="s">
        <v>1510</v>
      </c>
      <c r="B983" s="3">
        <v>46086</v>
      </c>
      <c r="C983" t="s">
        <v>1250</v>
      </c>
      <c r="D983" t="s">
        <v>40</v>
      </c>
      <c r="E983" t="s">
        <v>48</v>
      </c>
      <c r="F983" t="s">
        <v>70</v>
      </c>
      <c r="G983">
        <v>3</v>
      </c>
      <c r="H983" s="5">
        <v>1100.67</v>
      </c>
      <c r="I983" s="4">
        <v>0</v>
      </c>
      <c r="J983" s="5">
        <v>3302.01</v>
      </c>
      <c r="K983" s="5">
        <v>2684.03</v>
      </c>
      <c r="L983" s="5">
        <v>617.98</v>
      </c>
      <c r="M983" t="s">
        <v>35</v>
      </c>
      <c r="N983" t="s">
        <v>36</v>
      </c>
      <c r="O983" t="s">
        <v>37</v>
      </c>
    </row>
    <row r="984" spans="1:15">
      <c r="A984" t="s">
        <v>1511</v>
      </c>
      <c r="B984" s="3">
        <v>45675</v>
      </c>
      <c r="C984" t="s">
        <v>159</v>
      </c>
      <c r="D984" t="s">
        <v>60</v>
      </c>
      <c r="E984" t="s">
        <v>41</v>
      </c>
      <c r="F984" t="s">
        <v>42</v>
      </c>
      <c r="G984">
        <v>3</v>
      </c>
      <c r="H984" s="5">
        <v>2207.9</v>
      </c>
      <c r="I984" s="4">
        <v>0.15</v>
      </c>
      <c r="J984" s="5">
        <v>5630.15</v>
      </c>
      <c r="K984" s="5">
        <v>4453.24</v>
      </c>
      <c r="L984" s="5">
        <v>1176.9100000000001</v>
      </c>
      <c r="M984" t="s">
        <v>57</v>
      </c>
      <c r="N984" t="s">
        <v>36</v>
      </c>
      <c r="O984" t="s">
        <v>44</v>
      </c>
    </row>
    <row r="985" spans="1:15">
      <c r="A985" t="s">
        <v>1512</v>
      </c>
      <c r="B985" s="3">
        <v>45752</v>
      </c>
      <c r="C985" t="s">
        <v>1513</v>
      </c>
      <c r="D985" t="s">
        <v>74</v>
      </c>
      <c r="E985" t="s">
        <v>48</v>
      </c>
      <c r="F985" t="s">
        <v>113</v>
      </c>
      <c r="G985">
        <v>6</v>
      </c>
      <c r="H985" s="5">
        <v>5349.22</v>
      </c>
      <c r="I985" s="4">
        <v>0.2</v>
      </c>
      <c r="J985" s="5">
        <v>25676.26</v>
      </c>
      <c r="K985" s="5">
        <v>14369.01</v>
      </c>
      <c r="L985" s="5">
        <v>11307.25</v>
      </c>
      <c r="M985" t="s">
        <v>35</v>
      </c>
      <c r="N985" t="s">
        <v>71</v>
      </c>
      <c r="O985" t="s">
        <v>44</v>
      </c>
    </row>
    <row r="986" spans="1:15">
      <c r="A986" t="s">
        <v>1514</v>
      </c>
      <c r="B986" s="3">
        <v>45978</v>
      </c>
      <c r="C986" t="s">
        <v>515</v>
      </c>
      <c r="D986" t="s">
        <v>47</v>
      </c>
      <c r="E986" t="s">
        <v>48</v>
      </c>
      <c r="F986" t="s">
        <v>99</v>
      </c>
      <c r="G986">
        <v>5</v>
      </c>
      <c r="H986" s="5">
        <v>1097.22</v>
      </c>
      <c r="I986" s="4">
        <v>0</v>
      </c>
      <c r="J986" s="5">
        <v>5486.1</v>
      </c>
      <c r="K986" s="5">
        <v>3677.05</v>
      </c>
      <c r="L986" s="5">
        <v>1809.05</v>
      </c>
      <c r="M986" t="s">
        <v>57</v>
      </c>
      <c r="N986" t="s">
        <v>36</v>
      </c>
      <c r="O986" t="s">
        <v>37</v>
      </c>
    </row>
    <row r="987" spans="1:15">
      <c r="A987" t="s">
        <v>1515</v>
      </c>
      <c r="B987" s="3">
        <v>46188</v>
      </c>
      <c r="C987" t="s">
        <v>437</v>
      </c>
      <c r="D987" t="s">
        <v>60</v>
      </c>
      <c r="E987" t="s">
        <v>61</v>
      </c>
      <c r="F987" t="s">
        <v>62</v>
      </c>
      <c r="G987">
        <v>5</v>
      </c>
      <c r="H987" s="5">
        <v>1085.3599999999999</v>
      </c>
      <c r="I987" s="4">
        <v>0.15</v>
      </c>
      <c r="J987" s="5">
        <v>4612.78</v>
      </c>
      <c r="K987" s="5">
        <v>3198.35</v>
      </c>
      <c r="L987" s="5">
        <v>1414.43</v>
      </c>
      <c r="M987" t="s">
        <v>57</v>
      </c>
      <c r="N987" t="s">
        <v>63</v>
      </c>
      <c r="O987" t="s">
        <v>44</v>
      </c>
    </row>
    <row r="988" spans="1:15">
      <c r="A988" t="s">
        <v>1516</v>
      </c>
      <c r="B988" s="3">
        <v>46255</v>
      </c>
      <c r="C988" t="s">
        <v>121</v>
      </c>
      <c r="D988" t="s">
        <v>32</v>
      </c>
      <c r="E988" t="s">
        <v>33</v>
      </c>
      <c r="F988" t="s">
        <v>34</v>
      </c>
      <c r="G988">
        <v>2</v>
      </c>
      <c r="H988" s="5">
        <v>225.14</v>
      </c>
      <c r="I988" s="4">
        <v>0.2</v>
      </c>
      <c r="J988" s="5">
        <v>360.22</v>
      </c>
      <c r="K988" s="5">
        <v>209.22</v>
      </c>
      <c r="L988" s="5">
        <v>151</v>
      </c>
      <c r="M988" t="s">
        <v>57</v>
      </c>
      <c r="N988" t="s">
        <v>71</v>
      </c>
      <c r="O988" t="s">
        <v>44</v>
      </c>
    </row>
    <row r="989" spans="1:15">
      <c r="A989" t="s">
        <v>1517</v>
      </c>
      <c r="B989" s="3">
        <v>45930</v>
      </c>
      <c r="C989" t="s">
        <v>642</v>
      </c>
      <c r="D989" t="s">
        <v>134</v>
      </c>
      <c r="E989" t="s">
        <v>61</v>
      </c>
      <c r="F989" t="s">
        <v>81</v>
      </c>
      <c r="G989">
        <v>4</v>
      </c>
      <c r="H989" s="5">
        <v>4102.8</v>
      </c>
      <c r="I989" s="4">
        <v>0.2</v>
      </c>
      <c r="J989" s="5">
        <v>13128.96</v>
      </c>
      <c r="K989" s="5">
        <v>8710.52</v>
      </c>
      <c r="L989" s="5">
        <v>4418.4399999999996</v>
      </c>
      <c r="M989" t="s">
        <v>57</v>
      </c>
      <c r="N989" t="s">
        <v>63</v>
      </c>
      <c r="O989" t="s">
        <v>44</v>
      </c>
    </row>
    <row r="990" spans="1:15">
      <c r="A990" t="s">
        <v>1518</v>
      </c>
      <c r="B990" s="3">
        <v>46138</v>
      </c>
      <c r="C990" t="s">
        <v>1519</v>
      </c>
      <c r="D990" t="s">
        <v>74</v>
      </c>
      <c r="E990" t="s">
        <v>61</v>
      </c>
      <c r="F990" t="s">
        <v>129</v>
      </c>
      <c r="G990">
        <v>1</v>
      </c>
      <c r="H990" s="5">
        <v>2842.82</v>
      </c>
      <c r="I990" s="4">
        <v>0.1</v>
      </c>
      <c r="J990" s="5">
        <v>2558.54</v>
      </c>
      <c r="K990" s="5">
        <v>2103.02</v>
      </c>
      <c r="L990" s="5">
        <v>455.52</v>
      </c>
      <c r="M990" t="s">
        <v>35</v>
      </c>
      <c r="N990" t="s">
        <v>36</v>
      </c>
      <c r="O990" t="s">
        <v>44</v>
      </c>
    </row>
    <row r="991" spans="1:15">
      <c r="A991" t="s">
        <v>1520</v>
      </c>
      <c r="B991" s="3">
        <v>45918</v>
      </c>
      <c r="C991" t="s">
        <v>1521</v>
      </c>
      <c r="D991" t="s">
        <v>95</v>
      </c>
      <c r="E991" t="s">
        <v>33</v>
      </c>
      <c r="F991" t="s">
        <v>176</v>
      </c>
      <c r="G991">
        <v>4</v>
      </c>
      <c r="H991" s="5">
        <v>2263.48</v>
      </c>
      <c r="I991" s="4">
        <v>0.05</v>
      </c>
      <c r="J991" s="5">
        <v>8601.2199999999993</v>
      </c>
      <c r="K991" s="5">
        <v>7136.85</v>
      </c>
      <c r="L991" s="5">
        <v>1464.37</v>
      </c>
      <c r="M991" t="s">
        <v>57</v>
      </c>
      <c r="N991" t="s">
        <v>71</v>
      </c>
      <c r="O991" t="s">
        <v>44</v>
      </c>
    </row>
    <row r="992" spans="1:15">
      <c r="A992" t="s">
        <v>1522</v>
      </c>
      <c r="B992" s="3">
        <v>46101</v>
      </c>
      <c r="C992" t="s">
        <v>493</v>
      </c>
      <c r="D992" t="s">
        <v>95</v>
      </c>
      <c r="E992" t="s">
        <v>48</v>
      </c>
      <c r="F992" t="s">
        <v>99</v>
      </c>
      <c r="G992">
        <v>4</v>
      </c>
      <c r="H992" s="5">
        <v>1977.42</v>
      </c>
      <c r="I992" s="4">
        <v>0.1</v>
      </c>
      <c r="J992" s="5">
        <v>7118.71</v>
      </c>
      <c r="K992" s="5">
        <v>5574.67</v>
      </c>
      <c r="L992" s="5">
        <v>1544.04</v>
      </c>
      <c r="M992" t="s">
        <v>57</v>
      </c>
      <c r="N992" t="s">
        <v>63</v>
      </c>
      <c r="O992" t="s">
        <v>44</v>
      </c>
    </row>
    <row r="993" spans="1:15">
      <c r="A993" t="s">
        <v>1523</v>
      </c>
      <c r="B993" s="3">
        <v>45911</v>
      </c>
      <c r="C993" t="s">
        <v>714</v>
      </c>
      <c r="D993" t="s">
        <v>56</v>
      </c>
      <c r="E993" t="s">
        <v>48</v>
      </c>
      <c r="F993" t="s">
        <v>102</v>
      </c>
      <c r="G993">
        <v>5</v>
      </c>
      <c r="H993" s="5">
        <v>1704.02</v>
      </c>
      <c r="I993" s="4">
        <v>0.15</v>
      </c>
      <c r="J993" s="5">
        <v>7242.09</v>
      </c>
      <c r="K993" s="5">
        <v>4338.91</v>
      </c>
      <c r="L993" s="5">
        <v>2903.18</v>
      </c>
      <c r="M993" t="s">
        <v>35</v>
      </c>
      <c r="N993" t="s">
        <v>36</v>
      </c>
      <c r="O993" t="s">
        <v>44</v>
      </c>
    </row>
    <row r="994" spans="1:15">
      <c r="A994" t="s">
        <v>1524</v>
      </c>
      <c r="B994" s="3">
        <v>45988</v>
      </c>
      <c r="C994" t="s">
        <v>166</v>
      </c>
      <c r="D994" t="s">
        <v>66</v>
      </c>
      <c r="E994" t="s">
        <v>48</v>
      </c>
      <c r="F994" t="s">
        <v>102</v>
      </c>
      <c r="G994">
        <v>2</v>
      </c>
      <c r="H994" s="5">
        <v>4195.8900000000003</v>
      </c>
      <c r="I994" s="4">
        <v>0</v>
      </c>
      <c r="J994" s="5">
        <v>8391.7800000000007</v>
      </c>
      <c r="K994" s="5">
        <v>5584.72</v>
      </c>
      <c r="L994" s="5">
        <v>2807.06</v>
      </c>
      <c r="M994" t="s">
        <v>57</v>
      </c>
      <c r="N994" t="s">
        <v>36</v>
      </c>
      <c r="O994" t="s">
        <v>37</v>
      </c>
    </row>
    <row r="995" spans="1:15">
      <c r="A995" t="s">
        <v>1525</v>
      </c>
      <c r="B995" s="3">
        <v>46223</v>
      </c>
      <c r="C995" t="s">
        <v>401</v>
      </c>
      <c r="D995" t="s">
        <v>95</v>
      </c>
      <c r="E995" t="s">
        <v>33</v>
      </c>
      <c r="F995" t="s">
        <v>67</v>
      </c>
      <c r="G995">
        <v>2</v>
      </c>
      <c r="H995" s="5">
        <v>1106.95</v>
      </c>
      <c r="I995" s="4">
        <v>0.05</v>
      </c>
      <c r="J995" s="5">
        <v>2103.1999999999998</v>
      </c>
      <c r="K995" s="5">
        <v>1181.51</v>
      </c>
      <c r="L995" s="5">
        <v>921.69</v>
      </c>
      <c r="M995" t="s">
        <v>57</v>
      </c>
      <c r="N995" t="s">
        <v>71</v>
      </c>
      <c r="O995" t="s">
        <v>37</v>
      </c>
    </row>
    <row r="996" spans="1:15">
      <c r="A996" t="s">
        <v>1526</v>
      </c>
      <c r="B996" s="3">
        <v>45936</v>
      </c>
      <c r="C996" t="s">
        <v>1332</v>
      </c>
      <c r="D996" t="s">
        <v>40</v>
      </c>
      <c r="E996" t="s">
        <v>48</v>
      </c>
      <c r="F996" t="s">
        <v>49</v>
      </c>
      <c r="G996">
        <v>5</v>
      </c>
      <c r="H996" s="5">
        <v>766.03</v>
      </c>
      <c r="I996" s="4">
        <v>0.2</v>
      </c>
      <c r="J996" s="5">
        <v>3064.12</v>
      </c>
      <c r="K996" s="5">
        <v>1901.86</v>
      </c>
      <c r="L996" s="5">
        <v>1162.26</v>
      </c>
      <c r="M996" t="s">
        <v>57</v>
      </c>
      <c r="N996" t="s">
        <v>63</v>
      </c>
      <c r="O996" t="s">
        <v>44</v>
      </c>
    </row>
    <row r="997" spans="1:15">
      <c r="A997" t="s">
        <v>1527</v>
      </c>
      <c r="B997" s="3">
        <v>46055</v>
      </c>
      <c r="C997" t="s">
        <v>846</v>
      </c>
      <c r="D997" t="s">
        <v>47</v>
      </c>
      <c r="E997" t="s">
        <v>48</v>
      </c>
      <c r="F997" t="s">
        <v>49</v>
      </c>
      <c r="G997">
        <v>6</v>
      </c>
      <c r="H997" s="5">
        <v>3315.11</v>
      </c>
      <c r="I997" s="4">
        <v>0.15</v>
      </c>
      <c r="J997" s="5">
        <v>16907.060000000001</v>
      </c>
      <c r="K997" s="5">
        <v>13876.06</v>
      </c>
      <c r="L997" s="5">
        <v>3031</v>
      </c>
      <c r="M997" t="s">
        <v>35</v>
      </c>
      <c r="N997" t="s">
        <v>43</v>
      </c>
      <c r="O997" t="s">
        <v>44</v>
      </c>
    </row>
    <row r="998" spans="1:15">
      <c r="A998" t="s">
        <v>1528</v>
      </c>
      <c r="B998" s="3">
        <v>45776</v>
      </c>
      <c r="C998" t="s">
        <v>934</v>
      </c>
      <c r="D998" t="s">
        <v>60</v>
      </c>
      <c r="E998" t="s">
        <v>48</v>
      </c>
      <c r="F998" t="s">
        <v>99</v>
      </c>
      <c r="G998">
        <v>1</v>
      </c>
      <c r="H998" s="5">
        <v>5236.91</v>
      </c>
      <c r="I998" s="4">
        <v>0.05</v>
      </c>
      <c r="J998" s="5">
        <v>4975.0600000000004</v>
      </c>
      <c r="K998" s="5">
        <v>3013.97</v>
      </c>
      <c r="L998" s="5">
        <v>1961.09</v>
      </c>
      <c r="M998" t="s">
        <v>35</v>
      </c>
      <c r="N998" t="s">
        <v>43</v>
      </c>
      <c r="O998" t="s">
        <v>44</v>
      </c>
    </row>
    <row r="999" spans="1:15">
      <c r="A999" t="s">
        <v>1529</v>
      </c>
      <c r="B999" s="3">
        <v>46137</v>
      </c>
      <c r="C999" t="s">
        <v>640</v>
      </c>
      <c r="D999" t="s">
        <v>134</v>
      </c>
      <c r="E999" t="s">
        <v>61</v>
      </c>
      <c r="F999" t="s">
        <v>62</v>
      </c>
      <c r="G999">
        <v>3</v>
      </c>
      <c r="H999" s="5">
        <v>5239.33</v>
      </c>
      <c r="I999" s="4">
        <v>0</v>
      </c>
      <c r="J999" s="5">
        <v>15717.99</v>
      </c>
      <c r="K999" s="5">
        <v>10998.08</v>
      </c>
      <c r="L999" s="5">
        <v>4719.91</v>
      </c>
      <c r="M999" t="s">
        <v>35</v>
      </c>
      <c r="N999" t="s">
        <v>63</v>
      </c>
      <c r="O999" t="s">
        <v>44</v>
      </c>
    </row>
    <row r="1000" spans="1:15">
      <c r="A1000" t="s">
        <v>1530</v>
      </c>
      <c r="B1000" s="3">
        <v>45906</v>
      </c>
      <c r="C1000" t="s">
        <v>1170</v>
      </c>
      <c r="D1000" t="s">
        <v>52</v>
      </c>
      <c r="E1000" t="s">
        <v>41</v>
      </c>
      <c r="F1000" t="s">
        <v>124</v>
      </c>
      <c r="G1000">
        <v>4</v>
      </c>
      <c r="H1000" s="5">
        <v>2363.46</v>
      </c>
      <c r="I1000" s="4">
        <v>0.2</v>
      </c>
      <c r="J1000" s="5">
        <v>7563.07</v>
      </c>
      <c r="K1000" s="5">
        <v>5801.16</v>
      </c>
      <c r="L1000" s="5">
        <v>1761.91</v>
      </c>
      <c r="M1000" t="s">
        <v>35</v>
      </c>
      <c r="N1000" t="s">
        <v>43</v>
      </c>
      <c r="O1000" t="s">
        <v>44</v>
      </c>
    </row>
    <row r="1001" spans="1:15">
      <c r="A1001" t="s">
        <v>1531</v>
      </c>
      <c r="B1001" s="3">
        <v>46073</v>
      </c>
      <c r="C1001" t="s">
        <v>1040</v>
      </c>
      <c r="D1001" t="s">
        <v>40</v>
      </c>
      <c r="E1001" t="s">
        <v>33</v>
      </c>
      <c r="F1001" t="s">
        <v>92</v>
      </c>
      <c r="G1001">
        <v>2</v>
      </c>
      <c r="H1001" s="5">
        <v>217.4</v>
      </c>
      <c r="I1001" s="4">
        <v>0.15</v>
      </c>
      <c r="J1001" s="5">
        <v>369.58</v>
      </c>
      <c r="K1001" s="5">
        <v>283.35000000000002</v>
      </c>
      <c r="L1001" s="5">
        <v>86.23</v>
      </c>
      <c r="M1001" t="s">
        <v>35</v>
      </c>
      <c r="N1001" t="s">
        <v>71</v>
      </c>
      <c r="O1001" t="s">
        <v>37</v>
      </c>
    </row>
    <row r="1002" spans="1:15">
      <c r="A1002" t="s">
        <v>1532</v>
      </c>
      <c r="B1002" s="3">
        <v>46257</v>
      </c>
      <c r="C1002" t="s">
        <v>630</v>
      </c>
      <c r="D1002" t="s">
        <v>52</v>
      </c>
      <c r="E1002" t="s">
        <v>33</v>
      </c>
      <c r="F1002" t="s">
        <v>176</v>
      </c>
      <c r="G1002">
        <v>4</v>
      </c>
      <c r="H1002" s="5">
        <v>2415.0300000000002</v>
      </c>
      <c r="I1002" s="4">
        <v>0.05</v>
      </c>
      <c r="J1002" s="5">
        <v>9177.11</v>
      </c>
      <c r="K1002" s="5">
        <v>7648.18</v>
      </c>
      <c r="L1002" s="5">
        <v>1528.93</v>
      </c>
      <c r="M1002" t="s">
        <v>57</v>
      </c>
      <c r="N1002" t="s">
        <v>43</v>
      </c>
      <c r="O1002" t="s">
        <v>37</v>
      </c>
    </row>
    <row r="1003" spans="1:15">
      <c r="A1003" t="s">
        <v>1533</v>
      </c>
      <c r="B1003" s="3">
        <v>45753</v>
      </c>
      <c r="C1003" t="s">
        <v>750</v>
      </c>
      <c r="D1003" t="s">
        <v>1534</v>
      </c>
      <c r="E1003" t="s">
        <v>48</v>
      </c>
      <c r="F1003" t="s">
        <v>102</v>
      </c>
      <c r="G1003">
        <v>3</v>
      </c>
      <c r="H1003" s="5">
        <v>3780.71</v>
      </c>
      <c r="I1003" s="4">
        <v>0</v>
      </c>
      <c r="J1003" s="5">
        <v>11342.13</v>
      </c>
      <c r="K1003" s="5">
        <v>8455.4</v>
      </c>
      <c r="L1003" s="5">
        <v>2886.73</v>
      </c>
      <c r="M1003" t="s">
        <v>57</v>
      </c>
      <c r="N1003" t="s">
        <v>71</v>
      </c>
      <c r="O1003" t="s">
        <v>44</v>
      </c>
    </row>
    <row r="1004" spans="1:15">
      <c r="A1004" t="s">
        <v>1535</v>
      </c>
      <c r="B1004" s="3">
        <v>46183</v>
      </c>
      <c r="C1004" t="s">
        <v>540</v>
      </c>
      <c r="D1004" t="s">
        <v>60</v>
      </c>
      <c r="E1004" t="s">
        <v>48</v>
      </c>
      <c r="F1004" t="s">
        <v>99</v>
      </c>
      <c r="G1004">
        <v>6</v>
      </c>
      <c r="H1004" s="5">
        <v>3417.98</v>
      </c>
      <c r="I1004" s="4">
        <v>0</v>
      </c>
      <c r="J1004" s="5">
        <v>20507.88</v>
      </c>
      <c r="K1004" s="5">
        <v>13752.05</v>
      </c>
      <c r="L1004" s="5">
        <v>6755.83</v>
      </c>
      <c r="M1004" t="s">
        <v>35</v>
      </c>
      <c r="N1004" t="s">
        <v>63</v>
      </c>
      <c r="O1004" t="s">
        <v>44</v>
      </c>
    </row>
    <row r="1005" spans="1:15">
      <c r="A1005" t="s">
        <v>1536</v>
      </c>
      <c r="B1005" s="3">
        <v>46238</v>
      </c>
      <c r="C1005" t="s">
        <v>507</v>
      </c>
      <c r="D1005" t="s">
        <v>52</v>
      </c>
      <c r="E1005" t="s">
        <v>41</v>
      </c>
      <c r="F1005" t="s">
        <v>119</v>
      </c>
      <c r="G1005">
        <v>4</v>
      </c>
      <c r="H1005" s="5">
        <v>1823.71</v>
      </c>
      <c r="I1005" s="4">
        <v>0.1</v>
      </c>
      <c r="J1005" s="5">
        <v>6565.36</v>
      </c>
      <c r="K1005" s="5">
        <v>4994.3999999999996</v>
      </c>
      <c r="L1005" s="5">
        <v>1570.96</v>
      </c>
      <c r="M1005" t="s">
        <v>57</v>
      </c>
      <c r="N1005" t="s">
        <v>43</v>
      </c>
      <c r="O1005" t="s">
        <v>37</v>
      </c>
    </row>
    <row r="1006" spans="1:15">
      <c r="A1006" t="s">
        <v>1537</v>
      </c>
      <c r="B1006" s="3">
        <v>46024</v>
      </c>
      <c r="C1006" t="s">
        <v>1157</v>
      </c>
      <c r="D1006" t="s">
        <v>74</v>
      </c>
      <c r="E1006" t="s">
        <v>33</v>
      </c>
      <c r="F1006" t="s">
        <v>176</v>
      </c>
      <c r="G1006">
        <v>1</v>
      </c>
      <c r="H1006" s="5">
        <v>1776.25</v>
      </c>
      <c r="I1006" s="4">
        <v>0.2</v>
      </c>
      <c r="J1006" s="5">
        <v>1421</v>
      </c>
      <c r="K1006" s="5">
        <v>965.32</v>
      </c>
      <c r="L1006" s="5">
        <v>455.68</v>
      </c>
      <c r="M1006" t="s">
        <v>57</v>
      </c>
      <c r="N1006" t="s">
        <v>63</v>
      </c>
      <c r="O1006" t="s">
        <v>44</v>
      </c>
    </row>
    <row r="1007" spans="1:15">
      <c r="A1007" t="s">
        <v>1538</v>
      </c>
      <c r="B1007" s="3">
        <v>46006</v>
      </c>
      <c r="C1007" t="s">
        <v>112</v>
      </c>
      <c r="D1007" t="s">
        <v>47</v>
      </c>
      <c r="E1007" t="s">
        <v>48</v>
      </c>
      <c r="F1007" t="s">
        <v>49</v>
      </c>
      <c r="G1007">
        <v>1</v>
      </c>
      <c r="H1007" s="5">
        <v>4633.6099999999997</v>
      </c>
      <c r="I1007" s="4">
        <v>0</v>
      </c>
      <c r="J1007" s="5">
        <v>4633.6099999999997</v>
      </c>
      <c r="K1007" s="5">
        <v>2888.41</v>
      </c>
      <c r="L1007" s="5">
        <v>1745.2</v>
      </c>
      <c r="M1007" t="s">
        <v>57</v>
      </c>
      <c r="N1007" t="s">
        <v>43</v>
      </c>
      <c r="O1007" t="s">
        <v>44</v>
      </c>
    </row>
    <row r="1008" spans="1:15">
      <c r="A1008" t="s">
        <v>1539</v>
      </c>
      <c r="B1008" s="3">
        <v>46043</v>
      </c>
      <c r="C1008" t="s">
        <v>1032</v>
      </c>
      <c r="D1008" t="s">
        <v>52</v>
      </c>
      <c r="E1008" t="s">
        <v>41</v>
      </c>
      <c r="F1008" t="s">
        <v>53</v>
      </c>
      <c r="G1008">
        <v>1</v>
      </c>
      <c r="H1008" s="5">
        <v>4506.46</v>
      </c>
      <c r="I1008" s="4">
        <v>0</v>
      </c>
      <c r="J1008" s="5">
        <v>4506.46</v>
      </c>
      <c r="K1008" s="5">
        <v>3538.3</v>
      </c>
      <c r="L1008" s="5">
        <v>968.16</v>
      </c>
      <c r="M1008" t="s">
        <v>35</v>
      </c>
      <c r="N1008" t="s">
        <v>63</v>
      </c>
      <c r="O1008" t="s">
        <v>44</v>
      </c>
    </row>
    <row r="1009" spans="1:15">
      <c r="A1009" t="s">
        <v>1540</v>
      </c>
      <c r="B1009" s="3">
        <v>45781</v>
      </c>
      <c r="C1009" t="s">
        <v>199</v>
      </c>
      <c r="D1009" t="s">
        <v>52</v>
      </c>
      <c r="E1009" t="s">
        <v>41</v>
      </c>
      <c r="F1009" t="s">
        <v>53</v>
      </c>
      <c r="G1009">
        <v>3</v>
      </c>
      <c r="H1009" s="5">
        <v>5370.58</v>
      </c>
      <c r="I1009" s="4">
        <v>0</v>
      </c>
      <c r="J1009" s="5">
        <v>16111.74</v>
      </c>
      <c r="K1009" s="5">
        <v>10198.65</v>
      </c>
      <c r="L1009" s="5">
        <v>5913.09</v>
      </c>
      <c r="M1009" t="s">
        <v>35</v>
      </c>
      <c r="N1009" t="s">
        <v>43</v>
      </c>
      <c r="O1009" t="s">
        <v>44</v>
      </c>
    </row>
    <row r="1010" spans="1:15">
      <c r="A1010" t="s">
        <v>1541</v>
      </c>
      <c r="B1010" s="3">
        <v>45817</v>
      </c>
      <c r="C1010" t="s">
        <v>1542</v>
      </c>
      <c r="D1010" t="s">
        <v>52</v>
      </c>
      <c r="E1010" t="s">
        <v>41</v>
      </c>
      <c r="F1010" t="s">
        <v>42</v>
      </c>
      <c r="G1010">
        <v>4</v>
      </c>
      <c r="H1010" s="5">
        <v>2265.1</v>
      </c>
      <c r="I1010" s="4">
        <v>0.05</v>
      </c>
      <c r="J1010" s="5">
        <v>8607.3799999999992</v>
      </c>
      <c r="K1010" s="5">
        <v>5106.16</v>
      </c>
      <c r="L1010" s="5">
        <v>3501.22</v>
      </c>
      <c r="M1010" t="s">
        <v>35</v>
      </c>
      <c r="N1010" t="s">
        <v>43</v>
      </c>
      <c r="O1010" t="s">
        <v>44</v>
      </c>
    </row>
    <row r="1011" spans="1:15">
      <c r="A1011" t="s">
        <v>1543</v>
      </c>
      <c r="B1011" s="3">
        <v>45697</v>
      </c>
      <c r="C1011" t="s">
        <v>1544</v>
      </c>
      <c r="D1011" t="s">
        <v>32</v>
      </c>
      <c r="E1011" t="s">
        <v>33</v>
      </c>
      <c r="F1011" t="s">
        <v>34</v>
      </c>
      <c r="G1011">
        <v>1</v>
      </c>
      <c r="H1011" s="5">
        <v>1823.59</v>
      </c>
      <c r="I1011" s="4">
        <v>0.2</v>
      </c>
      <c r="J1011" s="5">
        <v>1458.87</v>
      </c>
      <c r="K1011" s="5">
        <v>1124.3</v>
      </c>
      <c r="L1011" s="5">
        <v>334.57</v>
      </c>
      <c r="M1011" t="s">
        <v>35</v>
      </c>
      <c r="N1011" t="s">
        <v>43</v>
      </c>
      <c r="O1011" t="s">
        <v>44</v>
      </c>
    </row>
    <row r="1012" spans="1:15">
      <c r="A1012" t="s">
        <v>1545</v>
      </c>
      <c r="B1012" s="3">
        <v>45968</v>
      </c>
      <c r="C1012" t="s">
        <v>332</v>
      </c>
      <c r="D1012" t="s">
        <v>134</v>
      </c>
      <c r="E1012" t="s">
        <v>48</v>
      </c>
      <c r="F1012" t="s">
        <v>102</v>
      </c>
      <c r="G1012">
        <v>2</v>
      </c>
      <c r="H1012" s="5">
        <v>1639.15</v>
      </c>
      <c r="I1012" s="4">
        <v>0.2</v>
      </c>
      <c r="J1012" s="5">
        <v>2622.64</v>
      </c>
      <c r="K1012" s="5">
        <v>1778.5</v>
      </c>
      <c r="L1012" s="5">
        <v>844.14</v>
      </c>
      <c r="M1012" t="s">
        <v>57</v>
      </c>
      <c r="N1012" t="s">
        <v>43</v>
      </c>
      <c r="O1012" t="s">
        <v>44</v>
      </c>
    </row>
    <row r="1013" spans="1:15">
      <c r="A1013" t="s">
        <v>1546</v>
      </c>
      <c r="B1013" s="3">
        <v>45915</v>
      </c>
      <c r="C1013" t="s">
        <v>1231</v>
      </c>
      <c r="D1013" t="s">
        <v>265</v>
      </c>
      <c r="E1013" t="s">
        <v>48</v>
      </c>
      <c r="F1013" t="s">
        <v>70</v>
      </c>
      <c r="G1013">
        <v>4</v>
      </c>
      <c r="H1013" s="5">
        <v>1864.25</v>
      </c>
      <c r="I1013" s="4">
        <v>0.15</v>
      </c>
      <c r="J1013" s="5">
        <v>6338.45</v>
      </c>
      <c r="K1013" s="5">
        <v>5115.7299999999996</v>
      </c>
      <c r="L1013" s="5">
        <v>1222.72</v>
      </c>
      <c r="M1013" t="s">
        <v>57</v>
      </c>
      <c r="N1013" t="s">
        <v>43</v>
      </c>
      <c r="O1013" t="s">
        <v>44</v>
      </c>
    </row>
    <row r="1014" spans="1:15">
      <c r="A1014" t="s">
        <v>1547</v>
      </c>
      <c r="B1014" s="3">
        <v>45842</v>
      </c>
      <c r="C1014" t="s">
        <v>1093</v>
      </c>
      <c r="D1014" t="s">
        <v>74</v>
      </c>
      <c r="E1014" t="s">
        <v>48</v>
      </c>
      <c r="F1014" t="s">
        <v>49</v>
      </c>
      <c r="G1014">
        <v>6</v>
      </c>
      <c r="H1014" s="5">
        <v>5094.55</v>
      </c>
      <c r="I1014" s="4">
        <v>0.05</v>
      </c>
      <c r="J1014" s="5">
        <v>29038.94</v>
      </c>
      <c r="K1014" s="5">
        <v>20984.7</v>
      </c>
      <c r="L1014" s="5">
        <v>8054.24</v>
      </c>
      <c r="M1014" t="s">
        <v>35</v>
      </c>
      <c r="N1014" t="s">
        <v>63</v>
      </c>
      <c r="O1014" t="s">
        <v>44</v>
      </c>
    </row>
    <row r="1015" spans="1:15">
      <c r="A1015" t="s">
        <v>1548</v>
      </c>
      <c r="B1015" s="3">
        <v>45695</v>
      </c>
      <c r="C1015" t="s">
        <v>659</v>
      </c>
      <c r="D1015" t="s">
        <v>52</v>
      </c>
      <c r="E1015" t="s">
        <v>48</v>
      </c>
      <c r="F1015" t="s">
        <v>102</v>
      </c>
      <c r="G1015">
        <v>3</v>
      </c>
      <c r="H1015" s="5">
        <v>4191.43</v>
      </c>
      <c r="I1015" s="4">
        <v>0.2</v>
      </c>
      <c r="J1015" s="5">
        <v>10059.43</v>
      </c>
      <c r="K1015" s="5">
        <v>6539.95</v>
      </c>
      <c r="L1015" s="5">
        <v>3519.48</v>
      </c>
      <c r="M1015" t="s">
        <v>57</v>
      </c>
      <c r="N1015" t="s">
        <v>36</v>
      </c>
      <c r="O1015" t="s">
        <v>44</v>
      </c>
    </row>
    <row r="1016" spans="1:15">
      <c r="A1016" t="s">
        <v>1549</v>
      </c>
      <c r="B1016" s="3">
        <v>45783</v>
      </c>
      <c r="C1016" t="s">
        <v>1392</v>
      </c>
      <c r="D1016" t="s">
        <v>74</v>
      </c>
      <c r="E1016" t="s">
        <v>61</v>
      </c>
      <c r="F1016" t="s">
        <v>84</v>
      </c>
      <c r="G1016">
        <v>2</v>
      </c>
      <c r="H1016" s="5">
        <v>4959.96</v>
      </c>
      <c r="I1016" s="4">
        <v>0.2</v>
      </c>
      <c r="J1016" s="5">
        <v>7935.94</v>
      </c>
      <c r="K1016" s="5">
        <v>6131.5</v>
      </c>
      <c r="L1016" s="5">
        <v>1804.44</v>
      </c>
      <c r="M1016" t="s">
        <v>57</v>
      </c>
      <c r="N1016" t="s">
        <v>63</v>
      </c>
      <c r="O1016" t="s">
        <v>44</v>
      </c>
    </row>
    <row r="1017" spans="1:15">
      <c r="A1017" t="s">
        <v>1550</v>
      </c>
      <c r="B1017" s="3">
        <v>46166</v>
      </c>
      <c r="C1017" t="s">
        <v>811</v>
      </c>
      <c r="D1017" t="s">
        <v>56</v>
      </c>
      <c r="E1017" t="s">
        <v>41</v>
      </c>
      <c r="F1017" t="s">
        <v>42</v>
      </c>
      <c r="G1017">
        <v>3</v>
      </c>
      <c r="H1017" s="5">
        <v>2474.4499999999998</v>
      </c>
      <c r="I1017" s="4">
        <v>0.15</v>
      </c>
      <c r="J1017" s="5">
        <v>6309.85</v>
      </c>
      <c r="K1017" s="5">
        <v>5317.66</v>
      </c>
      <c r="L1017" s="5">
        <v>992.19</v>
      </c>
      <c r="M1017" t="s">
        <v>35</v>
      </c>
      <c r="N1017" t="s">
        <v>71</v>
      </c>
      <c r="O1017" t="s">
        <v>44</v>
      </c>
    </row>
    <row r="1018" spans="1:15">
      <c r="A1018" t="s">
        <v>1551</v>
      </c>
      <c r="B1018" s="3">
        <v>46127</v>
      </c>
      <c r="C1018" t="s">
        <v>144</v>
      </c>
      <c r="D1018" t="s">
        <v>60</v>
      </c>
      <c r="E1018" t="s">
        <v>33</v>
      </c>
      <c r="F1018" t="s">
        <v>96</v>
      </c>
      <c r="G1018">
        <v>1</v>
      </c>
      <c r="H1018" s="5">
        <v>734.75</v>
      </c>
      <c r="I1018" s="4">
        <v>0</v>
      </c>
      <c r="J1018" s="5">
        <v>734.75</v>
      </c>
      <c r="K1018" s="5">
        <v>444.98</v>
      </c>
      <c r="L1018" s="5">
        <v>289.77</v>
      </c>
      <c r="M1018" t="s">
        <v>57</v>
      </c>
      <c r="N1018" t="s">
        <v>36</v>
      </c>
      <c r="O1018" t="s">
        <v>44</v>
      </c>
    </row>
    <row r="1019" spans="1:15">
      <c r="A1019" t="s">
        <v>1552</v>
      </c>
      <c r="B1019" s="3">
        <v>45773</v>
      </c>
      <c r="C1019" t="s">
        <v>1058</v>
      </c>
      <c r="D1019" t="s">
        <v>134</v>
      </c>
      <c r="E1019" t="s">
        <v>41</v>
      </c>
      <c r="F1019" t="s">
        <v>53</v>
      </c>
      <c r="G1019">
        <v>2</v>
      </c>
      <c r="H1019" s="5">
        <v>4524.07</v>
      </c>
      <c r="I1019" s="4">
        <v>0</v>
      </c>
      <c r="J1019" s="5">
        <v>9048.14</v>
      </c>
      <c r="K1019" s="5">
        <v>6277.05</v>
      </c>
      <c r="L1019" s="5">
        <v>2771.09</v>
      </c>
      <c r="M1019" t="s">
        <v>57</v>
      </c>
      <c r="N1019" t="s">
        <v>43</v>
      </c>
      <c r="O1019" t="s">
        <v>37</v>
      </c>
    </row>
    <row r="1020" spans="1:15">
      <c r="A1020" t="s">
        <v>1553</v>
      </c>
      <c r="B1020" s="3">
        <v>46039</v>
      </c>
      <c r="C1020" t="s">
        <v>970</v>
      </c>
      <c r="D1020" t="s">
        <v>134</v>
      </c>
      <c r="E1020" t="s">
        <v>41</v>
      </c>
      <c r="F1020" t="s">
        <v>153</v>
      </c>
      <c r="G1020">
        <v>3</v>
      </c>
      <c r="H1020" s="5">
        <v>5222.53</v>
      </c>
      <c r="I1020" s="4">
        <v>0</v>
      </c>
      <c r="J1020" s="5">
        <v>15667.59</v>
      </c>
      <c r="K1020" s="5">
        <v>10137.91</v>
      </c>
      <c r="L1020" s="5">
        <v>5529.68</v>
      </c>
      <c r="M1020" t="s">
        <v>57</v>
      </c>
      <c r="N1020" t="s">
        <v>71</v>
      </c>
      <c r="O1020" t="s">
        <v>37</v>
      </c>
    </row>
    <row r="1021" spans="1:15">
      <c r="A1021" t="s">
        <v>1554</v>
      </c>
      <c r="B1021" s="3">
        <v>45865</v>
      </c>
      <c r="C1021" t="s">
        <v>811</v>
      </c>
      <c r="D1021" t="s">
        <v>134</v>
      </c>
      <c r="E1021" t="s">
        <v>41</v>
      </c>
      <c r="F1021" t="s">
        <v>42</v>
      </c>
      <c r="G1021">
        <v>2</v>
      </c>
      <c r="H1021" s="5">
        <v>5125.8500000000004</v>
      </c>
      <c r="I1021" s="4">
        <v>0.15</v>
      </c>
      <c r="J1021" s="5">
        <v>8713.94</v>
      </c>
      <c r="K1021" s="5">
        <v>5207.6499999999996</v>
      </c>
      <c r="L1021" s="5">
        <v>3506.29</v>
      </c>
      <c r="M1021" t="s">
        <v>35</v>
      </c>
      <c r="N1021" t="s">
        <v>43</v>
      </c>
      <c r="O1021" t="s">
        <v>44</v>
      </c>
    </row>
    <row r="1022" spans="1:15">
      <c r="A1022" t="s">
        <v>1555</v>
      </c>
      <c r="B1022" s="3">
        <v>45926</v>
      </c>
      <c r="C1022" t="s">
        <v>575</v>
      </c>
      <c r="D1022" t="s">
        <v>52</v>
      </c>
      <c r="E1022" t="s">
        <v>33</v>
      </c>
      <c r="F1022" t="s">
        <v>96</v>
      </c>
      <c r="G1022">
        <v>3</v>
      </c>
      <c r="H1022" s="5">
        <v>5351.14</v>
      </c>
      <c r="I1022" s="4">
        <v>0.2</v>
      </c>
      <c r="J1022" s="5">
        <v>12842.74</v>
      </c>
      <c r="K1022" s="5">
        <v>7148.34</v>
      </c>
      <c r="L1022" s="5">
        <v>5694.4</v>
      </c>
      <c r="M1022" t="s">
        <v>57</v>
      </c>
      <c r="N1022" t="s">
        <v>71</v>
      </c>
      <c r="O1022" t="s">
        <v>44</v>
      </c>
    </row>
    <row r="1023" spans="1:15">
      <c r="A1023" t="s">
        <v>1556</v>
      </c>
      <c r="B1023" s="3">
        <v>45828</v>
      </c>
      <c r="C1023" t="s">
        <v>1557</v>
      </c>
      <c r="D1023" t="s">
        <v>52</v>
      </c>
      <c r="E1023" t="s">
        <v>41</v>
      </c>
      <c r="F1023" t="s">
        <v>153</v>
      </c>
      <c r="G1023">
        <v>6</v>
      </c>
      <c r="H1023" s="5">
        <v>440.16</v>
      </c>
      <c r="I1023" s="4">
        <v>0.05</v>
      </c>
      <c r="J1023" s="5">
        <v>2508.91</v>
      </c>
      <c r="K1023" s="5">
        <v>1529.18</v>
      </c>
      <c r="L1023" s="5">
        <v>979.73</v>
      </c>
      <c r="M1023" t="s">
        <v>57</v>
      </c>
      <c r="N1023" t="s">
        <v>36</v>
      </c>
      <c r="O1023" t="s">
        <v>44</v>
      </c>
    </row>
    <row r="1024" spans="1:15">
      <c r="A1024" t="s">
        <v>1558</v>
      </c>
      <c r="B1024" s="3">
        <v>46058</v>
      </c>
      <c r="C1024" t="s">
        <v>1557</v>
      </c>
      <c r="D1024" t="s">
        <v>32</v>
      </c>
      <c r="E1024" t="s">
        <v>48</v>
      </c>
      <c r="F1024" t="s">
        <v>113</v>
      </c>
      <c r="G1024">
        <v>2</v>
      </c>
      <c r="H1024" s="5">
        <v>2132.77</v>
      </c>
      <c r="I1024" s="4">
        <v>0.1</v>
      </c>
      <c r="J1024" s="5">
        <v>3838.99</v>
      </c>
      <c r="K1024" s="5">
        <v>2619.9699999999998</v>
      </c>
      <c r="L1024" s="5">
        <v>1219.02</v>
      </c>
      <c r="M1024" t="s">
        <v>57</v>
      </c>
      <c r="N1024" t="s">
        <v>36</v>
      </c>
      <c r="O1024" t="s">
        <v>37</v>
      </c>
    </row>
    <row r="1025" spans="1:15">
      <c r="A1025" t="s">
        <v>1559</v>
      </c>
      <c r="B1025" s="3">
        <v>46068</v>
      </c>
      <c r="C1025" t="s">
        <v>962</v>
      </c>
      <c r="D1025" t="s">
        <v>134</v>
      </c>
      <c r="E1025" t="s">
        <v>41</v>
      </c>
      <c r="F1025" t="s">
        <v>124</v>
      </c>
      <c r="G1025">
        <v>2</v>
      </c>
      <c r="H1025" s="5">
        <v>1261.71</v>
      </c>
      <c r="I1025" s="4">
        <v>0.2</v>
      </c>
      <c r="J1025" s="5">
        <v>2018.74</v>
      </c>
      <c r="K1025" s="5">
        <v>1698.52</v>
      </c>
      <c r="L1025" s="5">
        <v>320.22000000000003</v>
      </c>
      <c r="M1025" t="s">
        <v>35</v>
      </c>
      <c r="N1025" t="s">
        <v>36</v>
      </c>
      <c r="O1025" t="s">
        <v>44</v>
      </c>
    </row>
    <row r="1026" spans="1:15">
      <c r="A1026" t="s">
        <v>1560</v>
      </c>
      <c r="B1026" s="3">
        <v>46068</v>
      </c>
      <c r="C1026" t="s">
        <v>538</v>
      </c>
      <c r="D1026" t="s">
        <v>66</v>
      </c>
      <c r="E1026" t="s">
        <v>33</v>
      </c>
      <c r="F1026" t="s">
        <v>96</v>
      </c>
      <c r="G1026">
        <v>1</v>
      </c>
      <c r="H1026" s="5">
        <v>2711.67</v>
      </c>
      <c r="I1026" s="4">
        <v>0</v>
      </c>
      <c r="J1026" s="5">
        <v>2711.67</v>
      </c>
      <c r="K1026" s="5">
        <v>1877.21</v>
      </c>
      <c r="L1026" s="5">
        <v>834.46</v>
      </c>
      <c r="M1026" t="s">
        <v>35</v>
      </c>
      <c r="N1026" t="s">
        <v>63</v>
      </c>
      <c r="O1026" t="s">
        <v>37</v>
      </c>
    </row>
    <row r="1027" spans="1:15">
      <c r="A1027" t="s">
        <v>1561</v>
      </c>
      <c r="B1027" s="3">
        <v>46213</v>
      </c>
      <c r="C1027" t="s">
        <v>1368</v>
      </c>
      <c r="D1027" t="s">
        <v>32</v>
      </c>
      <c r="E1027" t="s">
        <v>33</v>
      </c>
      <c r="F1027" t="s">
        <v>92</v>
      </c>
      <c r="G1027">
        <v>4</v>
      </c>
      <c r="H1027" s="5">
        <v>1880.74</v>
      </c>
      <c r="I1027" s="4">
        <v>0.1</v>
      </c>
      <c r="J1027" s="5">
        <v>6770.66</v>
      </c>
      <c r="K1027" s="5">
        <v>4650.3599999999997</v>
      </c>
      <c r="L1027" s="5">
        <v>2120.3000000000002</v>
      </c>
      <c r="M1027" t="s">
        <v>57</v>
      </c>
      <c r="N1027" t="s">
        <v>63</v>
      </c>
      <c r="O1027" t="s">
        <v>37</v>
      </c>
    </row>
    <row r="1028" spans="1:15">
      <c r="A1028" t="s">
        <v>1562</v>
      </c>
      <c r="B1028" s="3">
        <v>45858</v>
      </c>
      <c r="C1028" t="s">
        <v>1412</v>
      </c>
      <c r="D1028" t="s">
        <v>134</v>
      </c>
      <c r="E1028" t="s">
        <v>33</v>
      </c>
      <c r="F1028" t="s">
        <v>92</v>
      </c>
      <c r="G1028">
        <v>4</v>
      </c>
      <c r="H1028" s="5">
        <v>1980.98</v>
      </c>
      <c r="I1028" s="4">
        <v>0.1</v>
      </c>
      <c r="J1028" s="5">
        <v>7131.53</v>
      </c>
      <c r="K1028" s="5">
        <v>4463.96</v>
      </c>
      <c r="L1028" s="5">
        <v>2667.57</v>
      </c>
      <c r="M1028" t="s">
        <v>57</v>
      </c>
      <c r="N1028" t="s">
        <v>43</v>
      </c>
      <c r="O1028" t="s">
        <v>37</v>
      </c>
    </row>
    <row r="1029" spans="1:15">
      <c r="A1029" t="s">
        <v>1563</v>
      </c>
      <c r="B1029" s="3">
        <v>45839</v>
      </c>
      <c r="C1029" t="s">
        <v>486</v>
      </c>
      <c r="D1029" t="s">
        <v>66</v>
      </c>
      <c r="E1029" t="s">
        <v>61</v>
      </c>
      <c r="F1029" t="s">
        <v>89</v>
      </c>
      <c r="G1029">
        <v>5</v>
      </c>
      <c r="H1029" s="5">
        <v>1226.72</v>
      </c>
      <c r="I1029" s="4">
        <v>0.05</v>
      </c>
      <c r="J1029" s="5">
        <v>5826.92</v>
      </c>
      <c r="K1029" s="5">
        <v>3543.94</v>
      </c>
      <c r="L1029" s="5">
        <v>2282.98</v>
      </c>
      <c r="M1029" t="s">
        <v>57</v>
      </c>
      <c r="N1029" t="s">
        <v>63</v>
      </c>
      <c r="O1029" t="s">
        <v>44</v>
      </c>
    </row>
    <row r="1030" spans="1:15">
      <c r="A1030" t="s">
        <v>1564</v>
      </c>
      <c r="B1030" s="3">
        <v>45737</v>
      </c>
      <c r="C1030" t="s">
        <v>685</v>
      </c>
      <c r="D1030" t="s">
        <v>66</v>
      </c>
      <c r="E1030" t="s">
        <v>48</v>
      </c>
      <c r="F1030" t="s">
        <v>99</v>
      </c>
      <c r="G1030">
        <v>3</v>
      </c>
      <c r="H1030" s="5">
        <v>3613.99</v>
      </c>
      <c r="I1030" s="4">
        <v>0.1</v>
      </c>
      <c r="J1030" s="5">
        <v>9757.77</v>
      </c>
      <c r="K1030" s="5">
        <v>7472.28</v>
      </c>
      <c r="L1030" s="5">
        <v>2285.4899999999998</v>
      </c>
      <c r="M1030" t="s">
        <v>57</v>
      </c>
      <c r="N1030" t="s">
        <v>63</v>
      </c>
      <c r="O1030" t="s">
        <v>44</v>
      </c>
    </row>
    <row r="1031" spans="1:15">
      <c r="A1031" t="s">
        <v>1565</v>
      </c>
      <c r="B1031" s="3">
        <v>45722</v>
      </c>
      <c r="C1031" t="s">
        <v>741</v>
      </c>
      <c r="D1031" t="s">
        <v>52</v>
      </c>
      <c r="E1031" t="s">
        <v>61</v>
      </c>
      <c r="F1031" t="s">
        <v>81</v>
      </c>
      <c r="G1031">
        <v>3</v>
      </c>
      <c r="H1031" s="5">
        <v>3579.13</v>
      </c>
      <c r="I1031" s="4">
        <v>0</v>
      </c>
      <c r="J1031" s="5">
        <v>10737.39</v>
      </c>
      <c r="K1031" s="5">
        <v>8584.99</v>
      </c>
      <c r="L1031" s="5">
        <v>2152.4</v>
      </c>
      <c r="M1031" t="s">
        <v>57</v>
      </c>
      <c r="N1031" t="s">
        <v>36</v>
      </c>
      <c r="O1031" t="s">
        <v>44</v>
      </c>
    </row>
    <row r="1032" spans="1:15">
      <c r="A1032" t="s">
        <v>1566</v>
      </c>
      <c r="B1032" s="3">
        <v>45868</v>
      </c>
      <c r="C1032" t="s">
        <v>170</v>
      </c>
      <c r="D1032" t="s">
        <v>95</v>
      </c>
      <c r="E1032" t="s">
        <v>61</v>
      </c>
      <c r="F1032" t="s">
        <v>84</v>
      </c>
      <c r="G1032">
        <v>3</v>
      </c>
      <c r="H1032" s="5">
        <v>3166.78</v>
      </c>
      <c r="I1032" s="4">
        <v>0.2</v>
      </c>
      <c r="J1032" s="5">
        <v>7600.27</v>
      </c>
      <c r="K1032" s="5">
        <v>6398.56</v>
      </c>
      <c r="L1032" s="5">
        <v>1201.71</v>
      </c>
      <c r="M1032" t="s">
        <v>35</v>
      </c>
      <c r="N1032" t="s">
        <v>71</v>
      </c>
      <c r="O1032" t="s">
        <v>44</v>
      </c>
    </row>
    <row r="1033" spans="1:15">
      <c r="A1033" t="s">
        <v>1567</v>
      </c>
      <c r="B1033" s="3">
        <v>46071</v>
      </c>
      <c r="C1033" t="s">
        <v>477</v>
      </c>
      <c r="D1033" t="s">
        <v>32</v>
      </c>
      <c r="E1033" t="s">
        <v>61</v>
      </c>
      <c r="F1033" t="s">
        <v>129</v>
      </c>
      <c r="G1033">
        <v>2</v>
      </c>
      <c r="H1033" s="5">
        <v>4462.6499999999996</v>
      </c>
      <c r="I1033" s="4">
        <v>0</v>
      </c>
      <c r="J1033" s="5">
        <v>8925.2999999999993</v>
      </c>
      <c r="K1033" s="5">
        <v>5757.22</v>
      </c>
      <c r="L1033" s="5">
        <v>3168.08</v>
      </c>
      <c r="M1033" t="s">
        <v>57</v>
      </c>
      <c r="N1033" t="s">
        <v>63</v>
      </c>
      <c r="O1033" t="s">
        <v>44</v>
      </c>
    </row>
    <row r="1034" spans="1:15">
      <c r="A1034" t="s">
        <v>1568</v>
      </c>
      <c r="B1034" s="3">
        <v>46024</v>
      </c>
      <c r="C1034" t="s">
        <v>1002</v>
      </c>
      <c r="D1034" t="s">
        <v>56</v>
      </c>
      <c r="E1034" t="s">
        <v>48</v>
      </c>
      <c r="F1034" t="s">
        <v>49</v>
      </c>
      <c r="G1034">
        <v>4</v>
      </c>
      <c r="H1034" s="5">
        <v>359.1</v>
      </c>
      <c r="I1034" s="4">
        <v>0.1</v>
      </c>
      <c r="J1034" s="5">
        <v>1292.76</v>
      </c>
      <c r="K1034" s="5">
        <v>1050.3399999999999</v>
      </c>
      <c r="L1034" s="5">
        <v>242.42</v>
      </c>
      <c r="M1034" t="s">
        <v>35</v>
      </c>
      <c r="N1034" t="s">
        <v>43</v>
      </c>
      <c r="O1034" t="s">
        <v>44</v>
      </c>
    </row>
    <row r="1035" spans="1:15">
      <c r="A1035" t="s">
        <v>1569</v>
      </c>
      <c r="B1035" s="3">
        <v>45826</v>
      </c>
      <c r="C1035" t="s">
        <v>94</v>
      </c>
      <c r="D1035" t="s">
        <v>56</v>
      </c>
      <c r="E1035" t="s">
        <v>61</v>
      </c>
      <c r="F1035" t="s">
        <v>129</v>
      </c>
      <c r="G1035">
        <v>5</v>
      </c>
      <c r="H1035" s="5">
        <v>2794.78</v>
      </c>
      <c r="I1035" s="4">
        <v>0.05</v>
      </c>
      <c r="J1035" s="5">
        <v>13275.2</v>
      </c>
      <c r="K1035" s="5">
        <v>9914.85</v>
      </c>
      <c r="L1035" s="5">
        <v>3360.35</v>
      </c>
      <c r="M1035" t="s">
        <v>35</v>
      </c>
      <c r="N1035" t="s">
        <v>36</v>
      </c>
      <c r="O1035" t="s">
        <v>37</v>
      </c>
    </row>
    <row r="1036" spans="1:15">
      <c r="A1036" t="s">
        <v>1570</v>
      </c>
      <c r="B1036" s="3">
        <v>45977</v>
      </c>
      <c r="C1036" t="s">
        <v>1376</v>
      </c>
      <c r="D1036" t="s">
        <v>52</v>
      </c>
      <c r="E1036" t="s">
        <v>41</v>
      </c>
      <c r="F1036" t="s">
        <v>53</v>
      </c>
      <c r="G1036">
        <v>2</v>
      </c>
      <c r="H1036" s="5">
        <v>5404.87</v>
      </c>
      <c r="I1036" s="4">
        <v>0.15</v>
      </c>
      <c r="J1036" s="5">
        <v>9188.2800000000007</v>
      </c>
      <c r="K1036" s="5">
        <v>6169.18</v>
      </c>
      <c r="L1036" s="5">
        <v>3019.1</v>
      </c>
      <c r="M1036" t="s">
        <v>57</v>
      </c>
      <c r="N1036" t="s">
        <v>63</v>
      </c>
      <c r="O1036" t="s">
        <v>44</v>
      </c>
    </row>
    <row r="1037" spans="1:15">
      <c r="A1037" t="s">
        <v>1571</v>
      </c>
      <c r="B1037" s="3">
        <v>45933</v>
      </c>
      <c r="C1037" t="s">
        <v>515</v>
      </c>
      <c r="D1037" t="s">
        <v>32</v>
      </c>
      <c r="E1037" t="s">
        <v>41</v>
      </c>
      <c r="F1037" t="s">
        <v>124</v>
      </c>
      <c r="G1037">
        <v>1</v>
      </c>
      <c r="H1037" s="5">
        <v>2913.2</v>
      </c>
      <c r="I1037" s="4">
        <v>0.1</v>
      </c>
      <c r="J1037" s="5">
        <v>2621.88</v>
      </c>
      <c r="K1037" s="5">
        <v>1944.37</v>
      </c>
      <c r="L1037" s="5">
        <v>677.51</v>
      </c>
      <c r="M1037" t="s">
        <v>57</v>
      </c>
      <c r="N1037" t="s">
        <v>36</v>
      </c>
      <c r="O1037" t="s">
        <v>44</v>
      </c>
    </row>
    <row r="1038" spans="1:15">
      <c r="A1038" t="s">
        <v>1572</v>
      </c>
      <c r="B1038" s="3">
        <v>46042</v>
      </c>
      <c r="C1038" t="s">
        <v>1573</v>
      </c>
      <c r="D1038" t="s">
        <v>32</v>
      </c>
      <c r="E1038" t="s">
        <v>61</v>
      </c>
      <c r="F1038" t="s">
        <v>129</v>
      </c>
      <c r="G1038">
        <v>2</v>
      </c>
      <c r="H1038" s="5">
        <v>1342.75</v>
      </c>
      <c r="I1038" s="4">
        <v>0</v>
      </c>
      <c r="J1038" s="5">
        <v>2685.5</v>
      </c>
      <c r="K1038" s="5">
        <v>1875.46</v>
      </c>
      <c r="L1038" s="5">
        <v>810.04</v>
      </c>
      <c r="M1038" t="s">
        <v>57</v>
      </c>
      <c r="N1038" t="s">
        <v>63</v>
      </c>
      <c r="O1038" t="s">
        <v>44</v>
      </c>
    </row>
    <row r="1039" spans="1:15">
      <c r="A1039" t="s">
        <v>1574</v>
      </c>
      <c r="B1039" s="3">
        <v>45967</v>
      </c>
      <c r="C1039" t="s">
        <v>76</v>
      </c>
      <c r="D1039" t="s">
        <v>52</v>
      </c>
      <c r="E1039" t="s">
        <v>33</v>
      </c>
      <c r="F1039" t="s">
        <v>34</v>
      </c>
      <c r="G1039">
        <v>1</v>
      </c>
      <c r="H1039" s="5">
        <v>4026.99</v>
      </c>
      <c r="I1039" s="4">
        <v>0.2</v>
      </c>
      <c r="J1039" s="5">
        <v>3221.59</v>
      </c>
      <c r="K1039" s="5">
        <v>1880.6</v>
      </c>
      <c r="L1039" s="5">
        <v>1340.99</v>
      </c>
      <c r="M1039" t="s">
        <v>35</v>
      </c>
      <c r="N1039" t="s">
        <v>36</v>
      </c>
      <c r="O1039" t="s">
        <v>44</v>
      </c>
    </row>
    <row r="1040" spans="1:15">
      <c r="A1040" t="s">
        <v>1575</v>
      </c>
      <c r="B1040" s="3">
        <v>46171</v>
      </c>
      <c r="C1040" t="s">
        <v>269</v>
      </c>
      <c r="D1040" t="s">
        <v>95</v>
      </c>
      <c r="E1040" t="s">
        <v>41</v>
      </c>
      <c r="F1040" t="s">
        <v>124</v>
      </c>
      <c r="G1040">
        <v>3</v>
      </c>
      <c r="H1040" s="5">
        <v>943.88</v>
      </c>
      <c r="I1040" s="4">
        <v>0.05</v>
      </c>
      <c r="J1040" s="5">
        <v>2690.06</v>
      </c>
      <c r="K1040" s="5">
        <v>1666.34</v>
      </c>
      <c r="L1040" s="5">
        <v>1023.72</v>
      </c>
      <c r="M1040" t="s">
        <v>57</v>
      </c>
      <c r="N1040" t="s">
        <v>36</v>
      </c>
      <c r="O1040" t="s">
        <v>44</v>
      </c>
    </row>
    <row r="1041" spans="1:15">
      <c r="A1041" t="s">
        <v>1576</v>
      </c>
      <c r="B1041" s="3">
        <v>46257</v>
      </c>
      <c r="C1041" t="s">
        <v>1577</v>
      </c>
      <c r="D1041" t="s">
        <v>66</v>
      </c>
      <c r="E1041" t="s">
        <v>33</v>
      </c>
      <c r="F1041" t="s">
        <v>34</v>
      </c>
      <c r="G1041">
        <v>6</v>
      </c>
      <c r="H1041" s="5">
        <v>1394.34</v>
      </c>
      <c r="I1041" s="4">
        <v>0.1</v>
      </c>
      <c r="J1041" s="5">
        <v>7529.44</v>
      </c>
      <c r="K1041" s="5">
        <v>4503.8100000000004</v>
      </c>
      <c r="L1041" s="5">
        <v>3025.63</v>
      </c>
      <c r="M1041" t="s">
        <v>57</v>
      </c>
      <c r="N1041" t="s">
        <v>43</v>
      </c>
      <c r="O1041" t="s">
        <v>37</v>
      </c>
    </row>
    <row r="1042" spans="1:15">
      <c r="A1042" t="s">
        <v>1578</v>
      </c>
      <c r="B1042" s="3">
        <v>45991</v>
      </c>
      <c r="C1042" t="s">
        <v>1364</v>
      </c>
      <c r="D1042" t="s">
        <v>52</v>
      </c>
      <c r="E1042" t="s">
        <v>41</v>
      </c>
      <c r="F1042" t="s">
        <v>119</v>
      </c>
      <c r="G1042">
        <v>4</v>
      </c>
      <c r="H1042" s="5">
        <v>1822.22</v>
      </c>
      <c r="I1042" s="4">
        <v>0</v>
      </c>
      <c r="J1042" s="5">
        <v>7288.88</v>
      </c>
      <c r="K1042" s="5">
        <v>5128.49</v>
      </c>
      <c r="L1042" s="5">
        <v>2160.39</v>
      </c>
      <c r="M1042" t="s">
        <v>35</v>
      </c>
      <c r="N1042" t="s">
        <v>43</v>
      </c>
      <c r="O1042" t="s">
        <v>37</v>
      </c>
    </row>
    <row r="1043" spans="1:15">
      <c r="A1043" t="s">
        <v>1579</v>
      </c>
      <c r="B1043" s="3">
        <v>45842</v>
      </c>
      <c r="C1043" t="s">
        <v>372</v>
      </c>
      <c r="D1043" t="s">
        <v>32</v>
      </c>
      <c r="E1043" t="s">
        <v>41</v>
      </c>
      <c r="F1043" t="s">
        <v>153</v>
      </c>
      <c r="G1043">
        <v>5</v>
      </c>
      <c r="H1043" s="5">
        <v>334.06</v>
      </c>
      <c r="I1043" s="4">
        <v>0.05</v>
      </c>
      <c r="J1043" s="5">
        <v>1586.78</v>
      </c>
      <c r="K1043" s="5">
        <v>1090.6500000000001</v>
      </c>
      <c r="L1043" s="5">
        <v>496.13</v>
      </c>
      <c r="M1043" t="s">
        <v>35</v>
      </c>
      <c r="N1043" t="s">
        <v>63</v>
      </c>
      <c r="O1043" t="s">
        <v>44</v>
      </c>
    </row>
    <row r="1044" spans="1:15">
      <c r="A1044" t="s">
        <v>1580</v>
      </c>
      <c r="B1044" s="3">
        <v>45803</v>
      </c>
      <c r="C1044" t="s">
        <v>598</v>
      </c>
      <c r="D1044" t="s">
        <v>47</v>
      </c>
      <c r="E1044" t="s">
        <v>41</v>
      </c>
      <c r="F1044" t="s">
        <v>53</v>
      </c>
      <c r="G1044">
        <v>5</v>
      </c>
      <c r="H1044" s="5">
        <v>4227.0200000000004</v>
      </c>
      <c r="I1044" s="4">
        <v>0</v>
      </c>
      <c r="J1044" s="5">
        <v>21135.1</v>
      </c>
      <c r="K1044" s="5">
        <v>16445.759999999998</v>
      </c>
      <c r="L1044" s="5">
        <v>4689.34</v>
      </c>
      <c r="M1044" t="s">
        <v>57</v>
      </c>
      <c r="N1044" t="s">
        <v>71</v>
      </c>
      <c r="O1044" t="s">
        <v>44</v>
      </c>
    </row>
    <row r="1045" spans="1:15">
      <c r="A1045" t="s">
        <v>1581</v>
      </c>
      <c r="B1045" s="3">
        <v>46150</v>
      </c>
      <c r="C1045" t="s">
        <v>1069</v>
      </c>
      <c r="D1045" t="s">
        <v>74</v>
      </c>
      <c r="E1045" t="s">
        <v>33</v>
      </c>
      <c r="F1045" t="s">
        <v>92</v>
      </c>
      <c r="G1045">
        <v>5</v>
      </c>
      <c r="H1045" s="5">
        <v>995.44</v>
      </c>
      <c r="I1045" s="4">
        <v>0.2</v>
      </c>
      <c r="J1045" s="5">
        <v>3981.76</v>
      </c>
      <c r="K1045" s="5">
        <v>3016.76</v>
      </c>
      <c r="L1045" s="5">
        <v>965</v>
      </c>
      <c r="M1045" t="s">
        <v>35</v>
      </c>
      <c r="N1045" t="s">
        <v>63</v>
      </c>
      <c r="O1045" t="s">
        <v>44</v>
      </c>
    </row>
    <row r="1046" spans="1:15">
      <c r="A1046" t="s">
        <v>1582</v>
      </c>
      <c r="B1046" s="3">
        <v>46126</v>
      </c>
      <c r="C1046" t="s">
        <v>486</v>
      </c>
      <c r="D1046" t="s">
        <v>95</v>
      </c>
      <c r="E1046" t="s">
        <v>33</v>
      </c>
      <c r="F1046" t="s">
        <v>92</v>
      </c>
      <c r="G1046">
        <v>3</v>
      </c>
      <c r="H1046" s="5">
        <v>2198.6799999999998</v>
      </c>
      <c r="I1046" s="4">
        <v>0.15</v>
      </c>
      <c r="J1046" s="5">
        <v>5606.63</v>
      </c>
      <c r="K1046" s="5">
        <v>3679.16</v>
      </c>
      <c r="L1046" s="5">
        <v>1927.47</v>
      </c>
      <c r="M1046" t="s">
        <v>35</v>
      </c>
      <c r="N1046" t="s">
        <v>36</v>
      </c>
      <c r="O1046" t="s">
        <v>44</v>
      </c>
    </row>
    <row r="1047" spans="1:15">
      <c r="A1047" t="s">
        <v>1583</v>
      </c>
      <c r="B1047" s="3">
        <v>45739</v>
      </c>
      <c r="C1047" t="s">
        <v>1584</v>
      </c>
      <c r="D1047" t="s">
        <v>60</v>
      </c>
      <c r="E1047" t="s">
        <v>48</v>
      </c>
      <c r="F1047" t="s">
        <v>70</v>
      </c>
      <c r="G1047">
        <v>1</v>
      </c>
      <c r="H1047" s="5">
        <v>1367.82</v>
      </c>
      <c r="I1047" s="4">
        <v>0</v>
      </c>
      <c r="J1047" s="5">
        <v>1367.82</v>
      </c>
      <c r="K1047" s="5">
        <v>778.33</v>
      </c>
      <c r="L1047" s="5">
        <v>589.49</v>
      </c>
      <c r="M1047" t="s">
        <v>57</v>
      </c>
      <c r="N1047" t="s">
        <v>36</v>
      </c>
      <c r="O1047" t="s">
        <v>44</v>
      </c>
    </row>
    <row r="1048" spans="1:15">
      <c r="A1048" t="s">
        <v>1585</v>
      </c>
      <c r="B1048" s="3">
        <v>46229</v>
      </c>
      <c r="C1048" t="s">
        <v>401</v>
      </c>
      <c r="D1048" t="s">
        <v>47</v>
      </c>
      <c r="E1048" t="s">
        <v>33</v>
      </c>
      <c r="F1048" t="s">
        <v>92</v>
      </c>
      <c r="G1048">
        <v>2</v>
      </c>
      <c r="H1048" s="5">
        <v>3998.33</v>
      </c>
      <c r="I1048" s="4">
        <v>0.15</v>
      </c>
      <c r="J1048" s="5">
        <v>6797.16</v>
      </c>
      <c r="K1048" s="5">
        <v>4085.01</v>
      </c>
      <c r="L1048" s="5">
        <v>2712.15</v>
      </c>
      <c r="M1048" t="s">
        <v>57</v>
      </c>
      <c r="N1048" t="s">
        <v>36</v>
      </c>
      <c r="O1048" t="s">
        <v>44</v>
      </c>
    </row>
    <row r="1049" spans="1:15">
      <c r="A1049" t="s">
        <v>1586</v>
      </c>
      <c r="B1049" s="3">
        <v>46136</v>
      </c>
      <c r="C1049" t="s">
        <v>1167</v>
      </c>
      <c r="D1049" t="s">
        <v>56</v>
      </c>
      <c r="E1049" t="s">
        <v>41</v>
      </c>
      <c r="F1049" t="s">
        <v>124</v>
      </c>
      <c r="G1049">
        <v>4</v>
      </c>
      <c r="H1049" s="5">
        <v>2500.3200000000002</v>
      </c>
      <c r="I1049" s="4">
        <v>0.2</v>
      </c>
      <c r="J1049" s="5">
        <v>8001.02</v>
      </c>
      <c r="K1049" s="5">
        <v>6093.89</v>
      </c>
      <c r="L1049" s="5">
        <v>1907.13</v>
      </c>
      <c r="M1049" t="s">
        <v>57</v>
      </c>
      <c r="N1049" t="s">
        <v>63</v>
      </c>
      <c r="O1049" t="s">
        <v>44</v>
      </c>
    </row>
    <row r="1050" spans="1:15">
      <c r="A1050" t="s">
        <v>1587</v>
      </c>
      <c r="B1050" s="3">
        <v>45910</v>
      </c>
      <c r="C1050" t="s">
        <v>682</v>
      </c>
      <c r="D1050" t="s">
        <v>56</v>
      </c>
      <c r="E1050" t="s">
        <v>33</v>
      </c>
      <c r="F1050" t="s">
        <v>67</v>
      </c>
      <c r="G1050">
        <v>2</v>
      </c>
      <c r="H1050" s="5">
        <v>3928.05</v>
      </c>
      <c r="I1050" s="4">
        <v>0</v>
      </c>
      <c r="J1050" s="5">
        <v>7856.1</v>
      </c>
      <c r="K1050" s="5">
        <v>6377.36</v>
      </c>
      <c r="L1050" s="5">
        <v>1478.74</v>
      </c>
      <c r="M1050" t="s">
        <v>57</v>
      </c>
      <c r="N1050" t="s">
        <v>36</v>
      </c>
      <c r="O1050" t="s">
        <v>44</v>
      </c>
    </row>
    <row r="1051" spans="1:15">
      <c r="A1051" t="s">
        <v>1588</v>
      </c>
      <c r="B1051" s="3">
        <v>45821</v>
      </c>
      <c r="C1051" t="s">
        <v>80</v>
      </c>
      <c r="D1051" t="s">
        <v>66</v>
      </c>
      <c r="E1051" t="s">
        <v>41</v>
      </c>
      <c r="F1051" t="s">
        <v>119</v>
      </c>
      <c r="G1051">
        <v>4</v>
      </c>
      <c r="H1051" s="5">
        <v>3845.53</v>
      </c>
      <c r="I1051" s="4">
        <v>0.15</v>
      </c>
      <c r="J1051" s="5">
        <v>13074.8</v>
      </c>
      <c r="K1051" s="5">
        <v>7912.94</v>
      </c>
      <c r="L1051" s="5">
        <v>5161.8599999999997</v>
      </c>
      <c r="M1051" t="s">
        <v>57</v>
      </c>
      <c r="N1051" t="s">
        <v>36</v>
      </c>
      <c r="O1051" t="s">
        <v>44</v>
      </c>
    </row>
    <row r="1052" spans="1:15">
      <c r="A1052" t="s">
        <v>1589</v>
      </c>
      <c r="B1052" s="3">
        <v>45822</v>
      </c>
      <c r="C1052" t="s">
        <v>248</v>
      </c>
      <c r="D1052" t="s">
        <v>40</v>
      </c>
      <c r="E1052" t="s">
        <v>61</v>
      </c>
      <c r="F1052" t="s">
        <v>89</v>
      </c>
      <c r="G1052">
        <v>1</v>
      </c>
      <c r="H1052" s="5">
        <v>467.69</v>
      </c>
      <c r="I1052" s="4">
        <v>0</v>
      </c>
      <c r="J1052" s="5">
        <v>467.69</v>
      </c>
      <c r="K1052" s="5">
        <v>345.76</v>
      </c>
      <c r="L1052" s="5">
        <v>121.93</v>
      </c>
      <c r="M1052" t="s">
        <v>35</v>
      </c>
      <c r="N1052" t="s">
        <v>43</v>
      </c>
      <c r="O1052" t="s">
        <v>44</v>
      </c>
    </row>
    <row r="1053" spans="1:15">
      <c r="A1053" t="s">
        <v>1590</v>
      </c>
      <c r="B1053" s="3">
        <v>45770</v>
      </c>
      <c r="C1053" t="s">
        <v>203</v>
      </c>
      <c r="D1053" t="s">
        <v>66</v>
      </c>
      <c r="E1053" t="s">
        <v>33</v>
      </c>
      <c r="F1053" t="s">
        <v>176</v>
      </c>
      <c r="G1053">
        <v>2</v>
      </c>
      <c r="H1053" s="5">
        <v>1871.45</v>
      </c>
      <c r="I1053" s="4">
        <v>0</v>
      </c>
      <c r="J1053" s="5">
        <v>3742.9</v>
      </c>
      <c r="K1053" s="5">
        <v>2992.67</v>
      </c>
      <c r="L1053" s="5">
        <v>750.23</v>
      </c>
      <c r="M1053" t="s">
        <v>35</v>
      </c>
      <c r="N1053" t="s">
        <v>36</v>
      </c>
      <c r="O1053" t="s">
        <v>44</v>
      </c>
    </row>
    <row r="1054" spans="1:15">
      <c r="A1054" t="s">
        <v>1591</v>
      </c>
      <c r="B1054" s="3">
        <v>45751</v>
      </c>
      <c r="C1054" t="s">
        <v>1592</v>
      </c>
      <c r="D1054" t="s">
        <v>47</v>
      </c>
      <c r="E1054" t="s">
        <v>41</v>
      </c>
      <c r="F1054" t="s">
        <v>119</v>
      </c>
      <c r="G1054">
        <v>6</v>
      </c>
      <c r="H1054" s="5">
        <v>2929.72</v>
      </c>
      <c r="I1054" s="4">
        <v>0</v>
      </c>
      <c r="J1054" s="5">
        <v>17578.32</v>
      </c>
      <c r="K1054" s="5">
        <v>11178.14</v>
      </c>
      <c r="L1054" s="5">
        <v>6400.18</v>
      </c>
      <c r="M1054" t="s">
        <v>35</v>
      </c>
      <c r="N1054" t="s">
        <v>63</v>
      </c>
      <c r="O1054" t="s">
        <v>44</v>
      </c>
    </row>
    <row r="1055" spans="1:15">
      <c r="A1055" t="s">
        <v>1593</v>
      </c>
      <c r="B1055" s="3">
        <v>45854</v>
      </c>
      <c r="C1055" t="s">
        <v>553</v>
      </c>
      <c r="D1055" t="s">
        <v>47</v>
      </c>
      <c r="E1055" t="s">
        <v>41</v>
      </c>
      <c r="F1055" t="s">
        <v>53</v>
      </c>
      <c r="G1055">
        <v>1</v>
      </c>
      <c r="H1055" s="5">
        <v>4262.46</v>
      </c>
      <c r="I1055" s="4">
        <v>0</v>
      </c>
      <c r="J1055" s="5">
        <v>4262.46</v>
      </c>
      <c r="K1055" s="5">
        <v>3237.99</v>
      </c>
      <c r="L1055" s="5">
        <v>1024.47</v>
      </c>
      <c r="M1055" t="s">
        <v>57</v>
      </c>
      <c r="N1055" t="s">
        <v>43</v>
      </c>
      <c r="O1055" t="s">
        <v>44</v>
      </c>
    </row>
    <row r="1056" spans="1:15">
      <c r="A1056" t="s">
        <v>1594</v>
      </c>
      <c r="B1056" s="3">
        <v>46077</v>
      </c>
      <c r="C1056" t="s">
        <v>447</v>
      </c>
      <c r="D1056" t="s">
        <v>32</v>
      </c>
      <c r="E1056" t="s">
        <v>33</v>
      </c>
      <c r="F1056" t="s">
        <v>34</v>
      </c>
      <c r="G1056">
        <v>4</v>
      </c>
      <c r="H1056" s="5">
        <v>4263.03</v>
      </c>
      <c r="I1056" s="4">
        <v>0</v>
      </c>
      <c r="J1056" s="5">
        <v>17052.12</v>
      </c>
      <c r="K1056" s="5">
        <v>9441.09</v>
      </c>
      <c r="L1056" s="5">
        <v>7611.03</v>
      </c>
      <c r="M1056" t="s">
        <v>57</v>
      </c>
      <c r="N1056" t="s">
        <v>63</v>
      </c>
      <c r="O1056" t="s">
        <v>44</v>
      </c>
    </row>
    <row r="1057" spans="1:15">
      <c r="A1057" t="s">
        <v>1595</v>
      </c>
      <c r="B1057" s="3">
        <v>45820</v>
      </c>
      <c r="C1057" t="s">
        <v>117</v>
      </c>
      <c r="D1057" t="s">
        <v>32</v>
      </c>
      <c r="E1057" t="s">
        <v>48</v>
      </c>
      <c r="F1057" t="s">
        <v>99</v>
      </c>
      <c r="G1057">
        <v>2</v>
      </c>
      <c r="H1057" s="5">
        <v>3532.6</v>
      </c>
      <c r="I1057" s="4">
        <v>0.2</v>
      </c>
      <c r="J1057" s="5">
        <v>5652.16</v>
      </c>
      <c r="K1057" s="5">
        <v>3575.98</v>
      </c>
      <c r="L1057" s="5">
        <v>2076.1799999999998</v>
      </c>
      <c r="M1057" t="s">
        <v>35</v>
      </c>
      <c r="N1057" t="s">
        <v>71</v>
      </c>
      <c r="O1057" t="s">
        <v>44</v>
      </c>
    </row>
    <row r="1058" spans="1:15">
      <c r="A1058" t="s">
        <v>1596</v>
      </c>
      <c r="B1058" s="3">
        <v>45749</v>
      </c>
      <c r="C1058" t="s">
        <v>1501</v>
      </c>
      <c r="D1058" t="s">
        <v>66</v>
      </c>
      <c r="E1058" t="s">
        <v>33</v>
      </c>
      <c r="F1058" t="s">
        <v>67</v>
      </c>
      <c r="G1058">
        <v>2</v>
      </c>
      <c r="H1058" s="5">
        <v>878.86</v>
      </c>
      <c r="I1058" s="4">
        <v>0.1</v>
      </c>
      <c r="J1058" s="5">
        <v>1581.95</v>
      </c>
      <c r="K1058" s="5">
        <v>1243.6500000000001</v>
      </c>
      <c r="L1058" s="5">
        <v>338.3</v>
      </c>
      <c r="M1058" t="s">
        <v>35</v>
      </c>
      <c r="N1058" t="s">
        <v>36</v>
      </c>
      <c r="O1058" t="s">
        <v>44</v>
      </c>
    </row>
    <row r="1059" spans="1:15">
      <c r="A1059" t="s">
        <v>1597</v>
      </c>
      <c r="B1059" s="3">
        <v>46168</v>
      </c>
      <c r="C1059" t="s">
        <v>613</v>
      </c>
      <c r="D1059" t="s">
        <v>52</v>
      </c>
      <c r="E1059" t="s">
        <v>33</v>
      </c>
      <c r="F1059" t="s">
        <v>92</v>
      </c>
      <c r="G1059">
        <v>3</v>
      </c>
      <c r="H1059" s="5">
        <v>4449.3100000000004</v>
      </c>
      <c r="I1059" s="4">
        <v>0.15</v>
      </c>
      <c r="J1059" s="5">
        <v>11345.74</v>
      </c>
      <c r="K1059" s="5">
        <v>8582.7900000000009</v>
      </c>
      <c r="L1059" s="5">
        <v>2762.95</v>
      </c>
      <c r="M1059" t="s">
        <v>57</v>
      </c>
      <c r="N1059" t="s">
        <v>36</v>
      </c>
      <c r="O1059" t="s">
        <v>37</v>
      </c>
    </row>
    <row r="1060" spans="1:15">
      <c r="A1060" t="s">
        <v>1598</v>
      </c>
      <c r="B1060" s="3">
        <v>46095</v>
      </c>
      <c r="C1060" t="s">
        <v>1034</v>
      </c>
      <c r="D1060" t="s">
        <v>40</v>
      </c>
      <c r="E1060" t="s">
        <v>48</v>
      </c>
      <c r="F1060" t="s">
        <v>113</v>
      </c>
      <c r="G1060">
        <v>5</v>
      </c>
      <c r="H1060" s="5">
        <v>3093.85</v>
      </c>
      <c r="I1060" s="4">
        <v>0.2</v>
      </c>
      <c r="J1060" s="5">
        <v>12375.4</v>
      </c>
      <c r="K1060" s="5">
        <v>8214.9</v>
      </c>
      <c r="L1060" s="5">
        <v>4160.5</v>
      </c>
      <c r="M1060" t="s">
        <v>35</v>
      </c>
      <c r="N1060" t="s">
        <v>71</v>
      </c>
      <c r="O1060" t="s">
        <v>37</v>
      </c>
    </row>
    <row r="1061" spans="1:15">
      <c r="A1061" t="s">
        <v>1599</v>
      </c>
      <c r="B1061" s="3">
        <v>46257</v>
      </c>
      <c r="C1061" t="s">
        <v>859</v>
      </c>
      <c r="D1061" t="s">
        <v>60</v>
      </c>
      <c r="E1061" t="s">
        <v>33</v>
      </c>
      <c r="F1061" t="s">
        <v>176</v>
      </c>
      <c r="G1061">
        <v>2</v>
      </c>
      <c r="H1061" s="5">
        <v>4667.6400000000003</v>
      </c>
      <c r="I1061" s="4">
        <v>0.2</v>
      </c>
      <c r="J1061" s="5">
        <v>7468.22</v>
      </c>
      <c r="K1061" s="5">
        <v>4702.34</v>
      </c>
      <c r="L1061" s="5">
        <v>2765.88</v>
      </c>
      <c r="M1061" t="s">
        <v>57</v>
      </c>
      <c r="N1061" t="s">
        <v>71</v>
      </c>
      <c r="O1061" t="s">
        <v>44</v>
      </c>
    </row>
    <row r="1062" spans="1:15">
      <c r="A1062" t="s">
        <v>1600</v>
      </c>
      <c r="B1062" s="3">
        <v>46046</v>
      </c>
      <c r="C1062" t="s">
        <v>1085</v>
      </c>
      <c r="D1062" t="s">
        <v>66</v>
      </c>
      <c r="E1062" t="s">
        <v>33</v>
      </c>
      <c r="F1062" t="s">
        <v>96</v>
      </c>
      <c r="G1062">
        <v>6</v>
      </c>
      <c r="H1062" s="5">
        <v>4199.59</v>
      </c>
      <c r="I1062" s="4">
        <v>0</v>
      </c>
      <c r="J1062" s="5">
        <v>25197.54</v>
      </c>
      <c r="K1062" s="5">
        <v>14993.58</v>
      </c>
      <c r="L1062" s="5">
        <v>10203.959999999999</v>
      </c>
      <c r="M1062" t="s">
        <v>57</v>
      </c>
      <c r="N1062" t="s">
        <v>71</v>
      </c>
      <c r="O1062" t="s">
        <v>44</v>
      </c>
    </row>
    <row r="1063" spans="1:15">
      <c r="A1063" t="s">
        <v>1601</v>
      </c>
      <c r="B1063" s="3">
        <v>46071</v>
      </c>
      <c r="C1063" t="s">
        <v>1602</v>
      </c>
      <c r="D1063" t="s">
        <v>32</v>
      </c>
      <c r="E1063" t="s">
        <v>33</v>
      </c>
      <c r="F1063" t="s">
        <v>92</v>
      </c>
      <c r="G1063">
        <v>2</v>
      </c>
      <c r="H1063" s="5">
        <v>2823.31</v>
      </c>
      <c r="I1063" s="4">
        <v>0.15</v>
      </c>
      <c r="J1063" s="5">
        <v>4799.63</v>
      </c>
      <c r="K1063" s="5">
        <v>3063.37</v>
      </c>
      <c r="L1063" s="5">
        <v>1736.26</v>
      </c>
      <c r="M1063" t="s">
        <v>35</v>
      </c>
      <c r="N1063" t="s">
        <v>43</v>
      </c>
      <c r="O1063" t="s">
        <v>37</v>
      </c>
    </row>
    <row r="1064" spans="1:15">
      <c r="A1064" t="s">
        <v>1603</v>
      </c>
      <c r="B1064" s="3">
        <v>45810</v>
      </c>
      <c r="C1064" t="s">
        <v>1544</v>
      </c>
      <c r="D1064" t="s">
        <v>95</v>
      </c>
      <c r="E1064" t="s">
        <v>33</v>
      </c>
      <c r="F1064" t="s">
        <v>96</v>
      </c>
      <c r="G1064">
        <v>2</v>
      </c>
      <c r="H1064" s="5">
        <v>3542.17</v>
      </c>
      <c r="I1064" s="4">
        <v>0.05</v>
      </c>
      <c r="J1064" s="5">
        <v>6730.12</v>
      </c>
      <c r="K1064" s="5">
        <v>4901.91</v>
      </c>
      <c r="L1064" s="5">
        <v>1828.21</v>
      </c>
      <c r="M1064" t="s">
        <v>35</v>
      </c>
      <c r="N1064" t="s">
        <v>63</v>
      </c>
      <c r="O1064" t="s">
        <v>44</v>
      </c>
    </row>
    <row r="1065" spans="1:15">
      <c r="A1065" t="s">
        <v>1604</v>
      </c>
      <c r="B1065" s="3">
        <v>45939</v>
      </c>
      <c r="C1065" t="s">
        <v>577</v>
      </c>
      <c r="D1065" t="s">
        <v>52</v>
      </c>
      <c r="E1065" t="s">
        <v>61</v>
      </c>
      <c r="F1065" t="s">
        <v>62</v>
      </c>
      <c r="G1065">
        <v>1</v>
      </c>
      <c r="H1065" s="5">
        <v>4266.8599999999997</v>
      </c>
      <c r="I1065" s="4">
        <v>0.1</v>
      </c>
      <c r="J1065" s="5">
        <v>3840.17</v>
      </c>
      <c r="K1065" s="5">
        <v>2696.97</v>
      </c>
      <c r="L1065" s="5">
        <v>1143.2</v>
      </c>
      <c r="M1065" t="s">
        <v>57</v>
      </c>
      <c r="N1065" t="s">
        <v>43</v>
      </c>
      <c r="O1065" t="s">
        <v>44</v>
      </c>
    </row>
    <row r="1066" spans="1:15">
      <c r="A1066" t="s">
        <v>1605</v>
      </c>
      <c r="B1066" s="3">
        <v>46213</v>
      </c>
      <c r="C1066" t="s">
        <v>553</v>
      </c>
      <c r="D1066" t="s">
        <v>60</v>
      </c>
      <c r="E1066" t="s">
        <v>48</v>
      </c>
      <c r="F1066" t="s">
        <v>99</v>
      </c>
      <c r="G1066">
        <v>6</v>
      </c>
      <c r="H1066" s="5">
        <v>224.39</v>
      </c>
      <c r="I1066" s="4">
        <v>0.15</v>
      </c>
      <c r="J1066" s="5">
        <v>1144.3900000000001</v>
      </c>
      <c r="K1066" s="5">
        <v>812.34</v>
      </c>
      <c r="L1066" s="5">
        <v>332.05</v>
      </c>
      <c r="M1066" t="s">
        <v>35</v>
      </c>
      <c r="N1066" t="s">
        <v>43</v>
      </c>
      <c r="O1066" t="s">
        <v>37</v>
      </c>
    </row>
    <row r="1067" spans="1:15">
      <c r="A1067" t="s">
        <v>1606</v>
      </c>
      <c r="B1067" s="3">
        <v>46224</v>
      </c>
      <c r="C1067" t="s">
        <v>211</v>
      </c>
      <c r="D1067" t="s">
        <v>32</v>
      </c>
      <c r="E1067" t="s">
        <v>41</v>
      </c>
      <c r="F1067" t="s">
        <v>119</v>
      </c>
      <c r="G1067">
        <v>6</v>
      </c>
      <c r="H1067" s="5">
        <v>1509.28</v>
      </c>
      <c r="I1067" s="4">
        <v>0</v>
      </c>
      <c r="J1067" s="5">
        <v>9055.68</v>
      </c>
      <c r="K1067" s="5">
        <v>5268.06</v>
      </c>
      <c r="L1067" s="5">
        <v>3787.62</v>
      </c>
      <c r="M1067" t="s">
        <v>35</v>
      </c>
      <c r="N1067" t="s">
        <v>71</v>
      </c>
      <c r="O1067" t="s">
        <v>44</v>
      </c>
    </row>
    <row r="1068" spans="1:15">
      <c r="A1068" t="s">
        <v>1607</v>
      </c>
      <c r="B1068" s="3">
        <v>45834</v>
      </c>
      <c r="C1068" t="s">
        <v>418</v>
      </c>
      <c r="D1068" t="s">
        <v>74</v>
      </c>
      <c r="E1068" t="s">
        <v>33</v>
      </c>
      <c r="F1068" t="s">
        <v>176</v>
      </c>
      <c r="G1068">
        <v>5</v>
      </c>
      <c r="H1068" s="5">
        <v>1952.49</v>
      </c>
      <c r="I1068" s="4">
        <v>0.2</v>
      </c>
      <c r="J1068" s="5">
        <v>7809.96</v>
      </c>
      <c r="K1068" s="5">
        <v>6408.46</v>
      </c>
      <c r="L1068" s="5">
        <v>1401.5</v>
      </c>
      <c r="M1068" t="s">
        <v>57</v>
      </c>
      <c r="N1068" t="s">
        <v>43</v>
      </c>
      <c r="O1068" t="s">
        <v>44</v>
      </c>
    </row>
    <row r="1069" spans="1:15">
      <c r="A1069" t="s">
        <v>1608</v>
      </c>
      <c r="B1069" s="3">
        <v>46214</v>
      </c>
      <c r="C1069" t="s">
        <v>1478</v>
      </c>
      <c r="D1069" t="s">
        <v>60</v>
      </c>
      <c r="E1069" t="s">
        <v>41</v>
      </c>
      <c r="F1069" t="s">
        <v>124</v>
      </c>
      <c r="G1069">
        <v>6</v>
      </c>
      <c r="H1069" s="5">
        <v>814.11</v>
      </c>
      <c r="I1069" s="4">
        <v>0.15</v>
      </c>
      <c r="J1069" s="5">
        <v>4151.96</v>
      </c>
      <c r="K1069" s="5">
        <v>3403.9</v>
      </c>
      <c r="L1069" s="5">
        <v>748.06</v>
      </c>
      <c r="M1069" t="s">
        <v>57</v>
      </c>
      <c r="N1069" t="s">
        <v>43</v>
      </c>
      <c r="O1069" t="s">
        <v>44</v>
      </c>
    </row>
    <row r="1070" spans="1:15">
      <c r="A1070" t="s">
        <v>1609</v>
      </c>
      <c r="B1070" s="3">
        <v>46143</v>
      </c>
      <c r="C1070" t="s">
        <v>341</v>
      </c>
      <c r="D1070" t="s">
        <v>47</v>
      </c>
      <c r="E1070" t="s">
        <v>33</v>
      </c>
      <c r="F1070" t="s">
        <v>176</v>
      </c>
      <c r="G1070">
        <v>3</v>
      </c>
      <c r="H1070" s="5">
        <v>3955.02</v>
      </c>
      <c r="I1070" s="4">
        <v>0.15</v>
      </c>
      <c r="J1070" s="5">
        <v>10085.299999999999</v>
      </c>
      <c r="K1070" s="5">
        <v>7254.03</v>
      </c>
      <c r="L1070" s="5">
        <v>2831.27</v>
      </c>
      <c r="M1070" t="s">
        <v>57</v>
      </c>
      <c r="N1070" t="s">
        <v>63</v>
      </c>
      <c r="O1070" t="s">
        <v>44</v>
      </c>
    </row>
    <row r="1071" spans="1:15">
      <c r="A1071" t="s">
        <v>1610</v>
      </c>
      <c r="B1071" s="3">
        <v>46128</v>
      </c>
      <c r="C1071" t="s">
        <v>507</v>
      </c>
      <c r="D1071" t="s">
        <v>56</v>
      </c>
      <c r="E1071" t="s">
        <v>33</v>
      </c>
      <c r="F1071" t="s">
        <v>67</v>
      </c>
      <c r="G1071">
        <v>5</v>
      </c>
      <c r="H1071" s="5">
        <v>3235.09</v>
      </c>
      <c r="I1071" s="4">
        <v>0.1</v>
      </c>
      <c r="J1071" s="5">
        <v>14557.91</v>
      </c>
      <c r="K1071" s="5">
        <v>11907.84</v>
      </c>
      <c r="L1071" s="5">
        <v>2650.07</v>
      </c>
      <c r="M1071" t="s">
        <v>57</v>
      </c>
      <c r="N1071" t="s">
        <v>43</v>
      </c>
      <c r="O1071" t="s">
        <v>44</v>
      </c>
    </row>
    <row r="1072" spans="1:15">
      <c r="A1072" t="s">
        <v>1611</v>
      </c>
      <c r="B1072" s="3">
        <v>45840</v>
      </c>
      <c r="C1072" t="s">
        <v>401</v>
      </c>
      <c r="D1072" t="s">
        <v>56</v>
      </c>
      <c r="E1072" t="s">
        <v>41</v>
      </c>
      <c r="F1072" t="s">
        <v>53</v>
      </c>
      <c r="G1072">
        <v>6</v>
      </c>
      <c r="H1072" s="5">
        <v>764.75</v>
      </c>
      <c r="I1072" s="4">
        <v>0.1</v>
      </c>
      <c r="J1072" s="5">
        <v>4129.6499999999996</v>
      </c>
      <c r="K1072" s="5">
        <v>2998.42</v>
      </c>
      <c r="L1072" s="5">
        <v>1131.23</v>
      </c>
      <c r="M1072" t="s">
        <v>57</v>
      </c>
      <c r="N1072" t="s">
        <v>43</v>
      </c>
      <c r="O1072" t="s">
        <v>44</v>
      </c>
    </row>
    <row r="1073" spans="1:15">
      <c r="A1073" t="s">
        <v>1612</v>
      </c>
      <c r="B1073" s="3">
        <v>45923</v>
      </c>
      <c r="C1073" t="s">
        <v>133</v>
      </c>
      <c r="D1073" t="s">
        <v>74</v>
      </c>
      <c r="E1073" t="s">
        <v>41</v>
      </c>
      <c r="F1073" t="s">
        <v>153</v>
      </c>
      <c r="G1073">
        <v>6</v>
      </c>
      <c r="H1073" s="5">
        <v>3094.93</v>
      </c>
      <c r="I1073" s="4">
        <v>0.15</v>
      </c>
      <c r="J1073" s="5">
        <v>15784.14</v>
      </c>
      <c r="K1073" s="5">
        <v>10396.6</v>
      </c>
      <c r="L1073" s="5">
        <v>5387.54</v>
      </c>
      <c r="M1073" t="s">
        <v>57</v>
      </c>
      <c r="N1073" t="s">
        <v>63</v>
      </c>
      <c r="O1073" t="s">
        <v>44</v>
      </c>
    </row>
    <row r="1074" spans="1:15">
      <c r="A1074" t="s">
        <v>1613</v>
      </c>
      <c r="B1074" s="3">
        <v>45878</v>
      </c>
      <c r="C1074" t="s">
        <v>561</v>
      </c>
      <c r="D1074" t="s">
        <v>95</v>
      </c>
      <c r="E1074" t="s">
        <v>48</v>
      </c>
      <c r="F1074" t="s">
        <v>113</v>
      </c>
      <c r="G1074">
        <v>5</v>
      </c>
      <c r="H1074" s="5">
        <v>4448.4799999999996</v>
      </c>
      <c r="I1074" s="4">
        <v>0.2</v>
      </c>
      <c r="J1074" s="5">
        <v>17793.919999999998</v>
      </c>
      <c r="K1074" s="5">
        <v>14452.32</v>
      </c>
      <c r="L1074" s="5">
        <v>3341.6</v>
      </c>
      <c r="M1074" t="s">
        <v>57</v>
      </c>
      <c r="N1074" t="s">
        <v>63</v>
      </c>
      <c r="O1074" t="s">
        <v>44</v>
      </c>
    </row>
    <row r="1075" spans="1:15">
      <c r="A1075" t="s">
        <v>1614</v>
      </c>
      <c r="B1075" s="3">
        <v>45692</v>
      </c>
      <c r="C1075" t="s">
        <v>181</v>
      </c>
      <c r="D1075" t="s">
        <v>52</v>
      </c>
      <c r="E1075" t="s">
        <v>33</v>
      </c>
      <c r="F1075" t="s">
        <v>176</v>
      </c>
      <c r="G1075">
        <v>6</v>
      </c>
      <c r="H1075" s="5">
        <v>3380.11</v>
      </c>
      <c r="I1075" s="4">
        <v>0</v>
      </c>
      <c r="J1075" s="5">
        <v>20280.66</v>
      </c>
      <c r="K1075" s="5">
        <v>14209.15</v>
      </c>
      <c r="L1075" s="5">
        <v>6071.51</v>
      </c>
      <c r="M1075" t="s">
        <v>35</v>
      </c>
      <c r="N1075" t="s">
        <v>71</v>
      </c>
      <c r="O1075" t="s">
        <v>37</v>
      </c>
    </row>
    <row r="1076" spans="1:15">
      <c r="A1076" t="s">
        <v>1615</v>
      </c>
      <c r="B1076" s="3">
        <v>45872</v>
      </c>
      <c r="C1076" t="s">
        <v>133</v>
      </c>
      <c r="D1076" t="s">
        <v>56</v>
      </c>
      <c r="E1076" t="s">
        <v>41</v>
      </c>
      <c r="F1076" t="s">
        <v>153</v>
      </c>
      <c r="G1076">
        <v>2</v>
      </c>
      <c r="H1076" s="5">
        <v>2910.39</v>
      </c>
      <c r="I1076" s="4">
        <v>0.05</v>
      </c>
      <c r="J1076" s="5">
        <v>5529.74</v>
      </c>
      <c r="K1076" s="5">
        <v>4174.0200000000004</v>
      </c>
      <c r="L1076" s="5">
        <v>1355.72</v>
      </c>
      <c r="M1076" t="s">
        <v>57</v>
      </c>
      <c r="N1076" t="s">
        <v>63</v>
      </c>
      <c r="O1076" t="s">
        <v>44</v>
      </c>
    </row>
    <row r="1077" spans="1:15">
      <c r="A1077" t="s">
        <v>1616</v>
      </c>
      <c r="B1077" s="3">
        <v>45839</v>
      </c>
      <c r="C1077" t="s">
        <v>1401</v>
      </c>
      <c r="D1077" t="s">
        <v>52</v>
      </c>
      <c r="E1077" t="s">
        <v>48</v>
      </c>
      <c r="F1077" t="s">
        <v>113</v>
      </c>
      <c r="G1077">
        <v>6</v>
      </c>
      <c r="H1077" s="5">
        <v>2066.7399999999998</v>
      </c>
      <c r="I1077" s="4">
        <v>0.1</v>
      </c>
      <c r="J1077" s="5">
        <v>11160.4</v>
      </c>
      <c r="K1077" s="5">
        <v>7306.51</v>
      </c>
      <c r="L1077" s="5">
        <v>3853.89</v>
      </c>
      <c r="M1077" t="s">
        <v>35</v>
      </c>
      <c r="N1077" t="s">
        <v>63</v>
      </c>
      <c r="O1077" t="s">
        <v>37</v>
      </c>
    </row>
    <row r="1078" spans="1:15">
      <c r="A1078" t="s">
        <v>1617</v>
      </c>
      <c r="B1078" s="3">
        <v>46260</v>
      </c>
      <c r="C1078" t="s">
        <v>1071</v>
      </c>
      <c r="D1078" t="s">
        <v>66</v>
      </c>
      <c r="E1078" t="s">
        <v>33</v>
      </c>
      <c r="F1078" t="s">
        <v>92</v>
      </c>
      <c r="G1078">
        <v>4</v>
      </c>
      <c r="H1078" s="5">
        <v>915.14</v>
      </c>
      <c r="I1078" s="4">
        <v>0.2</v>
      </c>
      <c r="J1078" s="5">
        <v>2928.45</v>
      </c>
      <c r="K1078" s="5">
        <v>1812.85</v>
      </c>
      <c r="L1078" s="5">
        <v>1115.5999999999999</v>
      </c>
      <c r="M1078" t="s">
        <v>57</v>
      </c>
      <c r="N1078" t="s">
        <v>36</v>
      </c>
      <c r="O1078" t="s">
        <v>44</v>
      </c>
    </row>
    <row r="1079" spans="1:15">
      <c r="A1079" t="s">
        <v>1618</v>
      </c>
      <c r="B1079" s="3">
        <v>46117</v>
      </c>
      <c r="C1079" t="s">
        <v>144</v>
      </c>
      <c r="D1079" t="s">
        <v>66</v>
      </c>
      <c r="E1079" t="s">
        <v>33</v>
      </c>
      <c r="F1079" t="s">
        <v>96</v>
      </c>
      <c r="G1079">
        <v>5</v>
      </c>
      <c r="H1079" s="5">
        <v>1971.98</v>
      </c>
      <c r="I1079" s="4">
        <v>0.05</v>
      </c>
      <c r="J1079" s="5">
        <v>9366.9</v>
      </c>
      <c r="K1079" s="5">
        <v>7086.66</v>
      </c>
      <c r="L1079" s="5">
        <v>2280.2399999999998</v>
      </c>
      <c r="M1079" t="s">
        <v>35</v>
      </c>
      <c r="N1079" t="s">
        <v>36</v>
      </c>
      <c r="O1079" t="s">
        <v>37</v>
      </c>
    </row>
    <row r="1080" spans="1:15">
      <c r="A1080" t="s">
        <v>1619</v>
      </c>
      <c r="B1080" s="3">
        <v>45666</v>
      </c>
      <c r="C1080" t="s">
        <v>1519</v>
      </c>
      <c r="D1080" t="s">
        <v>74</v>
      </c>
      <c r="E1080" t="s">
        <v>33</v>
      </c>
      <c r="F1080" t="s">
        <v>96</v>
      </c>
      <c r="G1080">
        <v>6</v>
      </c>
      <c r="H1080" s="5">
        <v>5474.47</v>
      </c>
      <c r="I1080" s="4">
        <v>0.1</v>
      </c>
      <c r="J1080" s="5">
        <v>29562.14</v>
      </c>
      <c r="K1080" s="5">
        <v>16800.759999999998</v>
      </c>
      <c r="L1080" s="5">
        <v>12761.38</v>
      </c>
      <c r="M1080" t="s">
        <v>35</v>
      </c>
      <c r="N1080" t="s">
        <v>36</v>
      </c>
      <c r="O1080" t="s">
        <v>44</v>
      </c>
    </row>
    <row r="1081" spans="1:15">
      <c r="A1081" t="s">
        <v>1620</v>
      </c>
      <c r="B1081" s="3">
        <v>45733</v>
      </c>
      <c r="C1081" t="s">
        <v>131</v>
      </c>
      <c r="D1081" t="s">
        <v>47</v>
      </c>
      <c r="E1081" t="s">
        <v>33</v>
      </c>
      <c r="F1081" t="s">
        <v>176</v>
      </c>
      <c r="G1081">
        <v>6</v>
      </c>
      <c r="H1081" s="5">
        <v>5209.2700000000004</v>
      </c>
      <c r="I1081" s="4">
        <v>0</v>
      </c>
      <c r="J1081" s="5">
        <v>31255.62</v>
      </c>
      <c r="K1081" s="5">
        <v>26370.54</v>
      </c>
      <c r="L1081" s="5">
        <v>4885.08</v>
      </c>
      <c r="M1081" t="s">
        <v>57</v>
      </c>
      <c r="N1081" t="s">
        <v>36</v>
      </c>
      <c r="O1081" t="s">
        <v>44</v>
      </c>
    </row>
    <row r="1082" spans="1:15">
      <c r="A1082" t="s">
        <v>1621</v>
      </c>
      <c r="B1082" s="3">
        <v>45661</v>
      </c>
      <c r="C1082" t="s">
        <v>449</v>
      </c>
      <c r="D1082" t="s">
        <v>32</v>
      </c>
      <c r="E1082" t="s">
        <v>41</v>
      </c>
      <c r="F1082" t="s">
        <v>53</v>
      </c>
      <c r="G1082">
        <v>6</v>
      </c>
      <c r="H1082" s="5">
        <v>4982.28</v>
      </c>
      <c r="I1082" s="4">
        <v>0</v>
      </c>
      <c r="J1082" s="5">
        <v>29893.68</v>
      </c>
      <c r="K1082" s="5">
        <v>23354.78</v>
      </c>
      <c r="L1082" s="5">
        <v>6538.9</v>
      </c>
      <c r="M1082" t="s">
        <v>57</v>
      </c>
      <c r="N1082" t="s">
        <v>63</v>
      </c>
      <c r="O1082" t="s">
        <v>44</v>
      </c>
    </row>
    <row r="1083" spans="1:15">
      <c r="A1083" t="s">
        <v>1622</v>
      </c>
      <c r="B1083" s="3">
        <v>45871</v>
      </c>
      <c r="C1083" t="s">
        <v>332</v>
      </c>
      <c r="D1083" t="s">
        <v>32</v>
      </c>
      <c r="E1083" t="s">
        <v>41</v>
      </c>
      <c r="F1083" t="s">
        <v>153</v>
      </c>
      <c r="G1083">
        <v>3</v>
      </c>
      <c r="H1083" s="5">
        <v>312.43</v>
      </c>
      <c r="I1083" s="4">
        <v>0</v>
      </c>
      <c r="J1083" s="5">
        <v>937.29</v>
      </c>
      <c r="K1083" s="5">
        <v>737.78</v>
      </c>
      <c r="L1083" s="5">
        <v>199.51</v>
      </c>
      <c r="M1083" t="s">
        <v>35</v>
      </c>
      <c r="N1083" t="s">
        <v>36</v>
      </c>
      <c r="O1083" t="s">
        <v>44</v>
      </c>
    </row>
    <row r="1084" spans="1:15">
      <c r="A1084" t="s">
        <v>1623</v>
      </c>
      <c r="B1084" s="3">
        <v>46134</v>
      </c>
      <c r="C1084" t="s">
        <v>864</v>
      </c>
      <c r="D1084" t="s">
        <v>47</v>
      </c>
      <c r="E1084" t="s">
        <v>41</v>
      </c>
      <c r="F1084" t="s">
        <v>153</v>
      </c>
      <c r="G1084">
        <v>4</v>
      </c>
      <c r="H1084" s="5">
        <v>1726.03</v>
      </c>
      <c r="I1084" s="4">
        <v>0.2</v>
      </c>
      <c r="J1084" s="5">
        <v>5523.3</v>
      </c>
      <c r="K1084" s="5">
        <v>3198.83</v>
      </c>
      <c r="L1084" s="5">
        <v>2324.4699999999998</v>
      </c>
      <c r="M1084" t="s">
        <v>35</v>
      </c>
      <c r="N1084" t="s">
        <v>63</v>
      </c>
      <c r="O1084" t="s">
        <v>37</v>
      </c>
    </row>
    <row r="1085" spans="1:15">
      <c r="A1085" t="s">
        <v>1624</v>
      </c>
      <c r="B1085" s="3">
        <v>45990</v>
      </c>
      <c r="C1085" t="s">
        <v>1625</v>
      </c>
      <c r="D1085" t="s">
        <v>47</v>
      </c>
      <c r="E1085" t="s">
        <v>33</v>
      </c>
      <c r="F1085" t="s">
        <v>92</v>
      </c>
      <c r="G1085">
        <v>5</v>
      </c>
      <c r="H1085" s="5">
        <v>4180.6499999999996</v>
      </c>
      <c r="I1085" s="4">
        <v>0</v>
      </c>
      <c r="J1085" s="5">
        <v>20903.25</v>
      </c>
      <c r="K1085" s="5">
        <v>16496.259999999998</v>
      </c>
      <c r="L1085" s="5">
        <v>4406.99</v>
      </c>
      <c r="M1085" t="s">
        <v>35</v>
      </c>
      <c r="N1085" t="s">
        <v>71</v>
      </c>
      <c r="O1085" t="s">
        <v>44</v>
      </c>
    </row>
    <row r="1086" spans="1:15">
      <c r="A1086" t="s">
        <v>1626</v>
      </c>
      <c r="B1086" s="3">
        <v>46106</v>
      </c>
      <c r="C1086" t="s">
        <v>859</v>
      </c>
      <c r="D1086" t="s">
        <v>47</v>
      </c>
      <c r="E1086" t="s">
        <v>61</v>
      </c>
      <c r="F1086" t="s">
        <v>62</v>
      </c>
      <c r="G1086">
        <v>4</v>
      </c>
      <c r="H1086" s="5">
        <v>1124.25</v>
      </c>
      <c r="I1086" s="4">
        <v>0.15</v>
      </c>
      <c r="J1086" s="5">
        <v>3822.45</v>
      </c>
      <c r="K1086" s="5">
        <v>2571.2600000000002</v>
      </c>
      <c r="L1086" s="5">
        <v>1251.19</v>
      </c>
      <c r="M1086" t="s">
        <v>35</v>
      </c>
      <c r="N1086" t="s">
        <v>63</v>
      </c>
      <c r="O1086" t="s">
        <v>44</v>
      </c>
    </row>
    <row r="1087" spans="1:15">
      <c r="A1087" t="s">
        <v>1627</v>
      </c>
      <c r="B1087" s="3">
        <v>46051</v>
      </c>
      <c r="C1087" t="s">
        <v>990</v>
      </c>
      <c r="D1087" t="s">
        <v>52</v>
      </c>
      <c r="E1087" t="s">
        <v>61</v>
      </c>
      <c r="F1087" t="s">
        <v>84</v>
      </c>
      <c r="G1087">
        <v>4</v>
      </c>
      <c r="H1087" s="5">
        <v>1313.01</v>
      </c>
      <c r="I1087" s="4">
        <v>0.15</v>
      </c>
      <c r="J1087" s="5">
        <v>4464.2299999999996</v>
      </c>
      <c r="K1087" s="5">
        <v>3143.61</v>
      </c>
      <c r="L1087" s="5">
        <v>1320.62</v>
      </c>
      <c r="M1087" t="s">
        <v>35</v>
      </c>
      <c r="N1087" t="s">
        <v>43</v>
      </c>
      <c r="O1087" t="s">
        <v>37</v>
      </c>
    </row>
    <row r="1088" spans="1:15">
      <c r="A1088" t="s">
        <v>1628</v>
      </c>
      <c r="B1088" s="3">
        <v>45659</v>
      </c>
      <c r="C1088" t="s">
        <v>420</v>
      </c>
      <c r="D1088" t="s">
        <v>56</v>
      </c>
      <c r="E1088" t="s">
        <v>41</v>
      </c>
      <c r="F1088" t="s">
        <v>119</v>
      </c>
      <c r="G1088">
        <v>3</v>
      </c>
      <c r="H1088" s="5">
        <v>1766.49</v>
      </c>
      <c r="I1088" s="4">
        <v>0</v>
      </c>
      <c r="J1088" s="5">
        <v>5299.47</v>
      </c>
      <c r="K1088" s="5">
        <v>3787.65</v>
      </c>
      <c r="L1088" s="5">
        <v>1511.82</v>
      </c>
      <c r="M1088" t="s">
        <v>57</v>
      </c>
      <c r="N1088" t="s">
        <v>71</v>
      </c>
      <c r="O1088" t="s">
        <v>44</v>
      </c>
    </row>
    <row r="1089" spans="1:15">
      <c r="A1089" t="s">
        <v>1629</v>
      </c>
      <c r="B1089" s="3">
        <v>45989</v>
      </c>
      <c r="C1089" t="s">
        <v>667</v>
      </c>
      <c r="D1089" t="s">
        <v>32</v>
      </c>
      <c r="E1089" t="s">
        <v>41</v>
      </c>
      <c r="F1089" t="s">
        <v>53</v>
      </c>
      <c r="G1089">
        <v>5</v>
      </c>
      <c r="H1089" s="5">
        <v>1872.68</v>
      </c>
      <c r="I1089" s="4">
        <v>0.15</v>
      </c>
      <c r="J1089" s="5">
        <v>7958.89</v>
      </c>
      <c r="K1089" s="5">
        <v>6449.58</v>
      </c>
      <c r="L1089" s="5">
        <v>1509.31</v>
      </c>
      <c r="M1089" t="s">
        <v>57</v>
      </c>
      <c r="N1089" t="s">
        <v>71</v>
      </c>
      <c r="O1089" t="s">
        <v>44</v>
      </c>
    </row>
    <row r="1090" spans="1:15">
      <c r="A1090" t="s">
        <v>1630</v>
      </c>
      <c r="B1090" s="3">
        <v>46111</v>
      </c>
      <c r="C1090" t="s">
        <v>871</v>
      </c>
      <c r="D1090" t="s">
        <v>74</v>
      </c>
      <c r="E1090" t="s">
        <v>61</v>
      </c>
      <c r="F1090" t="s">
        <v>84</v>
      </c>
      <c r="G1090">
        <v>6</v>
      </c>
      <c r="H1090" s="5">
        <v>2151.13</v>
      </c>
      <c r="I1090" s="4">
        <v>0.15</v>
      </c>
      <c r="J1090" s="5">
        <v>10970.76</v>
      </c>
      <c r="K1090" s="5">
        <v>9218.3799999999992</v>
      </c>
      <c r="L1090" s="5">
        <v>1752.38</v>
      </c>
      <c r="M1090" t="s">
        <v>57</v>
      </c>
      <c r="N1090" t="s">
        <v>43</v>
      </c>
      <c r="O1090" t="s">
        <v>44</v>
      </c>
    </row>
    <row r="1091" spans="1:15">
      <c r="A1091" t="s">
        <v>1631</v>
      </c>
      <c r="B1091" s="3">
        <v>45798</v>
      </c>
      <c r="C1091" t="s">
        <v>497</v>
      </c>
      <c r="D1091" t="s">
        <v>134</v>
      </c>
      <c r="E1091" t="s">
        <v>41</v>
      </c>
      <c r="F1091" t="s">
        <v>42</v>
      </c>
      <c r="G1091">
        <v>2</v>
      </c>
      <c r="H1091" s="5">
        <v>4701.87</v>
      </c>
      <c r="I1091" s="4">
        <v>0</v>
      </c>
      <c r="J1091" s="5">
        <v>9403.74</v>
      </c>
      <c r="K1091" s="5">
        <v>5424.28</v>
      </c>
      <c r="L1091" s="5">
        <v>3979.46</v>
      </c>
      <c r="M1091" t="s">
        <v>35</v>
      </c>
      <c r="N1091" t="s">
        <v>43</v>
      </c>
      <c r="O1091" t="s">
        <v>37</v>
      </c>
    </row>
    <row r="1092" spans="1:15">
      <c r="A1092" t="s">
        <v>1632</v>
      </c>
      <c r="B1092" s="3">
        <v>45788</v>
      </c>
      <c r="C1092" t="s">
        <v>1633</v>
      </c>
      <c r="D1092" t="s">
        <v>74</v>
      </c>
      <c r="E1092" t="s">
        <v>48</v>
      </c>
      <c r="F1092" t="s">
        <v>102</v>
      </c>
      <c r="G1092">
        <v>6</v>
      </c>
      <c r="H1092" s="5">
        <v>1903.98</v>
      </c>
      <c r="I1092" s="4">
        <v>0.2</v>
      </c>
      <c r="J1092" s="5">
        <v>9139.1</v>
      </c>
      <c r="K1092" s="5">
        <v>7623.29</v>
      </c>
      <c r="L1092" s="5">
        <v>1515.81</v>
      </c>
      <c r="M1092" t="s">
        <v>35</v>
      </c>
      <c r="N1092" t="s">
        <v>36</v>
      </c>
      <c r="O1092" t="s">
        <v>44</v>
      </c>
    </row>
    <row r="1093" spans="1:15">
      <c r="A1093" t="s">
        <v>1634</v>
      </c>
      <c r="B1093" s="3">
        <v>46033</v>
      </c>
      <c r="C1093" t="s">
        <v>369</v>
      </c>
      <c r="D1093" t="s">
        <v>134</v>
      </c>
      <c r="E1093" t="s">
        <v>61</v>
      </c>
      <c r="F1093" t="s">
        <v>89</v>
      </c>
      <c r="G1093">
        <v>2</v>
      </c>
      <c r="H1093" s="5">
        <v>2287.2800000000002</v>
      </c>
      <c r="I1093" s="4">
        <v>0.2</v>
      </c>
      <c r="J1093" s="5">
        <v>3659.65</v>
      </c>
      <c r="K1093" s="5">
        <v>2028.58</v>
      </c>
      <c r="L1093" s="5">
        <v>1631.07</v>
      </c>
      <c r="M1093" t="s">
        <v>57</v>
      </c>
      <c r="N1093" t="s">
        <v>71</v>
      </c>
      <c r="O1093" t="s">
        <v>44</v>
      </c>
    </row>
    <row r="1094" spans="1:15">
      <c r="A1094" t="s">
        <v>1635</v>
      </c>
      <c r="B1094" s="3">
        <v>45911</v>
      </c>
      <c r="C1094" t="s">
        <v>564</v>
      </c>
      <c r="D1094" t="s">
        <v>47</v>
      </c>
      <c r="E1094" t="s">
        <v>61</v>
      </c>
      <c r="F1094" t="s">
        <v>62</v>
      </c>
      <c r="G1094">
        <v>1</v>
      </c>
      <c r="H1094" s="5">
        <v>3565.27</v>
      </c>
      <c r="I1094" s="4">
        <v>0.1</v>
      </c>
      <c r="J1094" s="5">
        <v>3208.74</v>
      </c>
      <c r="K1094" s="5">
        <v>1956.66</v>
      </c>
      <c r="L1094" s="5">
        <v>1252.08</v>
      </c>
      <c r="M1094" t="s">
        <v>35</v>
      </c>
      <c r="N1094" t="s">
        <v>43</v>
      </c>
      <c r="O1094" t="s">
        <v>44</v>
      </c>
    </row>
    <row r="1095" spans="1:15">
      <c r="A1095" t="s">
        <v>1636</v>
      </c>
      <c r="B1095" s="3">
        <v>45934</v>
      </c>
      <c r="C1095" t="s">
        <v>1472</v>
      </c>
      <c r="D1095" t="s">
        <v>95</v>
      </c>
      <c r="E1095" t="s">
        <v>41</v>
      </c>
      <c r="F1095" t="s">
        <v>53</v>
      </c>
      <c r="G1095">
        <v>4</v>
      </c>
      <c r="H1095" s="5">
        <v>2052.81</v>
      </c>
      <c r="I1095" s="4">
        <v>0.1</v>
      </c>
      <c r="J1095" s="5">
        <v>7390.12</v>
      </c>
      <c r="K1095" s="5">
        <v>5116.05</v>
      </c>
      <c r="L1095" s="5">
        <v>2274.0700000000002</v>
      </c>
      <c r="M1095" t="s">
        <v>35</v>
      </c>
      <c r="N1095" t="s">
        <v>43</v>
      </c>
      <c r="O1095" t="s">
        <v>44</v>
      </c>
    </row>
    <row r="1096" spans="1:15">
      <c r="A1096" t="s">
        <v>1637</v>
      </c>
      <c r="B1096" s="3">
        <v>45716</v>
      </c>
      <c r="C1096" t="s">
        <v>515</v>
      </c>
      <c r="D1096" t="s">
        <v>134</v>
      </c>
      <c r="E1096" t="s">
        <v>33</v>
      </c>
      <c r="F1096" t="s">
        <v>67</v>
      </c>
      <c r="G1096">
        <v>3</v>
      </c>
      <c r="H1096" s="5">
        <v>1721.05</v>
      </c>
      <c r="I1096" s="4">
        <v>0.15</v>
      </c>
      <c r="J1096" s="5">
        <v>4388.68</v>
      </c>
      <c r="K1096" s="5">
        <v>3381.86</v>
      </c>
      <c r="L1096" s="5">
        <v>1006.82</v>
      </c>
      <c r="M1096" t="s">
        <v>57</v>
      </c>
      <c r="N1096" t="s">
        <v>71</v>
      </c>
      <c r="O1096" t="s">
        <v>44</v>
      </c>
    </row>
    <row r="1097" spans="1:15">
      <c r="A1097" t="s">
        <v>1638</v>
      </c>
      <c r="B1097" s="3">
        <v>46158</v>
      </c>
      <c r="C1097" t="s">
        <v>1297</v>
      </c>
      <c r="D1097" t="s">
        <v>47</v>
      </c>
      <c r="E1097" t="s">
        <v>33</v>
      </c>
      <c r="F1097" t="s">
        <v>176</v>
      </c>
      <c r="G1097">
        <v>2</v>
      </c>
      <c r="H1097" s="5">
        <v>1689.31</v>
      </c>
      <c r="I1097" s="4">
        <v>0.1</v>
      </c>
      <c r="J1097" s="5">
        <v>3040.76</v>
      </c>
      <c r="K1097" s="5">
        <v>2503.6</v>
      </c>
      <c r="L1097" s="5">
        <v>537.16</v>
      </c>
      <c r="M1097" t="s">
        <v>35</v>
      </c>
      <c r="N1097" t="s">
        <v>36</v>
      </c>
      <c r="O1097" t="s">
        <v>44</v>
      </c>
    </row>
    <row r="1098" spans="1:15">
      <c r="A1098" t="s">
        <v>1639</v>
      </c>
      <c r="B1098" s="3">
        <v>45780</v>
      </c>
      <c r="C1098" t="s">
        <v>621</v>
      </c>
      <c r="D1098" t="s">
        <v>47</v>
      </c>
      <c r="E1098" t="s">
        <v>61</v>
      </c>
      <c r="F1098" t="s">
        <v>62</v>
      </c>
      <c r="G1098">
        <v>3</v>
      </c>
      <c r="H1098" s="5">
        <v>5053.79</v>
      </c>
      <c r="I1098" s="4">
        <v>0.05</v>
      </c>
      <c r="J1098" s="5">
        <v>14403.3</v>
      </c>
      <c r="K1098" s="5">
        <v>9129.01</v>
      </c>
      <c r="L1098" s="5">
        <v>5274.29</v>
      </c>
      <c r="M1098" t="s">
        <v>35</v>
      </c>
      <c r="N1098" t="s">
        <v>36</v>
      </c>
      <c r="O1098" t="s">
        <v>44</v>
      </c>
    </row>
    <row r="1099" spans="1:15">
      <c r="A1099" t="s">
        <v>1640</v>
      </c>
      <c r="B1099" s="3">
        <v>46059</v>
      </c>
      <c r="C1099" t="s">
        <v>133</v>
      </c>
      <c r="D1099" t="s">
        <v>74</v>
      </c>
      <c r="E1099" t="s">
        <v>48</v>
      </c>
      <c r="F1099" t="s">
        <v>70</v>
      </c>
      <c r="G1099">
        <v>3</v>
      </c>
      <c r="H1099" s="5">
        <v>4428.32</v>
      </c>
      <c r="I1099" s="4">
        <v>0</v>
      </c>
      <c r="J1099" s="5">
        <v>13284.96</v>
      </c>
      <c r="K1099" s="5">
        <v>11120.55</v>
      </c>
      <c r="L1099" s="5">
        <v>2164.41</v>
      </c>
      <c r="M1099" t="s">
        <v>57</v>
      </c>
      <c r="N1099" t="s">
        <v>71</v>
      </c>
      <c r="O1099" t="s">
        <v>44</v>
      </c>
    </row>
    <row r="1100" spans="1:15">
      <c r="A1100" t="s">
        <v>1641</v>
      </c>
      <c r="B1100" s="3">
        <v>45826</v>
      </c>
      <c r="C1100" t="s">
        <v>1195</v>
      </c>
      <c r="D1100" t="s">
        <v>40</v>
      </c>
      <c r="E1100" t="s">
        <v>61</v>
      </c>
      <c r="F1100" t="s">
        <v>129</v>
      </c>
      <c r="G1100">
        <v>2</v>
      </c>
      <c r="H1100" s="5">
        <v>4374.79</v>
      </c>
      <c r="I1100" s="4">
        <v>0</v>
      </c>
      <c r="J1100" s="5">
        <v>8749.58</v>
      </c>
      <c r="K1100" s="5">
        <v>5903.83</v>
      </c>
      <c r="L1100" s="5">
        <v>2845.75</v>
      </c>
      <c r="M1100" t="s">
        <v>35</v>
      </c>
      <c r="N1100" t="s">
        <v>43</v>
      </c>
      <c r="O1100" t="s">
        <v>44</v>
      </c>
    </row>
    <row r="1101" spans="1:15">
      <c r="A1101" t="s">
        <v>1642</v>
      </c>
      <c r="B1101" s="3">
        <v>45691</v>
      </c>
      <c r="C1101" t="s">
        <v>1338</v>
      </c>
      <c r="D1101" t="s">
        <v>56</v>
      </c>
      <c r="E1101" t="s">
        <v>41</v>
      </c>
      <c r="F1101" t="s">
        <v>53</v>
      </c>
      <c r="G1101">
        <v>5</v>
      </c>
      <c r="H1101" s="5">
        <v>5084.74</v>
      </c>
      <c r="I1101" s="4">
        <v>0.05</v>
      </c>
      <c r="J1101" s="5">
        <v>24152.51</v>
      </c>
      <c r="K1101" s="5">
        <v>18575.02</v>
      </c>
      <c r="L1101" s="5">
        <v>5577.49</v>
      </c>
      <c r="M1101" t="s">
        <v>57</v>
      </c>
      <c r="N1101" t="s">
        <v>43</v>
      </c>
      <c r="O1101" t="s">
        <v>44</v>
      </c>
    </row>
    <row r="1102" spans="1:15">
      <c r="A1102" t="s">
        <v>1643</v>
      </c>
      <c r="B1102" s="3">
        <v>46176</v>
      </c>
      <c r="C1102" t="s">
        <v>712</v>
      </c>
      <c r="D1102" t="s">
        <v>32</v>
      </c>
      <c r="E1102" t="s">
        <v>61</v>
      </c>
      <c r="F1102" t="s">
        <v>62</v>
      </c>
      <c r="G1102">
        <v>6</v>
      </c>
      <c r="H1102" s="5">
        <v>4547.49</v>
      </c>
      <c r="I1102" s="4">
        <v>0</v>
      </c>
      <c r="J1102" s="5">
        <v>27284.94</v>
      </c>
      <c r="K1102" s="5">
        <v>18201.73</v>
      </c>
      <c r="L1102" s="5">
        <v>9083.2099999999991</v>
      </c>
      <c r="M1102" t="s">
        <v>57</v>
      </c>
      <c r="N1102" t="s">
        <v>43</v>
      </c>
      <c r="O1102" t="s">
        <v>44</v>
      </c>
    </row>
    <row r="1103" spans="1:15">
      <c r="A1103" t="s">
        <v>1644</v>
      </c>
      <c r="B1103" s="3">
        <v>45693</v>
      </c>
      <c r="C1103" t="s">
        <v>1231</v>
      </c>
      <c r="D1103" t="s">
        <v>52</v>
      </c>
      <c r="E1103" t="s">
        <v>33</v>
      </c>
      <c r="F1103" t="s">
        <v>96</v>
      </c>
      <c r="G1103">
        <v>1</v>
      </c>
      <c r="H1103" s="5">
        <v>2197.08</v>
      </c>
      <c r="I1103" s="4">
        <v>0.1</v>
      </c>
      <c r="J1103" s="5">
        <v>1977.37</v>
      </c>
      <c r="K1103" s="5">
        <v>1453.04</v>
      </c>
      <c r="L1103" s="5">
        <v>524.33000000000004</v>
      </c>
      <c r="M1103" t="s">
        <v>57</v>
      </c>
      <c r="N1103" t="s">
        <v>43</v>
      </c>
      <c r="O1103" t="s">
        <v>44</v>
      </c>
    </row>
    <row r="1104" spans="1:15">
      <c r="A1104" t="s">
        <v>1645</v>
      </c>
      <c r="B1104" s="3">
        <v>45923</v>
      </c>
      <c r="C1104" t="s">
        <v>466</v>
      </c>
      <c r="D1104" t="s">
        <v>134</v>
      </c>
      <c r="E1104" t="s">
        <v>41</v>
      </c>
      <c r="F1104" t="s">
        <v>53</v>
      </c>
      <c r="G1104">
        <v>6</v>
      </c>
      <c r="H1104" s="5">
        <v>845.89</v>
      </c>
      <c r="I1104" s="4">
        <v>0</v>
      </c>
      <c r="J1104" s="5">
        <v>5075.34</v>
      </c>
      <c r="K1104" s="5">
        <v>3924.11</v>
      </c>
      <c r="L1104" s="5">
        <v>1151.23</v>
      </c>
      <c r="M1104" t="s">
        <v>57</v>
      </c>
      <c r="N1104" t="s">
        <v>43</v>
      </c>
      <c r="O1104" t="s">
        <v>44</v>
      </c>
    </row>
    <row r="1105" spans="1:15">
      <c r="A1105" t="s">
        <v>1646</v>
      </c>
      <c r="B1105" s="3">
        <v>45699</v>
      </c>
      <c r="C1105" t="s">
        <v>604</v>
      </c>
      <c r="D1105" t="s">
        <v>74</v>
      </c>
      <c r="E1105" t="s">
        <v>41</v>
      </c>
      <c r="F1105" t="s">
        <v>124</v>
      </c>
      <c r="G1105">
        <v>3</v>
      </c>
      <c r="H1105" s="5">
        <v>4848.42</v>
      </c>
      <c r="I1105" s="4">
        <v>0.15</v>
      </c>
      <c r="J1105" s="5">
        <v>12363.47</v>
      </c>
      <c r="K1105" s="5">
        <v>6839.21</v>
      </c>
      <c r="L1105" s="5">
        <v>5524.26</v>
      </c>
      <c r="M1105" t="s">
        <v>35</v>
      </c>
      <c r="N1105" t="s">
        <v>36</v>
      </c>
      <c r="O1105" t="s">
        <v>44</v>
      </c>
    </row>
    <row r="1106" spans="1:15">
      <c r="A1106" t="s">
        <v>1647</v>
      </c>
      <c r="B1106" s="3">
        <v>45918</v>
      </c>
      <c r="C1106" t="s">
        <v>859</v>
      </c>
      <c r="D1106" t="s">
        <v>74</v>
      </c>
      <c r="E1106" t="s">
        <v>33</v>
      </c>
      <c r="F1106" t="s">
        <v>96</v>
      </c>
      <c r="G1106">
        <v>3</v>
      </c>
      <c r="H1106" s="5">
        <v>5297.83</v>
      </c>
      <c r="I1106" s="4">
        <v>0.1</v>
      </c>
      <c r="J1106" s="5">
        <v>14304.14</v>
      </c>
      <c r="K1106" s="5">
        <v>11298.75</v>
      </c>
      <c r="L1106" s="5">
        <v>3005.39</v>
      </c>
      <c r="M1106" t="s">
        <v>57</v>
      </c>
      <c r="N1106" t="s">
        <v>36</v>
      </c>
      <c r="O1106" t="s">
        <v>44</v>
      </c>
    </row>
    <row r="1107" spans="1:15">
      <c r="A1107" t="s">
        <v>1648</v>
      </c>
      <c r="B1107" s="3">
        <v>45830</v>
      </c>
      <c r="C1107" t="s">
        <v>1499</v>
      </c>
      <c r="D1107" t="s">
        <v>74</v>
      </c>
      <c r="E1107" t="s">
        <v>33</v>
      </c>
      <c r="F1107" t="s">
        <v>34</v>
      </c>
      <c r="G1107">
        <v>6</v>
      </c>
      <c r="H1107" s="5">
        <v>2289.5700000000002</v>
      </c>
      <c r="I1107" s="4">
        <v>0</v>
      </c>
      <c r="J1107" s="5">
        <v>13737.42</v>
      </c>
      <c r="K1107" s="5">
        <v>10534.27</v>
      </c>
      <c r="L1107" s="5">
        <v>3203.15</v>
      </c>
      <c r="M1107" t="s">
        <v>35</v>
      </c>
      <c r="N1107" t="s">
        <v>36</v>
      </c>
      <c r="O1107" t="s">
        <v>44</v>
      </c>
    </row>
    <row r="1108" spans="1:15">
      <c r="A1108" t="s">
        <v>1649</v>
      </c>
      <c r="B1108" s="3">
        <v>46012</v>
      </c>
      <c r="C1108" t="s">
        <v>1088</v>
      </c>
      <c r="D1108" t="s">
        <v>60</v>
      </c>
      <c r="E1108" t="s">
        <v>41</v>
      </c>
      <c r="F1108" t="s">
        <v>42</v>
      </c>
      <c r="G1108">
        <v>4</v>
      </c>
      <c r="H1108" s="5">
        <v>351.9</v>
      </c>
      <c r="I1108" s="4">
        <v>0.2</v>
      </c>
      <c r="J1108" s="5">
        <v>1126.08</v>
      </c>
      <c r="K1108" s="5">
        <v>656.33</v>
      </c>
      <c r="L1108" s="5">
        <v>469.75</v>
      </c>
      <c r="M1108" t="s">
        <v>35</v>
      </c>
      <c r="N1108" t="s">
        <v>36</v>
      </c>
      <c r="O1108" t="s">
        <v>44</v>
      </c>
    </row>
    <row r="1109" spans="1:15">
      <c r="A1109" t="s">
        <v>1650</v>
      </c>
      <c r="B1109" s="3">
        <v>46231</v>
      </c>
      <c r="C1109" t="s">
        <v>250</v>
      </c>
      <c r="D1109" t="s">
        <v>52</v>
      </c>
      <c r="E1109" t="s">
        <v>41</v>
      </c>
      <c r="F1109" t="s">
        <v>42</v>
      </c>
      <c r="G1109">
        <v>4</v>
      </c>
      <c r="H1109" s="5">
        <v>1735.32</v>
      </c>
      <c r="I1109" s="4">
        <v>0.05</v>
      </c>
      <c r="J1109" s="5">
        <v>6594.22</v>
      </c>
      <c r="K1109" s="5">
        <v>5015.25</v>
      </c>
      <c r="L1109" s="5">
        <v>1578.97</v>
      </c>
      <c r="M1109" t="s">
        <v>35</v>
      </c>
      <c r="N1109" t="s">
        <v>63</v>
      </c>
      <c r="O1109" t="s">
        <v>37</v>
      </c>
    </row>
    <row r="1110" spans="1:15">
      <c r="A1110" t="s">
        <v>1651</v>
      </c>
      <c r="B1110" s="3">
        <v>46187</v>
      </c>
      <c r="C1110" t="s">
        <v>1048</v>
      </c>
      <c r="D1110" t="s">
        <v>52</v>
      </c>
      <c r="E1110" t="s">
        <v>41</v>
      </c>
      <c r="F1110" t="s">
        <v>124</v>
      </c>
      <c r="G1110">
        <v>3</v>
      </c>
      <c r="H1110" s="5">
        <v>3598.81</v>
      </c>
      <c r="I1110" s="4">
        <v>0.15</v>
      </c>
      <c r="J1110" s="5">
        <v>9176.9699999999993</v>
      </c>
      <c r="K1110" s="5">
        <v>6699.37</v>
      </c>
      <c r="L1110" s="5">
        <v>2477.6</v>
      </c>
      <c r="M1110" t="s">
        <v>35</v>
      </c>
      <c r="N1110" t="s">
        <v>43</v>
      </c>
      <c r="O1110" t="s">
        <v>44</v>
      </c>
    </row>
    <row r="1111" spans="1:15">
      <c r="A1111" t="s">
        <v>1652</v>
      </c>
      <c r="B1111" s="3">
        <v>45892</v>
      </c>
      <c r="C1111" t="s">
        <v>509</v>
      </c>
      <c r="D1111" t="s">
        <v>74</v>
      </c>
      <c r="E1111" t="s">
        <v>33</v>
      </c>
      <c r="F1111" t="s">
        <v>67</v>
      </c>
      <c r="G1111">
        <v>5</v>
      </c>
      <c r="H1111" s="5">
        <v>1840.5</v>
      </c>
      <c r="I1111" s="4">
        <v>0.1</v>
      </c>
      <c r="J1111" s="5">
        <v>8282.25</v>
      </c>
      <c r="K1111" s="5">
        <v>4691.91</v>
      </c>
      <c r="L1111" s="5">
        <v>3590.34</v>
      </c>
      <c r="M1111" t="s">
        <v>35</v>
      </c>
      <c r="N1111" t="s">
        <v>63</v>
      </c>
      <c r="O1111" t="s">
        <v>44</v>
      </c>
    </row>
    <row r="1112" spans="1:15">
      <c r="A1112" t="s">
        <v>1653</v>
      </c>
      <c r="B1112" s="3">
        <v>46103</v>
      </c>
      <c r="C1112" t="s">
        <v>1219</v>
      </c>
      <c r="D1112" t="s">
        <v>56</v>
      </c>
      <c r="E1112" t="s">
        <v>61</v>
      </c>
      <c r="F1112" t="s">
        <v>129</v>
      </c>
      <c r="G1112">
        <v>4</v>
      </c>
      <c r="H1112" s="5">
        <v>156.19999999999999</v>
      </c>
      <c r="I1112" s="4">
        <v>0.15</v>
      </c>
      <c r="J1112" s="5">
        <v>531.08000000000004</v>
      </c>
      <c r="K1112" s="5">
        <v>414.3</v>
      </c>
      <c r="L1112" s="5">
        <v>116.78</v>
      </c>
      <c r="M1112" t="s">
        <v>57</v>
      </c>
      <c r="N1112" t="s">
        <v>36</v>
      </c>
      <c r="O1112" t="s">
        <v>37</v>
      </c>
    </row>
    <row r="1113" spans="1:15">
      <c r="A1113" t="s">
        <v>1654</v>
      </c>
      <c r="B1113" s="3">
        <v>46156</v>
      </c>
      <c r="C1113" t="s">
        <v>59</v>
      </c>
      <c r="D1113" t="s">
        <v>40</v>
      </c>
      <c r="E1113" t="s">
        <v>41</v>
      </c>
      <c r="F1113" t="s">
        <v>42</v>
      </c>
      <c r="G1113">
        <v>5</v>
      </c>
      <c r="H1113" s="5">
        <v>4552.6000000000004</v>
      </c>
      <c r="I1113" s="4">
        <v>0</v>
      </c>
      <c r="J1113" s="5">
        <v>22763</v>
      </c>
      <c r="K1113" s="5">
        <v>16288.64</v>
      </c>
      <c r="L1113" s="5">
        <v>6474.36</v>
      </c>
      <c r="M1113" t="s">
        <v>57</v>
      </c>
      <c r="N1113" t="s">
        <v>63</v>
      </c>
      <c r="O1113" t="s">
        <v>44</v>
      </c>
    </row>
    <row r="1114" spans="1:15">
      <c r="A1114" t="s">
        <v>1655</v>
      </c>
      <c r="B1114" s="3">
        <v>46117</v>
      </c>
      <c r="C1114" t="s">
        <v>607</v>
      </c>
      <c r="D1114" t="s">
        <v>60</v>
      </c>
      <c r="E1114" t="s">
        <v>33</v>
      </c>
      <c r="F1114" t="s">
        <v>96</v>
      </c>
      <c r="G1114">
        <v>6</v>
      </c>
      <c r="H1114" s="5">
        <v>2388.29</v>
      </c>
      <c r="I1114" s="4">
        <v>0.2</v>
      </c>
      <c r="J1114" s="5">
        <v>11463.79</v>
      </c>
      <c r="K1114" s="5">
        <v>8375.9500000000007</v>
      </c>
      <c r="L1114" s="5">
        <v>3087.84</v>
      </c>
      <c r="M1114" t="s">
        <v>57</v>
      </c>
      <c r="N1114" t="s">
        <v>36</v>
      </c>
      <c r="O1114" t="s">
        <v>37</v>
      </c>
    </row>
    <row r="1115" spans="1:15">
      <c r="A1115" t="s">
        <v>1656</v>
      </c>
      <c r="B1115" s="3">
        <v>45780</v>
      </c>
      <c r="C1115" t="s">
        <v>328</v>
      </c>
      <c r="D1115" t="s">
        <v>182</v>
      </c>
      <c r="E1115" t="s">
        <v>61</v>
      </c>
      <c r="F1115" t="s">
        <v>62</v>
      </c>
      <c r="G1115">
        <v>3</v>
      </c>
      <c r="H1115" s="5">
        <v>5028.04</v>
      </c>
      <c r="I1115" s="4">
        <v>0.05</v>
      </c>
      <c r="J1115" s="5">
        <v>14329.91</v>
      </c>
      <c r="K1115" s="5">
        <v>9559.4699999999993</v>
      </c>
      <c r="L1115" s="5">
        <v>4770.4399999999996</v>
      </c>
      <c r="M1115" t="s">
        <v>35</v>
      </c>
      <c r="N1115" t="s">
        <v>43</v>
      </c>
      <c r="O1115" t="s">
        <v>44</v>
      </c>
    </row>
    <row r="1116" spans="1:15">
      <c r="A1116" t="s">
        <v>1657</v>
      </c>
      <c r="B1116" s="3">
        <v>45872</v>
      </c>
      <c r="C1116" t="s">
        <v>1658</v>
      </c>
      <c r="D1116" t="s">
        <v>47</v>
      </c>
      <c r="E1116" t="s">
        <v>33</v>
      </c>
      <c r="F1116" t="s">
        <v>67</v>
      </c>
      <c r="G1116">
        <v>5</v>
      </c>
      <c r="H1116" s="5">
        <v>2796.04</v>
      </c>
      <c r="I1116" s="4">
        <v>0</v>
      </c>
      <c r="J1116" s="5">
        <v>13980.2</v>
      </c>
      <c r="K1116" s="5">
        <v>8244.56</v>
      </c>
      <c r="L1116" s="5">
        <v>5735.64</v>
      </c>
      <c r="M1116" t="s">
        <v>35</v>
      </c>
      <c r="N1116" t="s">
        <v>63</v>
      </c>
      <c r="O1116" t="s">
        <v>44</v>
      </c>
    </row>
    <row r="1117" spans="1:15">
      <c r="A1117" t="s">
        <v>1659</v>
      </c>
      <c r="B1117" s="3">
        <v>46158</v>
      </c>
      <c r="C1117" t="s">
        <v>1660</v>
      </c>
      <c r="D1117" t="s">
        <v>52</v>
      </c>
      <c r="E1117" t="s">
        <v>33</v>
      </c>
      <c r="F1117" t="s">
        <v>67</v>
      </c>
      <c r="G1117">
        <v>1</v>
      </c>
      <c r="H1117" s="5">
        <v>987.2</v>
      </c>
      <c r="I1117" s="4">
        <v>0</v>
      </c>
      <c r="J1117" s="5">
        <v>987.2</v>
      </c>
      <c r="K1117" s="5">
        <v>636.72</v>
      </c>
      <c r="L1117" s="5">
        <v>350.48</v>
      </c>
      <c r="M1117" t="s">
        <v>35</v>
      </c>
      <c r="N1117" t="s">
        <v>36</v>
      </c>
      <c r="O1117" t="s">
        <v>44</v>
      </c>
    </row>
    <row r="1118" spans="1:15">
      <c r="A1118" t="s">
        <v>1661</v>
      </c>
      <c r="B1118" s="3">
        <v>45692</v>
      </c>
      <c r="C1118" t="s">
        <v>115</v>
      </c>
      <c r="D1118" t="s">
        <v>32</v>
      </c>
      <c r="E1118" t="s">
        <v>48</v>
      </c>
      <c r="F1118" t="s">
        <v>70</v>
      </c>
      <c r="G1118">
        <v>2</v>
      </c>
      <c r="H1118" s="5">
        <v>5087.72</v>
      </c>
      <c r="I1118" s="4">
        <v>0.15</v>
      </c>
      <c r="J1118" s="5">
        <v>8649.1200000000008</v>
      </c>
      <c r="K1118" s="5">
        <v>6196.44</v>
      </c>
      <c r="L1118" s="5">
        <v>2452.6799999999998</v>
      </c>
      <c r="M1118" t="s">
        <v>35</v>
      </c>
      <c r="N1118" t="s">
        <v>36</v>
      </c>
      <c r="O1118" t="s">
        <v>37</v>
      </c>
    </row>
    <row r="1119" spans="1:15">
      <c r="A1119" t="s">
        <v>1662</v>
      </c>
      <c r="B1119" s="3">
        <v>45661</v>
      </c>
      <c r="C1119" t="s">
        <v>217</v>
      </c>
      <c r="D1119" t="s">
        <v>52</v>
      </c>
      <c r="E1119" t="s">
        <v>61</v>
      </c>
      <c r="F1119" t="s">
        <v>62</v>
      </c>
      <c r="G1119">
        <v>1</v>
      </c>
      <c r="H1119" s="5">
        <v>5486.85</v>
      </c>
      <c r="I1119" s="4">
        <v>0</v>
      </c>
      <c r="J1119" s="5">
        <v>5486.85</v>
      </c>
      <c r="K1119" s="5">
        <v>4371.5200000000004</v>
      </c>
      <c r="L1119" s="5">
        <v>1115.33</v>
      </c>
      <c r="M1119" t="s">
        <v>35</v>
      </c>
      <c r="N1119" t="s">
        <v>36</v>
      </c>
      <c r="O1119" t="s">
        <v>44</v>
      </c>
    </row>
    <row r="1120" spans="1:15">
      <c r="A1120" t="s">
        <v>1663</v>
      </c>
      <c r="B1120" s="3">
        <v>45678</v>
      </c>
      <c r="C1120" t="s">
        <v>1501</v>
      </c>
      <c r="D1120" t="s">
        <v>95</v>
      </c>
      <c r="E1120" t="s">
        <v>33</v>
      </c>
      <c r="F1120" t="s">
        <v>176</v>
      </c>
      <c r="G1120">
        <v>3</v>
      </c>
      <c r="H1120" s="5">
        <v>3812.54</v>
      </c>
      <c r="I1120" s="4">
        <v>0</v>
      </c>
      <c r="J1120" s="5">
        <v>11437.62</v>
      </c>
      <c r="K1120" s="5">
        <v>9022.33</v>
      </c>
      <c r="L1120" s="5">
        <v>2415.29</v>
      </c>
      <c r="M1120" t="s">
        <v>35</v>
      </c>
      <c r="N1120" t="s">
        <v>71</v>
      </c>
      <c r="O1120" t="s">
        <v>44</v>
      </c>
    </row>
    <row r="1121" spans="1:15">
      <c r="A1121" t="s">
        <v>1664</v>
      </c>
      <c r="B1121" s="3">
        <v>46002</v>
      </c>
      <c r="C1121" t="s">
        <v>527</v>
      </c>
      <c r="D1121" t="s">
        <v>66</v>
      </c>
      <c r="E1121" t="s">
        <v>48</v>
      </c>
      <c r="F1121" t="s">
        <v>70</v>
      </c>
      <c r="G1121">
        <v>5</v>
      </c>
      <c r="H1121" s="5">
        <v>3023.35</v>
      </c>
      <c r="I1121" s="4">
        <v>0.1</v>
      </c>
      <c r="J1121" s="5">
        <v>13605.08</v>
      </c>
      <c r="K1121" s="5">
        <v>11445.3</v>
      </c>
      <c r="L1121" s="5">
        <v>2159.7800000000002</v>
      </c>
      <c r="M1121" t="s">
        <v>35</v>
      </c>
      <c r="N1121" t="s">
        <v>63</v>
      </c>
      <c r="O1121" t="s">
        <v>44</v>
      </c>
    </row>
    <row r="1122" spans="1:15">
      <c r="A1122" t="s">
        <v>1665</v>
      </c>
      <c r="B1122" s="3">
        <v>46165</v>
      </c>
      <c r="C1122" t="s">
        <v>205</v>
      </c>
      <c r="D1122" t="s">
        <v>95</v>
      </c>
      <c r="E1122" t="s">
        <v>41</v>
      </c>
      <c r="F1122" t="s">
        <v>119</v>
      </c>
      <c r="G1122">
        <v>1</v>
      </c>
      <c r="H1122" s="5">
        <v>2996.23</v>
      </c>
      <c r="I1122" s="4">
        <v>0.15</v>
      </c>
      <c r="J1122" s="5">
        <v>2546.8000000000002</v>
      </c>
      <c r="K1122" s="5">
        <v>1683.01</v>
      </c>
      <c r="L1122" s="5">
        <v>863.79</v>
      </c>
      <c r="M1122" t="s">
        <v>35</v>
      </c>
      <c r="N1122" t="s">
        <v>71</v>
      </c>
      <c r="O1122" t="s">
        <v>44</v>
      </c>
    </row>
    <row r="1123" spans="1:15">
      <c r="A1123" t="s">
        <v>1666</v>
      </c>
      <c r="B1123" s="3">
        <v>45888</v>
      </c>
      <c r="C1123" t="s">
        <v>708</v>
      </c>
      <c r="D1123" t="s">
        <v>60</v>
      </c>
      <c r="E1123" t="s">
        <v>41</v>
      </c>
      <c r="F1123" t="s">
        <v>119</v>
      </c>
      <c r="G1123">
        <v>3</v>
      </c>
      <c r="H1123" s="5">
        <v>5066.07</v>
      </c>
      <c r="I1123" s="4">
        <v>0.1</v>
      </c>
      <c r="J1123" s="5">
        <v>13678.39</v>
      </c>
      <c r="K1123" s="5">
        <v>11304.19</v>
      </c>
      <c r="L1123" s="5">
        <v>2374.1999999999998</v>
      </c>
      <c r="M1123" t="s">
        <v>57</v>
      </c>
      <c r="N1123" t="s">
        <v>36</v>
      </c>
      <c r="O1123" t="s">
        <v>44</v>
      </c>
    </row>
    <row r="1124" spans="1:15">
      <c r="A1124" t="s">
        <v>1667</v>
      </c>
      <c r="B1124" s="3">
        <v>46143</v>
      </c>
      <c r="C1124" t="s">
        <v>846</v>
      </c>
      <c r="D1124" t="s">
        <v>60</v>
      </c>
      <c r="E1124" t="s">
        <v>33</v>
      </c>
      <c r="F1124" t="s">
        <v>96</v>
      </c>
      <c r="G1124">
        <v>3</v>
      </c>
      <c r="H1124" s="5">
        <v>4483.3599999999997</v>
      </c>
      <c r="I1124" s="4">
        <v>0.1</v>
      </c>
      <c r="J1124" s="5">
        <v>12105.07</v>
      </c>
      <c r="K1124" s="5">
        <v>6706.04</v>
      </c>
      <c r="L1124" s="5">
        <v>5399.03</v>
      </c>
      <c r="M1124" t="s">
        <v>57</v>
      </c>
      <c r="N1124" t="s">
        <v>71</v>
      </c>
      <c r="O1124" t="s">
        <v>37</v>
      </c>
    </row>
    <row r="1125" spans="1:15">
      <c r="A1125" t="s">
        <v>1668</v>
      </c>
      <c r="B1125" s="3">
        <v>45965</v>
      </c>
      <c r="C1125" t="s">
        <v>230</v>
      </c>
      <c r="D1125" t="s">
        <v>52</v>
      </c>
      <c r="E1125" t="s">
        <v>48</v>
      </c>
      <c r="F1125" t="s">
        <v>99</v>
      </c>
      <c r="G1125">
        <v>6</v>
      </c>
      <c r="H1125" s="5">
        <v>4409.8</v>
      </c>
      <c r="I1125" s="4">
        <v>0.05</v>
      </c>
      <c r="J1125" s="5">
        <v>25135.86</v>
      </c>
      <c r="K1125" s="5">
        <v>17334.150000000001</v>
      </c>
      <c r="L1125" s="5">
        <v>7801.71</v>
      </c>
      <c r="M1125" t="s">
        <v>57</v>
      </c>
      <c r="N1125" t="s">
        <v>63</v>
      </c>
      <c r="O1125" t="s">
        <v>44</v>
      </c>
    </row>
    <row r="1126" spans="1:15">
      <c r="A1126" t="s">
        <v>1669</v>
      </c>
      <c r="B1126" s="3">
        <v>45969</v>
      </c>
      <c r="C1126" t="s">
        <v>121</v>
      </c>
      <c r="D1126" t="s">
        <v>134</v>
      </c>
      <c r="E1126" t="s">
        <v>33</v>
      </c>
      <c r="F1126" t="s">
        <v>96</v>
      </c>
      <c r="G1126">
        <v>3</v>
      </c>
      <c r="H1126" s="5">
        <v>456.07</v>
      </c>
      <c r="I1126" s="4">
        <v>0</v>
      </c>
      <c r="J1126" s="5">
        <v>1368.21</v>
      </c>
      <c r="K1126" s="5">
        <v>1030.74</v>
      </c>
      <c r="L1126" s="5">
        <v>337.47</v>
      </c>
      <c r="M1126" t="s">
        <v>35</v>
      </c>
      <c r="N1126" t="s">
        <v>63</v>
      </c>
      <c r="O1126" t="s">
        <v>44</v>
      </c>
    </row>
    <row r="1127" spans="1:15">
      <c r="A1127" t="s">
        <v>1670</v>
      </c>
      <c r="B1127" s="3">
        <v>45814</v>
      </c>
      <c r="C1127" t="s">
        <v>1671</v>
      </c>
      <c r="D1127" t="s">
        <v>95</v>
      </c>
      <c r="E1127" t="s">
        <v>61</v>
      </c>
      <c r="F1127" t="s">
        <v>129</v>
      </c>
      <c r="G1127">
        <v>4</v>
      </c>
      <c r="H1127" s="5">
        <v>3118</v>
      </c>
      <c r="I1127" s="4">
        <v>0.1</v>
      </c>
      <c r="J1127" s="5">
        <v>11224.8</v>
      </c>
      <c r="K1127" s="5">
        <v>7637.22</v>
      </c>
      <c r="L1127" s="5">
        <v>3587.58</v>
      </c>
      <c r="M1127" t="s">
        <v>57</v>
      </c>
      <c r="N1127" t="s">
        <v>63</v>
      </c>
      <c r="O1127" t="s">
        <v>37</v>
      </c>
    </row>
    <row r="1128" spans="1:15">
      <c r="A1128" t="s">
        <v>1672</v>
      </c>
      <c r="B1128" s="3">
        <v>46029</v>
      </c>
      <c r="C1128" t="s">
        <v>239</v>
      </c>
      <c r="D1128" t="s">
        <v>56</v>
      </c>
      <c r="E1128" t="s">
        <v>33</v>
      </c>
      <c r="F1128" t="s">
        <v>96</v>
      </c>
      <c r="G1128">
        <v>3</v>
      </c>
      <c r="H1128" s="5">
        <v>3665.4</v>
      </c>
      <c r="I1128" s="4">
        <v>0.05</v>
      </c>
      <c r="J1128" s="5">
        <v>10446.39</v>
      </c>
      <c r="K1128" s="5">
        <v>8725.8799999999992</v>
      </c>
      <c r="L1128" s="5">
        <v>1720.51</v>
      </c>
      <c r="M1128" t="s">
        <v>57</v>
      </c>
      <c r="N1128" t="s">
        <v>63</v>
      </c>
      <c r="O1128" t="s">
        <v>37</v>
      </c>
    </row>
    <row r="1129" spans="1:15">
      <c r="A1129" t="s">
        <v>1673</v>
      </c>
      <c r="B1129" s="3">
        <v>46259</v>
      </c>
      <c r="C1129" t="s">
        <v>316</v>
      </c>
      <c r="D1129" t="s">
        <v>74</v>
      </c>
      <c r="E1129" t="s">
        <v>33</v>
      </c>
      <c r="F1129" t="s">
        <v>92</v>
      </c>
      <c r="G1129">
        <v>3</v>
      </c>
      <c r="H1129" s="5">
        <v>2114.5100000000002</v>
      </c>
      <c r="I1129" s="4">
        <v>0.15</v>
      </c>
      <c r="J1129" s="5">
        <v>5392</v>
      </c>
      <c r="K1129" s="5">
        <v>3747.11</v>
      </c>
      <c r="L1129" s="5">
        <v>1644.89</v>
      </c>
      <c r="M1129" t="s">
        <v>35</v>
      </c>
      <c r="N1129" t="s">
        <v>71</v>
      </c>
      <c r="O1129" t="s">
        <v>44</v>
      </c>
    </row>
    <row r="1130" spans="1:15">
      <c r="A1130" t="s">
        <v>1674</v>
      </c>
      <c r="B1130" s="3">
        <v>45790</v>
      </c>
      <c r="C1130" t="s">
        <v>142</v>
      </c>
      <c r="D1130" t="s">
        <v>52</v>
      </c>
      <c r="E1130" t="s">
        <v>48</v>
      </c>
      <c r="F1130" t="s">
        <v>70</v>
      </c>
      <c r="G1130">
        <v>2</v>
      </c>
      <c r="H1130" s="5">
        <v>3608.35</v>
      </c>
      <c r="I1130" s="4">
        <v>0.1</v>
      </c>
      <c r="J1130" s="5">
        <v>6495.03</v>
      </c>
      <c r="K1130" s="5">
        <v>3616.81</v>
      </c>
      <c r="L1130" s="5">
        <v>2878.22</v>
      </c>
      <c r="M1130" t="s">
        <v>57</v>
      </c>
      <c r="N1130" t="s">
        <v>36</v>
      </c>
      <c r="O1130" t="s">
        <v>44</v>
      </c>
    </row>
    <row r="1131" spans="1:15">
      <c r="A1131" t="s">
        <v>1675</v>
      </c>
      <c r="B1131" s="3">
        <v>46212</v>
      </c>
      <c r="C1131" t="s">
        <v>517</v>
      </c>
      <c r="D1131" t="s">
        <v>74</v>
      </c>
      <c r="E1131" t="s">
        <v>48</v>
      </c>
      <c r="F1131" t="s">
        <v>113</v>
      </c>
      <c r="G1131">
        <v>3</v>
      </c>
      <c r="H1131" s="5">
        <v>2926.74</v>
      </c>
      <c r="I1131" s="4">
        <v>0</v>
      </c>
      <c r="J1131" s="5">
        <v>8780.2199999999993</v>
      </c>
      <c r="K1131" s="5">
        <v>7021.7</v>
      </c>
      <c r="L1131" s="5">
        <v>1758.52</v>
      </c>
      <c r="M1131" t="s">
        <v>57</v>
      </c>
      <c r="N1131" t="s">
        <v>43</v>
      </c>
      <c r="O1131" t="s">
        <v>44</v>
      </c>
    </row>
    <row r="1132" spans="1:15">
      <c r="A1132" t="s">
        <v>1676</v>
      </c>
      <c r="B1132" s="3">
        <v>45992</v>
      </c>
      <c r="C1132" t="s">
        <v>1677</v>
      </c>
      <c r="D1132" t="s">
        <v>74</v>
      </c>
      <c r="E1132" t="s">
        <v>48</v>
      </c>
      <c r="F1132" t="s">
        <v>49</v>
      </c>
      <c r="G1132">
        <v>1</v>
      </c>
      <c r="H1132" s="5">
        <v>3593.37</v>
      </c>
      <c r="I1132" s="4">
        <v>0.2</v>
      </c>
      <c r="J1132" s="5">
        <v>2874.7</v>
      </c>
      <c r="K1132" s="5">
        <v>1587.5</v>
      </c>
      <c r="L1132" s="5">
        <v>1287.2</v>
      </c>
      <c r="M1132" t="s">
        <v>35</v>
      </c>
      <c r="N1132" t="s">
        <v>71</v>
      </c>
      <c r="O1132" t="s">
        <v>44</v>
      </c>
    </row>
    <row r="1133" spans="1:15">
      <c r="A1133" t="s">
        <v>1678</v>
      </c>
      <c r="B1133" s="3">
        <v>46227</v>
      </c>
      <c r="C1133" t="s">
        <v>533</v>
      </c>
      <c r="D1133" t="s">
        <v>56</v>
      </c>
      <c r="E1133" t="s">
        <v>61</v>
      </c>
      <c r="F1133" t="s">
        <v>89</v>
      </c>
      <c r="G1133">
        <v>2</v>
      </c>
      <c r="H1133" s="5">
        <v>5185.42</v>
      </c>
      <c r="I1133" s="4">
        <v>0.1</v>
      </c>
      <c r="J1133" s="5">
        <v>9333.76</v>
      </c>
      <c r="K1133" s="5">
        <v>7478.61</v>
      </c>
      <c r="L1133" s="5">
        <v>1855.15</v>
      </c>
      <c r="M1133" t="s">
        <v>35</v>
      </c>
      <c r="N1133" t="s">
        <v>43</v>
      </c>
      <c r="O1133" t="s">
        <v>44</v>
      </c>
    </row>
    <row r="1134" spans="1:15">
      <c r="A1134" t="s">
        <v>1679</v>
      </c>
      <c r="B1134" s="3">
        <v>45865</v>
      </c>
      <c r="C1134" t="s">
        <v>1680</v>
      </c>
      <c r="D1134" t="s">
        <v>74</v>
      </c>
      <c r="E1134" t="s">
        <v>41</v>
      </c>
      <c r="F1134" t="s">
        <v>124</v>
      </c>
      <c r="G1134">
        <v>1</v>
      </c>
      <c r="H1134" s="5">
        <v>2845.8</v>
      </c>
      <c r="I1134" s="4">
        <v>0.1</v>
      </c>
      <c r="J1134" s="5">
        <v>2561.2199999999998</v>
      </c>
      <c r="K1134" s="5">
        <v>1505.42</v>
      </c>
      <c r="L1134" s="5">
        <v>1055.8</v>
      </c>
      <c r="M1134" t="s">
        <v>57</v>
      </c>
      <c r="N1134" t="s">
        <v>36</v>
      </c>
      <c r="O1134" t="s">
        <v>44</v>
      </c>
    </row>
    <row r="1135" spans="1:15">
      <c r="A1135" t="s">
        <v>1681</v>
      </c>
      <c r="B1135" s="3">
        <v>45690</v>
      </c>
      <c r="C1135" t="s">
        <v>661</v>
      </c>
      <c r="D1135" t="s">
        <v>60</v>
      </c>
      <c r="E1135" t="s">
        <v>48</v>
      </c>
      <c r="F1135" t="s">
        <v>102</v>
      </c>
      <c r="G1135">
        <v>3</v>
      </c>
      <c r="H1135" s="5">
        <v>184.76</v>
      </c>
      <c r="I1135" s="4">
        <v>0</v>
      </c>
      <c r="J1135" s="5">
        <v>554.28</v>
      </c>
      <c r="K1135" s="5">
        <v>450.91</v>
      </c>
      <c r="L1135" s="5">
        <v>103.37</v>
      </c>
      <c r="M1135" t="s">
        <v>35</v>
      </c>
      <c r="N1135" t="s">
        <v>63</v>
      </c>
      <c r="O1135" t="s">
        <v>44</v>
      </c>
    </row>
    <row r="1136" spans="1:15">
      <c r="A1136" t="s">
        <v>1682</v>
      </c>
      <c r="B1136" s="3">
        <v>46137</v>
      </c>
      <c r="C1136" t="s">
        <v>1267</v>
      </c>
      <c r="D1136" t="s">
        <v>52</v>
      </c>
      <c r="E1136" t="s">
        <v>33</v>
      </c>
      <c r="F1136" t="s">
        <v>67</v>
      </c>
      <c r="G1136">
        <v>5</v>
      </c>
      <c r="H1136" s="5">
        <v>734.08</v>
      </c>
      <c r="I1136" s="4">
        <v>0.1</v>
      </c>
      <c r="J1136" s="5">
        <v>3303.36</v>
      </c>
      <c r="K1136" s="5">
        <v>2497.15</v>
      </c>
      <c r="L1136" s="5">
        <v>806.21</v>
      </c>
      <c r="M1136" t="s">
        <v>35</v>
      </c>
      <c r="N1136" t="s">
        <v>43</v>
      </c>
      <c r="O1136" t="s">
        <v>44</v>
      </c>
    </row>
    <row r="1137" spans="1:15">
      <c r="A1137" t="s">
        <v>1683</v>
      </c>
      <c r="B1137" s="3">
        <v>45724</v>
      </c>
      <c r="C1137" t="s">
        <v>1016</v>
      </c>
      <c r="D1137" t="s">
        <v>134</v>
      </c>
      <c r="E1137" t="s">
        <v>33</v>
      </c>
      <c r="F1137" t="s">
        <v>34</v>
      </c>
      <c r="G1137">
        <v>4</v>
      </c>
      <c r="H1137" s="5">
        <v>1752.11</v>
      </c>
      <c r="I1137" s="4">
        <v>0</v>
      </c>
      <c r="J1137" s="5">
        <v>7008.44</v>
      </c>
      <c r="K1137" s="5">
        <v>5741.41</v>
      </c>
      <c r="L1137" s="5">
        <v>1267.03</v>
      </c>
      <c r="M1137" t="s">
        <v>57</v>
      </c>
      <c r="N1137" t="s">
        <v>43</v>
      </c>
      <c r="O1137" t="s">
        <v>37</v>
      </c>
    </row>
    <row r="1138" spans="1:15">
      <c r="A1138" t="s">
        <v>1684</v>
      </c>
      <c r="B1138" s="3">
        <v>45845</v>
      </c>
      <c r="C1138" t="s">
        <v>1592</v>
      </c>
      <c r="D1138" t="s">
        <v>47</v>
      </c>
      <c r="E1138" t="s">
        <v>33</v>
      </c>
      <c r="F1138" t="s">
        <v>92</v>
      </c>
      <c r="G1138">
        <v>6</v>
      </c>
      <c r="H1138" s="5">
        <v>4826.91</v>
      </c>
      <c r="I1138" s="4">
        <v>0.15</v>
      </c>
      <c r="J1138" s="5">
        <v>24617.24</v>
      </c>
      <c r="K1138" s="5">
        <v>20814.55</v>
      </c>
      <c r="L1138" s="5">
        <v>3802.69</v>
      </c>
      <c r="M1138" t="s">
        <v>35</v>
      </c>
      <c r="N1138" t="s">
        <v>63</v>
      </c>
      <c r="O1138" t="s">
        <v>44</v>
      </c>
    </row>
    <row r="1139" spans="1:15">
      <c r="A1139" t="s">
        <v>1685</v>
      </c>
      <c r="B1139" s="3">
        <v>45905</v>
      </c>
      <c r="C1139" t="s">
        <v>640</v>
      </c>
      <c r="D1139" t="s">
        <v>52</v>
      </c>
      <c r="E1139" t="s">
        <v>48</v>
      </c>
      <c r="F1139" t="s">
        <v>70</v>
      </c>
      <c r="G1139">
        <v>3</v>
      </c>
      <c r="H1139" s="5">
        <v>4283.04</v>
      </c>
      <c r="I1139" s="4">
        <v>0.1</v>
      </c>
      <c r="J1139" s="5">
        <v>11564.21</v>
      </c>
      <c r="K1139" s="5">
        <v>8069.71</v>
      </c>
      <c r="L1139" s="5">
        <v>3494.5</v>
      </c>
      <c r="M1139" t="s">
        <v>35</v>
      </c>
      <c r="N1139" t="s">
        <v>43</v>
      </c>
      <c r="O1139" t="s">
        <v>44</v>
      </c>
    </row>
    <row r="1140" spans="1:15">
      <c r="A1140" t="s">
        <v>1686</v>
      </c>
      <c r="B1140" s="3">
        <v>46212</v>
      </c>
      <c r="C1140" t="s">
        <v>1054</v>
      </c>
      <c r="D1140" t="s">
        <v>60</v>
      </c>
      <c r="E1140" t="s">
        <v>61</v>
      </c>
      <c r="F1140" t="s">
        <v>89</v>
      </c>
      <c r="G1140">
        <v>3</v>
      </c>
      <c r="H1140" s="5">
        <v>1860.97</v>
      </c>
      <c r="I1140" s="4">
        <v>0.05</v>
      </c>
      <c r="J1140" s="5">
        <v>5303.76</v>
      </c>
      <c r="K1140" s="5">
        <v>4474.38</v>
      </c>
      <c r="L1140" s="5">
        <v>829.38</v>
      </c>
      <c r="M1140" t="s">
        <v>57</v>
      </c>
      <c r="N1140" t="s">
        <v>36</v>
      </c>
      <c r="O1140" t="s">
        <v>44</v>
      </c>
    </row>
    <row r="1141" spans="1:15">
      <c r="A1141" t="s">
        <v>1687</v>
      </c>
      <c r="B1141" s="3">
        <v>45910</v>
      </c>
      <c r="C1141" t="s">
        <v>1002</v>
      </c>
      <c r="D1141" t="s">
        <v>47</v>
      </c>
      <c r="E1141" t="s">
        <v>61</v>
      </c>
      <c r="F1141" t="s">
        <v>89</v>
      </c>
      <c r="G1141">
        <v>6</v>
      </c>
      <c r="H1141" s="5">
        <v>2517.63</v>
      </c>
      <c r="I1141" s="4">
        <v>0.05</v>
      </c>
      <c r="J1141" s="5">
        <v>14350.49</v>
      </c>
      <c r="K1141" s="5">
        <v>11179.41</v>
      </c>
      <c r="L1141" s="5">
        <v>3171.08</v>
      </c>
      <c r="M1141" t="s">
        <v>35</v>
      </c>
      <c r="N1141" t="s">
        <v>63</v>
      </c>
      <c r="O1141" t="s">
        <v>37</v>
      </c>
    </row>
    <row r="1142" spans="1:15">
      <c r="A1142" t="s">
        <v>1688</v>
      </c>
      <c r="B1142" s="3">
        <v>46159</v>
      </c>
      <c r="C1142" t="s">
        <v>1201</v>
      </c>
      <c r="D1142" t="s">
        <v>74</v>
      </c>
      <c r="E1142" t="s">
        <v>61</v>
      </c>
      <c r="F1142" t="s">
        <v>84</v>
      </c>
      <c r="G1142">
        <v>6</v>
      </c>
      <c r="H1142" s="5">
        <v>3111.13</v>
      </c>
      <c r="I1142" s="4">
        <v>0.2</v>
      </c>
      <c r="J1142" s="5">
        <v>14933.42</v>
      </c>
      <c r="K1142" s="5">
        <v>11256.14</v>
      </c>
      <c r="L1142" s="5">
        <v>3677.28</v>
      </c>
      <c r="M1142" t="s">
        <v>35</v>
      </c>
      <c r="N1142" t="s">
        <v>36</v>
      </c>
      <c r="O1142" t="s">
        <v>44</v>
      </c>
    </row>
    <row r="1143" spans="1:15">
      <c r="A1143" t="s">
        <v>1689</v>
      </c>
      <c r="B1143" s="3">
        <v>45775</v>
      </c>
      <c r="C1143" t="s">
        <v>970</v>
      </c>
      <c r="D1143" t="s">
        <v>47</v>
      </c>
      <c r="E1143" t="s">
        <v>48</v>
      </c>
      <c r="F1143" t="s">
        <v>99</v>
      </c>
      <c r="G1143">
        <v>4</v>
      </c>
      <c r="H1143" s="5">
        <v>3588.66</v>
      </c>
      <c r="I1143" s="4">
        <v>0.1</v>
      </c>
      <c r="J1143" s="5">
        <v>12919.18</v>
      </c>
      <c r="K1143" s="5">
        <v>9073.73</v>
      </c>
      <c r="L1143" s="5">
        <v>3845.45</v>
      </c>
      <c r="M1143" t="s">
        <v>35</v>
      </c>
      <c r="N1143" t="s">
        <v>63</v>
      </c>
      <c r="O1143" t="s">
        <v>37</v>
      </c>
    </row>
    <row r="1144" spans="1:15">
      <c r="A1144" t="s">
        <v>1690</v>
      </c>
      <c r="B1144" s="3">
        <v>45990</v>
      </c>
      <c r="C1144" t="s">
        <v>461</v>
      </c>
      <c r="D1144" t="s">
        <v>74</v>
      </c>
      <c r="E1144" t="s">
        <v>61</v>
      </c>
      <c r="F1144" t="s">
        <v>81</v>
      </c>
      <c r="G1144">
        <v>4</v>
      </c>
      <c r="H1144" s="5">
        <v>1703.68</v>
      </c>
      <c r="I1144" s="4">
        <v>0.2</v>
      </c>
      <c r="J1144" s="5">
        <v>5451.78</v>
      </c>
      <c r="K1144" s="5">
        <v>3697.78</v>
      </c>
      <c r="L1144" s="5">
        <v>1754</v>
      </c>
      <c r="M1144" t="s">
        <v>57</v>
      </c>
      <c r="N1144" t="s">
        <v>71</v>
      </c>
      <c r="O1144" t="s">
        <v>37</v>
      </c>
    </row>
    <row r="1145" spans="1:15">
      <c r="A1145" t="s">
        <v>1691</v>
      </c>
      <c r="B1145" s="3">
        <v>45932</v>
      </c>
      <c r="C1145" t="s">
        <v>967</v>
      </c>
      <c r="D1145" t="s">
        <v>40</v>
      </c>
      <c r="E1145" t="s">
        <v>33</v>
      </c>
      <c r="F1145" t="s">
        <v>176</v>
      </c>
      <c r="G1145">
        <v>1</v>
      </c>
      <c r="H1145" s="5">
        <v>1253.29</v>
      </c>
      <c r="I1145" s="4">
        <v>0.2</v>
      </c>
      <c r="J1145" s="5">
        <v>1002.63</v>
      </c>
      <c r="K1145" s="5">
        <v>818.74</v>
      </c>
      <c r="L1145" s="5">
        <v>183.89</v>
      </c>
      <c r="M1145" t="s">
        <v>35</v>
      </c>
      <c r="N1145" t="s">
        <v>43</v>
      </c>
      <c r="O1145" t="s">
        <v>37</v>
      </c>
    </row>
    <row r="1146" spans="1:15">
      <c r="A1146" t="s">
        <v>1692</v>
      </c>
      <c r="B1146" s="3">
        <v>46050</v>
      </c>
      <c r="C1146" t="s">
        <v>897</v>
      </c>
      <c r="D1146" t="s">
        <v>52</v>
      </c>
      <c r="E1146" t="s">
        <v>41</v>
      </c>
      <c r="F1146" t="s">
        <v>153</v>
      </c>
      <c r="G1146">
        <v>4</v>
      </c>
      <c r="H1146" s="5">
        <v>3386.48</v>
      </c>
      <c r="I1146" s="4">
        <v>0</v>
      </c>
      <c r="J1146" s="5">
        <v>13545.92</v>
      </c>
      <c r="K1146" s="5">
        <v>10650.81</v>
      </c>
      <c r="L1146" s="5">
        <v>2895.11</v>
      </c>
      <c r="M1146" t="s">
        <v>57</v>
      </c>
      <c r="N1146" t="s">
        <v>71</v>
      </c>
      <c r="O1146" t="s">
        <v>37</v>
      </c>
    </row>
    <row r="1147" spans="1:15">
      <c r="A1147" t="s">
        <v>1693</v>
      </c>
      <c r="B1147" s="3">
        <v>45685</v>
      </c>
      <c r="C1147" t="s">
        <v>1243</v>
      </c>
      <c r="D1147" t="s">
        <v>66</v>
      </c>
      <c r="E1147" t="s">
        <v>61</v>
      </c>
      <c r="F1147" t="s">
        <v>129</v>
      </c>
      <c r="G1147">
        <v>6</v>
      </c>
      <c r="H1147" s="5">
        <v>1357.88</v>
      </c>
      <c r="I1147" s="4">
        <v>0</v>
      </c>
      <c r="J1147" s="5">
        <v>8147.28</v>
      </c>
      <c r="K1147" s="5">
        <v>6496.79</v>
      </c>
      <c r="L1147" s="5">
        <v>1650.49</v>
      </c>
      <c r="M1147" t="s">
        <v>35</v>
      </c>
      <c r="N1147" t="s">
        <v>71</v>
      </c>
      <c r="O1147" t="s">
        <v>44</v>
      </c>
    </row>
    <row r="1148" spans="1:15">
      <c r="A1148" t="s">
        <v>1694</v>
      </c>
      <c r="B1148" s="3">
        <v>45951</v>
      </c>
      <c r="C1148" t="s">
        <v>676</v>
      </c>
      <c r="D1148" t="s">
        <v>52</v>
      </c>
      <c r="E1148" t="s">
        <v>41</v>
      </c>
      <c r="F1148" t="s">
        <v>119</v>
      </c>
      <c r="G1148">
        <v>4</v>
      </c>
      <c r="H1148" s="5">
        <v>2843.35</v>
      </c>
      <c r="I1148" s="4">
        <v>0.1</v>
      </c>
      <c r="J1148" s="5">
        <v>10236.06</v>
      </c>
      <c r="K1148" s="5">
        <v>6818.92</v>
      </c>
      <c r="L1148" s="5">
        <v>3417.14</v>
      </c>
      <c r="M1148" t="s">
        <v>35</v>
      </c>
      <c r="N1148" t="s">
        <v>43</v>
      </c>
      <c r="O1148" t="s">
        <v>44</v>
      </c>
    </row>
    <row r="1149" spans="1:15">
      <c r="A1149" t="s">
        <v>1695</v>
      </c>
      <c r="B1149" s="3">
        <v>46129</v>
      </c>
      <c r="C1149" t="s">
        <v>166</v>
      </c>
      <c r="D1149" t="s">
        <v>32</v>
      </c>
      <c r="E1149" t="s">
        <v>41</v>
      </c>
      <c r="F1149" t="s">
        <v>119</v>
      </c>
      <c r="G1149">
        <v>5</v>
      </c>
      <c r="H1149" s="5">
        <v>1899.26</v>
      </c>
      <c r="I1149" s="4">
        <v>0.2</v>
      </c>
      <c r="J1149" s="5">
        <v>7597.04</v>
      </c>
      <c r="K1149" s="5">
        <v>5183.87</v>
      </c>
      <c r="L1149" s="5">
        <v>2413.17</v>
      </c>
      <c r="M1149" t="s">
        <v>57</v>
      </c>
      <c r="N1149" t="s">
        <v>71</v>
      </c>
      <c r="O1149" t="s">
        <v>44</v>
      </c>
    </row>
    <row r="1150" spans="1:15">
      <c r="A1150" t="s">
        <v>1696</v>
      </c>
      <c r="B1150" s="3">
        <v>45707</v>
      </c>
      <c r="C1150" t="s">
        <v>1127</v>
      </c>
      <c r="D1150" t="s">
        <v>52</v>
      </c>
      <c r="E1150" t="s">
        <v>41</v>
      </c>
      <c r="F1150" t="s">
        <v>153</v>
      </c>
      <c r="G1150">
        <v>2</v>
      </c>
      <c r="H1150" s="5">
        <v>4778.26</v>
      </c>
      <c r="I1150" s="4">
        <v>0.15</v>
      </c>
      <c r="J1150" s="5">
        <v>8123.04</v>
      </c>
      <c r="K1150" s="5">
        <v>5352.37</v>
      </c>
      <c r="L1150" s="5">
        <v>2770.67</v>
      </c>
      <c r="M1150" t="s">
        <v>35</v>
      </c>
      <c r="N1150" t="s">
        <v>43</v>
      </c>
      <c r="O1150" t="s">
        <v>44</v>
      </c>
    </row>
    <row r="1151" spans="1:15">
      <c r="A1151" t="s">
        <v>1697</v>
      </c>
      <c r="B1151" s="3">
        <v>45780</v>
      </c>
      <c r="C1151" t="s">
        <v>1368</v>
      </c>
      <c r="D1151" t="s">
        <v>66</v>
      </c>
      <c r="E1151" t="s">
        <v>48</v>
      </c>
      <c r="F1151" t="s">
        <v>49</v>
      </c>
      <c r="G1151">
        <v>6</v>
      </c>
      <c r="H1151" s="5">
        <v>4769.1000000000004</v>
      </c>
      <c r="I1151" s="4">
        <v>0.1</v>
      </c>
      <c r="J1151" s="5">
        <v>25753.14</v>
      </c>
      <c r="K1151" s="5">
        <v>15578.86</v>
      </c>
      <c r="L1151" s="5">
        <v>10174.280000000001</v>
      </c>
      <c r="M1151" t="s">
        <v>57</v>
      </c>
      <c r="N1151" t="s">
        <v>63</v>
      </c>
      <c r="O1151" t="s">
        <v>37</v>
      </c>
    </row>
    <row r="1152" spans="1:15">
      <c r="A1152" t="s">
        <v>1698</v>
      </c>
      <c r="B1152" s="3">
        <v>46265</v>
      </c>
      <c r="C1152" t="s">
        <v>648</v>
      </c>
      <c r="D1152" t="s">
        <v>56</v>
      </c>
      <c r="E1152" t="s">
        <v>33</v>
      </c>
      <c r="F1152" t="s">
        <v>92</v>
      </c>
      <c r="G1152">
        <v>1</v>
      </c>
      <c r="H1152" s="5">
        <v>4910</v>
      </c>
      <c r="I1152" s="4">
        <v>0.2</v>
      </c>
      <c r="J1152" s="5">
        <v>3928</v>
      </c>
      <c r="K1152" s="5">
        <v>2717.06</v>
      </c>
      <c r="L1152" s="5">
        <v>1210.94</v>
      </c>
      <c r="M1152" t="s">
        <v>57</v>
      </c>
      <c r="N1152" t="s">
        <v>71</v>
      </c>
      <c r="O1152" t="s">
        <v>44</v>
      </c>
    </row>
    <row r="1153" spans="1:15">
      <c r="A1153" t="s">
        <v>1699</v>
      </c>
      <c r="B1153" s="3">
        <v>45679</v>
      </c>
      <c r="C1153" t="s">
        <v>142</v>
      </c>
      <c r="D1153" t="s">
        <v>52</v>
      </c>
      <c r="E1153" t="s">
        <v>61</v>
      </c>
      <c r="F1153" t="s">
        <v>81</v>
      </c>
      <c r="G1153">
        <v>6</v>
      </c>
      <c r="H1153" s="5">
        <v>403.25</v>
      </c>
      <c r="I1153" s="4">
        <v>0.15</v>
      </c>
      <c r="J1153" s="5">
        <v>2056.5700000000002</v>
      </c>
      <c r="K1153" s="5">
        <v>1360.17</v>
      </c>
      <c r="L1153" s="5">
        <v>696.4</v>
      </c>
      <c r="M1153" t="s">
        <v>57</v>
      </c>
      <c r="N1153" t="s">
        <v>71</v>
      </c>
      <c r="O1153" t="s">
        <v>37</v>
      </c>
    </row>
    <row r="1154" spans="1:15">
      <c r="A1154" t="s">
        <v>1700</v>
      </c>
      <c r="B1154" s="3">
        <v>45821</v>
      </c>
      <c r="C1154" t="s">
        <v>1701</v>
      </c>
      <c r="D1154" t="s">
        <v>60</v>
      </c>
      <c r="E1154" t="s">
        <v>33</v>
      </c>
      <c r="F1154" t="s">
        <v>176</v>
      </c>
      <c r="G1154">
        <v>1</v>
      </c>
      <c r="H1154" s="5">
        <v>4467.75</v>
      </c>
      <c r="I1154" s="4">
        <v>0.2</v>
      </c>
      <c r="J1154" s="5">
        <v>3574.2</v>
      </c>
      <c r="K1154" s="5">
        <v>2517.8000000000002</v>
      </c>
      <c r="L1154" s="5">
        <v>1056.4000000000001</v>
      </c>
      <c r="M1154" t="s">
        <v>35</v>
      </c>
      <c r="N1154" t="s">
        <v>63</v>
      </c>
      <c r="O1154" t="s">
        <v>44</v>
      </c>
    </row>
    <row r="1155" spans="1:15">
      <c r="A1155" t="s">
        <v>1702</v>
      </c>
      <c r="B1155" s="3">
        <v>46212</v>
      </c>
      <c r="C1155" t="s">
        <v>412</v>
      </c>
      <c r="D1155" t="s">
        <v>52</v>
      </c>
      <c r="E1155" t="s">
        <v>48</v>
      </c>
      <c r="F1155" t="s">
        <v>113</v>
      </c>
      <c r="G1155">
        <v>1</v>
      </c>
      <c r="H1155" s="5">
        <v>3873.39</v>
      </c>
      <c r="I1155" s="4">
        <v>0.2</v>
      </c>
      <c r="J1155" s="5">
        <v>3098.71</v>
      </c>
      <c r="K1155" s="5">
        <v>2532.5700000000002</v>
      </c>
      <c r="L1155" s="5">
        <v>566.14</v>
      </c>
      <c r="M1155" t="s">
        <v>57</v>
      </c>
      <c r="N1155" t="s">
        <v>71</v>
      </c>
      <c r="O1155" t="s">
        <v>44</v>
      </c>
    </row>
    <row r="1156" spans="1:15">
      <c r="A1156" t="s">
        <v>1703</v>
      </c>
      <c r="B1156" s="3">
        <v>45760</v>
      </c>
      <c r="C1156" t="s">
        <v>161</v>
      </c>
      <c r="D1156" t="s">
        <v>56</v>
      </c>
      <c r="E1156" t="s">
        <v>41</v>
      </c>
      <c r="F1156" t="s">
        <v>153</v>
      </c>
      <c r="G1156">
        <v>4</v>
      </c>
      <c r="H1156" s="5">
        <v>2241.15</v>
      </c>
      <c r="I1156" s="4">
        <v>0</v>
      </c>
      <c r="J1156" s="5">
        <v>8964.6</v>
      </c>
      <c r="K1156" s="5">
        <v>6457.41</v>
      </c>
      <c r="L1156" s="5">
        <v>2507.19</v>
      </c>
      <c r="M1156" t="s">
        <v>57</v>
      </c>
      <c r="N1156" t="s">
        <v>63</v>
      </c>
      <c r="O1156" t="s">
        <v>37</v>
      </c>
    </row>
    <row r="1157" spans="1:15">
      <c r="A1157" t="s">
        <v>1704</v>
      </c>
      <c r="B1157" s="3">
        <v>46064</v>
      </c>
      <c r="C1157" t="s">
        <v>768</v>
      </c>
      <c r="D1157" t="s">
        <v>47</v>
      </c>
      <c r="E1157" t="s">
        <v>48</v>
      </c>
      <c r="F1157" t="s">
        <v>70</v>
      </c>
      <c r="G1157">
        <v>4</v>
      </c>
      <c r="H1157" s="5">
        <v>1883.71</v>
      </c>
      <c r="I1157" s="4">
        <v>0.2</v>
      </c>
      <c r="J1157" s="5">
        <v>6027.87</v>
      </c>
      <c r="K1157" s="5">
        <v>4075.05</v>
      </c>
      <c r="L1157" s="5">
        <v>1952.82</v>
      </c>
      <c r="M1157" t="s">
        <v>57</v>
      </c>
      <c r="N1157" t="s">
        <v>36</v>
      </c>
      <c r="O1157" t="s">
        <v>37</v>
      </c>
    </row>
    <row r="1158" spans="1:15">
      <c r="A1158" t="s">
        <v>1705</v>
      </c>
      <c r="B1158" s="3">
        <v>46215</v>
      </c>
      <c r="C1158" t="s">
        <v>824</v>
      </c>
      <c r="D1158" t="s">
        <v>47</v>
      </c>
      <c r="E1158" t="s">
        <v>61</v>
      </c>
      <c r="F1158" t="s">
        <v>81</v>
      </c>
      <c r="G1158">
        <v>2</v>
      </c>
      <c r="H1158" s="5">
        <v>5434.11</v>
      </c>
      <c r="I1158" s="4">
        <v>0.15</v>
      </c>
      <c r="J1158" s="5">
        <v>9237.99</v>
      </c>
      <c r="K1158" s="5">
        <v>6533.09</v>
      </c>
      <c r="L1158" s="5">
        <v>2704.9</v>
      </c>
      <c r="M1158" t="s">
        <v>57</v>
      </c>
      <c r="N1158" t="s">
        <v>71</v>
      </c>
      <c r="O1158" t="s">
        <v>44</v>
      </c>
    </row>
    <row r="1159" spans="1:15">
      <c r="A1159" t="s">
        <v>1706</v>
      </c>
      <c r="B1159" s="3">
        <v>45905</v>
      </c>
      <c r="C1159" t="s">
        <v>1573</v>
      </c>
      <c r="D1159" t="s">
        <v>66</v>
      </c>
      <c r="E1159" t="s">
        <v>33</v>
      </c>
      <c r="F1159" t="s">
        <v>34</v>
      </c>
      <c r="G1159">
        <v>2</v>
      </c>
      <c r="H1159" s="5">
        <v>255.16</v>
      </c>
      <c r="I1159" s="4">
        <v>0.1</v>
      </c>
      <c r="J1159" s="5">
        <v>459.29</v>
      </c>
      <c r="K1159" s="5">
        <v>302.82</v>
      </c>
      <c r="L1159" s="5">
        <v>156.47</v>
      </c>
      <c r="M1159" t="s">
        <v>35</v>
      </c>
      <c r="N1159" t="s">
        <v>36</v>
      </c>
      <c r="O1159" t="s">
        <v>44</v>
      </c>
    </row>
    <row r="1160" spans="1:15">
      <c r="A1160" t="s">
        <v>1707</v>
      </c>
      <c r="B1160" s="3">
        <v>45983</v>
      </c>
      <c r="C1160" t="s">
        <v>731</v>
      </c>
      <c r="D1160" t="s">
        <v>47</v>
      </c>
      <c r="E1160" t="s">
        <v>41</v>
      </c>
      <c r="F1160" t="s">
        <v>42</v>
      </c>
      <c r="G1160">
        <v>6</v>
      </c>
      <c r="H1160" s="5">
        <v>218.02</v>
      </c>
      <c r="I1160" s="4">
        <v>0</v>
      </c>
      <c r="J1160" s="5">
        <v>1308.1199999999999</v>
      </c>
      <c r="K1160" s="5">
        <v>928.71</v>
      </c>
      <c r="L1160" s="5">
        <v>379.41</v>
      </c>
      <c r="M1160" t="s">
        <v>57</v>
      </c>
      <c r="N1160" t="s">
        <v>36</v>
      </c>
      <c r="O1160" t="s">
        <v>44</v>
      </c>
    </row>
    <row r="1161" spans="1:15">
      <c r="A1161" t="s">
        <v>1708</v>
      </c>
      <c r="B1161" s="3">
        <v>45704</v>
      </c>
      <c r="C1161" t="s">
        <v>318</v>
      </c>
      <c r="D1161" t="s">
        <v>52</v>
      </c>
      <c r="E1161" t="s">
        <v>48</v>
      </c>
      <c r="F1161" t="s">
        <v>113</v>
      </c>
      <c r="G1161">
        <v>2</v>
      </c>
      <c r="H1161" s="5">
        <v>416.17</v>
      </c>
      <c r="I1161" s="4">
        <v>0.2</v>
      </c>
      <c r="J1161" s="5">
        <v>665.87</v>
      </c>
      <c r="K1161" s="5">
        <v>467.19</v>
      </c>
      <c r="L1161" s="5">
        <v>198.68</v>
      </c>
      <c r="M1161" t="s">
        <v>57</v>
      </c>
      <c r="N1161" t="s">
        <v>36</v>
      </c>
      <c r="O1161" t="s">
        <v>44</v>
      </c>
    </row>
    <row r="1162" spans="1:15">
      <c r="A1162" t="s">
        <v>1709</v>
      </c>
      <c r="B1162" s="3">
        <v>45904</v>
      </c>
      <c r="C1162" t="s">
        <v>1710</v>
      </c>
      <c r="D1162" t="s">
        <v>47</v>
      </c>
      <c r="E1162" t="s">
        <v>33</v>
      </c>
      <c r="F1162" t="s">
        <v>176</v>
      </c>
      <c r="G1162">
        <v>6</v>
      </c>
      <c r="H1162" s="5">
        <v>736.11</v>
      </c>
      <c r="I1162" s="4">
        <v>0.2</v>
      </c>
      <c r="J1162" s="5">
        <v>3533.33</v>
      </c>
      <c r="K1162" s="5">
        <v>2377.29</v>
      </c>
      <c r="L1162" s="5">
        <v>1156.04</v>
      </c>
      <c r="M1162" t="s">
        <v>57</v>
      </c>
      <c r="N1162" t="s">
        <v>63</v>
      </c>
      <c r="O1162" t="s">
        <v>44</v>
      </c>
    </row>
    <row r="1163" spans="1:15">
      <c r="A1163" t="s">
        <v>1711</v>
      </c>
      <c r="B1163" s="3">
        <v>46251</v>
      </c>
      <c r="C1163" t="s">
        <v>833</v>
      </c>
      <c r="D1163" t="s">
        <v>40</v>
      </c>
      <c r="E1163" t="s">
        <v>33</v>
      </c>
      <c r="F1163" t="s">
        <v>67</v>
      </c>
      <c r="G1163">
        <v>2</v>
      </c>
      <c r="H1163" s="5">
        <v>2066.08</v>
      </c>
      <c r="I1163" s="4">
        <v>0</v>
      </c>
      <c r="J1163" s="5">
        <v>4132.16</v>
      </c>
      <c r="K1163" s="5">
        <v>2457.62</v>
      </c>
      <c r="L1163" s="5">
        <v>1674.54</v>
      </c>
      <c r="M1163" t="s">
        <v>35</v>
      </c>
      <c r="N1163" t="s">
        <v>43</v>
      </c>
      <c r="O1163" t="s">
        <v>44</v>
      </c>
    </row>
    <row r="1164" spans="1:15">
      <c r="A1164" t="s">
        <v>1712</v>
      </c>
      <c r="B1164" s="3">
        <v>46205</v>
      </c>
      <c r="C1164" t="s">
        <v>829</v>
      </c>
      <c r="D1164" t="s">
        <v>52</v>
      </c>
      <c r="E1164" t="s">
        <v>41</v>
      </c>
      <c r="F1164" t="s">
        <v>124</v>
      </c>
      <c r="G1164">
        <v>2</v>
      </c>
      <c r="H1164" s="5">
        <v>2097.44</v>
      </c>
      <c r="I1164" s="4">
        <v>0</v>
      </c>
      <c r="J1164" s="5">
        <v>4194.88</v>
      </c>
      <c r="K1164" s="5">
        <v>3561.05</v>
      </c>
      <c r="L1164" s="5">
        <v>633.83000000000004</v>
      </c>
      <c r="M1164" t="s">
        <v>57</v>
      </c>
      <c r="N1164" t="s">
        <v>43</v>
      </c>
      <c r="O1164" t="s">
        <v>44</v>
      </c>
    </row>
    <row r="1165" spans="1:15">
      <c r="A1165" t="s">
        <v>1713</v>
      </c>
      <c r="B1165" s="3">
        <v>45873</v>
      </c>
      <c r="C1165" t="s">
        <v>148</v>
      </c>
      <c r="D1165" t="s">
        <v>66</v>
      </c>
      <c r="E1165" t="s">
        <v>41</v>
      </c>
      <c r="F1165" t="s">
        <v>42</v>
      </c>
      <c r="G1165">
        <v>3</v>
      </c>
      <c r="H1165" s="5">
        <v>5429.23</v>
      </c>
      <c r="I1165" s="4">
        <v>0</v>
      </c>
      <c r="J1165" s="5">
        <v>16287.69</v>
      </c>
      <c r="K1165" s="5">
        <v>12819.83</v>
      </c>
      <c r="L1165" s="5">
        <v>3467.86</v>
      </c>
      <c r="M1165" t="s">
        <v>35</v>
      </c>
      <c r="N1165" t="s">
        <v>71</v>
      </c>
      <c r="O1165" t="s">
        <v>44</v>
      </c>
    </row>
    <row r="1166" spans="1:15">
      <c r="A1166" t="s">
        <v>1714</v>
      </c>
      <c r="B1166" s="3">
        <v>45841</v>
      </c>
      <c r="C1166" t="s">
        <v>941</v>
      </c>
      <c r="D1166" t="s">
        <v>1715</v>
      </c>
      <c r="E1166" t="s">
        <v>33</v>
      </c>
      <c r="F1166" t="s">
        <v>176</v>
      </c>
      <c r="G1166">
        <v>5</v>
      </c>
      <c r="H1166" s="5">
        <v>1991.63</v>
      </c>
      <c r="I1166" s="4">
        <v>0.1</v>
      </c>
      <c r="J1166" s="5">
        <v>8962.34</v>
      </c>
      <c r="K1166" s="5">
        <v>5069.8</v>
      </c>
      <c r="L1166" s="5">
        <v>3892.54</v>
      </c>
      <c r="M1166" t="s">
        <v>35</v>
      </c>
      <c r="N1166" t="s">
        <v>36</v>
      </c>
      <c r="O1166" t="s">
        <v>44</v>
      </c>
    </row>
    <row r="1167" spans="1:15">
      <c r="A1167" t="s">
        <v>1716</v>
      </c>
      <c r="B1167" s="3">
        <v>46063</v>
      </c>
      <c r="C1167" t="s">
        <v>734</v>
      </c>
      <c r="D1167" t="s">
        <v>52</v>
      </c>
      <c r="E1167" t="s">
        <v>61</v>
      </c>
      <c r="F1167" t="s">
        <v>89</v>
      </c>
      <c r="G1167">
        <v>2</v>
      </c>
      <c r="H1167" s="5">
        <v>4304.55</v>
      </c>
      <c r="I1167" s="4">
        <v>0.1</v>
      </c>
      <c r="J1167" s="5">
        <v>7748.19</v>
      </c>
      <c r="K1167" s="5">
        <v>5301.71</v>
      </c>
      <c r="L1167" s="5">
        <v>2446.48</v>
      </c>
      <c r="M1167" t="s">
        <v>57</v>
      </c>
      <c r="N1167" t="s">
        <v>63</v>
      </c>
      <c r="O1167" t="s">
        <v>44</v>
      </c>
    </row>
    <row r="1168" spans="1:15">
      <c r="A1168" t="s">
        <v>1717</v>
      </c>
      <c r="B1168" s="3">
        <v>46079</v>
      </c>
      <c r="C1168" t="s">
        <v>1718</v>
      </c>
      <c r="D1168" t="s">
        <v>134</v>
      </c>
      <c r="E1168" t="s">
        <v>33</v>
      </c>
      <c r="F1168" t="s">
        <v>92</v>
      </c>
      <c r="G1168">
        <v>5</v>
      </c>
      <c r="H1168" s="5">
        <v>2026.86</v>
      </c>
      <c r="I1168" s="4">
        <v>0.1</v>
      </c>
      <c r="J1168" s="5">
        <v>9120.8700000000008</v>
      </c>
      <c r="K1168" s="5">
        <v>5528.78</v>
      </c>
      <c r="L1168" s="5">
        <v>3592.09</v>
      </c>
      <c r="M1168" t="s">
        <v>35</v>
      </c>
      <c r="N1168" t="s">
        <v>36</v>
      </c>
      <c r="O1168" t="s">
        <v>44</v>
      </c>
    </row>
    <row r="1169" spans="1:15">
      <c r="A1169" t="s">
        <v>1719</v>
      </c>
      <c r="B1169" s="3">
        <v>45733</v>
      </c>
      <c r="C1169" t="s">
        <v>1270</v>
      </c>
      <c r="D1169" t="s">
        <v>56</v>
      </c>
      <c r="E1169" t="s">
        <v>41</v>
      </c>
      <c r="F1169" t="s">
        <v>124</v>
      </c>
      <c r="G1169">
        <v>1</v>
      </c>
      <c r="H1169" s="5">
        <v>1445.61</v>
      </c>
      <c r="I1169" s="4">
        <v>0.1</v>
      </c>
      <c r="J1169" s="5">
        <v>1301.05</v>
      </c>
      <c r="K1169" s="5">
        <v>1040.83</v>
      </c>
      <c r="L1169" s="5">
        <v>260.22000000000003</v>
      </c>
      <c r="M1169" t="s">
        <v>57</v>
      </c>
      <c r="N1169" t="s">
        <v>71</v>
      </c>
      <c r="O1169" t="s">
        <v>37</v>
      </c>
    </row>
    <row r="1170" spans="1:15">
      <c r="A1170" t="s">
        <v>1720</v>
      </c>
      <c r="B1170" s="3">
        <v>46205</v>
      </c>
      <c r="C1170" t="s">
        <v>502</v>
      </c>
      <c r="D1170" t="s">
        <v>95</v>
      </c>
      <c r="E1170" t="s">
        <v>61</v>
      </c>
      <c r="F1170" t="s">
        <v>84</v>
      </c>
      <c r="G1170">
        <v>6</v>
      </c>
      <c r="H1170" s="5">
        <v>918.1</v>
      </c>
      <c r="I1170" s="4">
        <v>0</v>
      </c>
      <c r="J1170" s="5">
        <v>5508.6</v>
      </c>
      <c r="K1170" s="5">
        <v>3399.79</v>
      </c>
      <c r="L1170" s="5">
        <v>2108.81</v>
      </c>
      <c r="M1170" t="s">
        <v>35</v>
      </c>
      <c r="N1170" t="s">
        <v>36</v>
      </c>
      <c r="O1170" t="s">
        <v>37</v>
      </c>
    </row>
    <row r="1171" spans="1:15">
      <c r="A1171" t="s">
        <v>1721</v>
      </c>
      <c r="B1171" s="3">
        <v>45971</v>
      </c>
      <c r="C1171" t="s">
        <v>437</v>
      </c>
      <c r="D1171" t="s">
        <v>95</v>
      </c>
      <c r="E1171" t="s">
        <v>33</v>
      </c>
      <c r="F1171" t="s">
        <v>96</v>
      </c>
      <c r="G1171">
        <v>1</v>
      </c>
      <c r="H1171" s="5">
        <v>4625.0200000000004</v>
      </c>
      <c r="I1171" s="4">
        <v>0.15</v>
      </c>
      <c r="J1171" s="5">
        <v>3931.27</v>
      </c>
      <c r="K1171" s="5">
        <v>3010.55</v>
      </c>
      <c r="L1171" s="5">
        <v>920.72</v>
      </c>
      <c r="M1171" t="s">
        <v>57</v>
      </c>
      <c r="N1171" t="s">
        <v>43</v>
      </c>
      <c r="O1171" t="s">
        <v>44</v>
      </c>
    </row>
    <row r="1172" spans="1:15">
      <c r="A1172" t="s">
        <v>1722</v>
      </c>
      <c r="B1172" s="3">
        <v>45870</v>
      </c>
      <c r="C1172" t="s">
        <v>741</v>
      </c>
      <c r="D1172" t="s">
        <v>95</v>
      </c>
      <c r="E1172" t="s">
        <v>33</v>
      </c>
      <c r="F1172" t="s">
        <v>92</v>
      </c>
      <c r="G1172">
        <v>6</v>
      </c>
      <c r="H1172" s="5">
        <v>5246.86</v>
      </c>
      <c r="I1172" s="4">
        <v>0.2</v>
      </c>
      <c r="J1172" s="5">
        <v>25184.93</v>
      </c>
      <c r="K1172" s="5">
        <v>13875.34</v>
      </c>
      <c r="L1172" s="5">
        <v>11309.59</v>
      </c>
      <c r="M1172" t="s">
        <v>57</v>
      </c>
      <c r="N1172" t="s">
        <v>43</v>
      </c>
      <c r="O1172" t="s">
        <v>44</v>
      </c>
    </row>
    <row r="1173" spans="1:15">
      <c r="A1173" t="s">
        <v>1723</v>
      </c>
      <c r="B1173" s="3">
        <v>46165</v>
      </c>
      <c r="C1173" t="s">
        <v>1389</v>
      </c>
      <c r="D1173" t="s">
        <v>66</v>
      </c>
      <c r="E1173" t="s">
        <v>48</v>
      </c>
      <c r="F1173" t="s">
        <v>49</v>
      </c>
      <c r="G1173">
        <v>4</v>
      </c>
      <c r="H1173" s="5">
        <v>835.75</v>
      </c>
      <c r="I1173" s="4">
        <v>0.1</v>
      </c>
      <c r="J1173" s="5">
        <v>3008.7</v>
      </c>
      <c r="K1173" s="5">
        <v>1777.33</v>
      </c>
      <c r="L1173" s="5">
        <v>1231.3699999999999</v>
      </c>
      <c r="M1173" t="s">
        <v>57</v>
      </c>
      <c r="N1173" t="s">
        <v>36</v>
      </c>
      <c r="O1173" t="s">
        <v>44</v>
      </c>
    </row>
    <row r="1174" spans="1:15">
      <c r="A1174" t="s">
        <v>1724</v>
      </c>
      <c r="B1174" s="3">
        <v>45996</v>
      </c>
      <c r="C1174" t="s">
        <v>1725</v>
      </c>
      <c r="D1174" t="s">
        <v>134</v>
      </c>
      <c r="E1174" t="s">
        <v>33</v>
      </c>
      <c r="F1174" t="s">
        <v>96</v>
      </c>
      <c r="G1174">
        <v>2</v>
      </c>
      <c r="H1174" s="5">
        <v>4852.3900000000003</v>
      </c>
      <c r="I1174" s="4">
        <v>0.05</v>
      </c>
      <c r="J1174" s="5">
        <v>9219.5400000000009</v>
      </c>
      <c r="K1174" s="5">
        <v>7542.06</v>
      </c>
      <c r="L1174" s="5">
        <v>1677.48</v>
      </c>
      <c r="M1174" t="s">
        <v>35</v>
      </c>
      <c r="N1174" t="s">
        <v>36</v>
      </c>
      <c r="O1174" t="s">
        <v>44</v>
      </c>
    </row>
    <row r="1175" spans="1:15">
      <c r="A1175" t="s">
        <v>1726</v>
      </c>
      <c r="B1175" s="3">
        <v>45827</v>
      </c>
      <c r="C1175" t="s">
        <v>815</v>
      </c>
      <c r="D1175" t="s">
        <v>95</v>
      </c>
      <c r="E1175" t="s">
        <v>41</v>
      </c>
      <c r="F1175" t="s">
        <v>42</v>
      </c>
      <c r="G1175">
        <v>1</v>
      </c>
      <c r="H1175" s="5">
        <v>1711.42</v>
      </c>
      <c r="I1175" s="4">
        <v>0</v>
      </c>
      <c r="J1175" s="5">
        <v>1711.42</v>
      </c>
      <c r="K1175" s="5">
        <v>1406.83</v>
      </c>
      <c r="L1175" s="5">
        <v>304.58999999999997</v>
      </c>
      <c r="M1175" t="s">
        <v>35</v>
      </c>
      <c r="N1175" t="s">
        <v>71</v>
      </c>
      <c r="O1175" t="s">
        <v>44</v>
      </c>
    </row>
    <row r="1176" spans="1:15">
      <c r="A1176" t="s">
        <v>1727</v>
      </c>
      <c r="B1176" s="3">
        <v>45718</v>
      </c>
      <c r="C1176" t="s">
        <v>1412</v>
      </c>
      <c r="D1176" t="s">
        <v>47</v>
      </c>
      <c r="E1176" t="s">
        <v>61</v>
      </c>
      <c r="F1176" t="s">
        <v>89</v>
      </c>
      <c r="G1176">
        <v>3</v>
      </c>
      <c r="H1176" s="5">
        <v>3014.27</v>
      </c>
      <c r="I1176" s="4">
        <v>0.1</v>
      </c>
      <c r="J1176" s="5">
        <v>8138.53</v>
      </c>
      <c r="K1176" s="5">
        <v>6139.78</v>
      </c>
      <c r="L1176" s="5">
        <v>1998.75</v>
      </c>
      <c r="M1176" t="s">
        <v>35</v>
      </c>
      <c r="N1176" t="s">
        <v>71</v>
      </c>
      <c r="O1176" t="s">
        <v>44</v>
      </c>
    </row>
    <row r="1177" spans="1:15">
      <c r="A1177" t="s">
        <v>1728</v>
      </c>
      <c r="B1177" s="3">
        <v>45784</v>
      </c>
      <c r="C1177" t="s">
        <v>590</v>
      </c>
      <c r="D1177" t="s">
        <v>60</v>
      </c>
      <c r="E1177" t="s">
        <v>33</v>
      </c>
      <c r="F1177" t="s">
        <v>96</v>
      </c>
      <c r="G1177">
        <v>5</v>
      </c>
      <c r="H1177" s="5">
        <v>1870.52</v>
      </c>
      <c r="I1177" s="4">
        <v>0.1</v>
      </c>
      <c r="J1177" s="5">
        <v>8417.34</v>
      </c>
      <c r="K1177" s="5">
        <v>6658.5</v>
      </c>
      <c r="L1177" s="5">
        <v>1758.84</v>
      </c>
      <c r="M1177" t="s">
        <v>35</v>
      </c>
      <c r="N1177" t="s">
        <v>63</v>
      </c>
      <c r="O1177" t="s">
        <v>37</v>
      </c>
    </row>
    <row r="1178" spans="1:15">
      <c r="A1178" t="s">
        <v>1729</v>
      </c>
      <c r="B1178" s="3">
        <v>45679</v>
      </c>
      <c r="C1178" t="s">
        <v>729</v>
      </c>
      <c r="D1178" t="s">
        <v>60</v>
      </c>
      <c r="E1178" t="s">
        <v>61</v>
      </c>
      <c r="F1178" t="s">
        <v>62</v>
      </c>
      <c r="G1178">
        <v>4</v>
      </c>
      <c r="H1178" s="5">
        <v>814.37</v>
      </c>
      <c r="I1178" s="4">
        <v>0.15</v>
      </c>
      <c r="J1178" s="5">
        <v>2768.86</v>
      </c>
      <c r="K1178" s="5">
        <v>2220.39</v>
      </c>
      <c r="L1178" s="5">
        <v>548.47</v>
      </c>
      <c r="M1178" t="s">
        <v>35</v>
      </c>
      <c r="N1178" t="s">
        <v>43</v>
      </c>
      <c r="O1178" t="s">
        <v>44</v>
      </c>
    </row>
    <row r="1179" spans="1:15">
      <c r="A1179" t="s">
        <v>1730</v>
      </c>
      <c r="B1179" s="3">
        <v>46225</v>
      </c>
      <c r="C1179" t="s">
        <v>1731</v>
      </c>
      <c r="D1179" t="s">
        <v>60</v>
      </c>
      <c r="E1179" t="s">
        <v>48</v>
      </c>
      <c r="F1179" t="s">
        <v>102</v>
      </c>
      <c r="G1179">
        <v>1</v>
      </c>
      <c r="H1179" s="5">
        <v>4721.9399999999996</v>
      </c>
      <c r="I1179" s="4">
        <v>0.1</v>
      </c>
      <c r="J1179" s="5">
        <v>4249.75</v>
      </c>
      <c r="K1179" s="5">
        <v>3161.02</v>
      </c>
      <c r="L1179" s="5">
        <v>1088.73</v>
      </c>
      <c r="M1179" t="s">
        <v>57</v>
      </c>
      <c r="N1179" t="s">
        <v>63</v>
      </c>
      <c r="O1179" t="s">
        <v>44</v>
      </c>
    </row>
    <row r="1180" spans="1:15">
      <c r="A1180" t="s">
        <v>1732</v>
      </c>
      <c r="B1180" s="3">
        <v>45849</v>
      </c>
      <c r="C1180" t="s">
        <v>762</v>
      </c>
      <c r="D1180" t="s">
        <v>74</v>
      </c>
      <c r="E1180" t="s">
        <v>41</v>
      </c>
      <c r="F1180" t="s">
        <v>119</v>
      </c>
      <c r="G1180">
        <v>4</v>
      </c>
      <c r="H1180" s="5">
        <v>5292.23</v>
      </c>
      <c r="I1180" s="4">
        <v>0.1</v>
      </c>
      <c r="J1180" s="5">
        <v>19052.03</v>
      </c>
      <c r="K1180" s="5">
        <v>12600.98</v>
      </c>
      <c r="L1180" s="5">
        <v>6451.05</v>
      </c>
      <c r="M1180" t="s">
        <v>57</v>
      </c>
      <c r="N1180" t="s">
        <v>71</v>
      </c>
      <c r="O1180" t="s">
        <v>44</v>
      </c>
    </row>
    <row r="1181" spans="1:15">
      <c r="A1181" t="s">
        <v>1733</v>
      </c>
      <c r="B1181" s="3">
        <v>46241</v>
      </c>
      <c r="C1181" t="s">
        <v>304</v>
      </c>
      <c r="D1181" t="s">
        <v>60</v>
      </c>
      <c r="E1181" t="s">
        <v>41</v>
      </c>
      <c r="F1181" t="s">
        <v>42</v>
      </c>
      <c r="G1181">
        <v>4</v>
      </c>
      <c r="H1181" s="5">
        <v>4179.8999999999996</v>
      </c>
      <c r="I1181" s="4">
        <v>0.05</v>
      </c>
      <c r="J1181" s="5">
        <v>15883.62</v>
      </c>
      <c r="K1181" s="5">
        <v>11241.91</v>
      </c>
      <c r="L1181" s="5">
        <v>4641.71</v>
      </c>
      <c r="M1181" t="s">
        <v>57</v>
      </c>
      <c r="N1181" t="s">
        <v>36</v>
      </c>
      <c r="O1181" t="s">
        <v>44</v>
      </c>
    </row>
    <row r="1182" spans="1:15">
      <c r="A1182" t="s">
        <v>1734</v>
      </c>
      <c r="B1182" s="3">
        <v>45809</v>
      </c>
      <c r="C1182" t="s">
        <v>762</v>
      </c>
      <c r="D1182" t="s">
        <v>40</v>
      </c>
      <c r="E1182" t="s">
        <v>48</v>
      </c>
      <c r="F1182" t="s">
        <v>113</v>
      </c>
      <c r="G1182">
        <v>1</v>
      </c>
      <c r="H1182" s="5">
        <v>4192.8999999999996</v>
      </c>
      <c r="I1182" s="4">
        <v>0.1</v>
      </c>
      <c r="J1182" s="5">
        <v>3773.61</v>
      </c>
      <c r="K1182" s="5">
        <v>2922.51</v>
      </c>
      <c r="L1182" s="5">
        <v>851.1</v>
      </c>
      <c r="M1182" t="s">
        <v>35</v>
      </c>
      <c r="N1182" t="s">
        <v>36</v>
      </c>
      <c r="O1182" t="s">
        <v>44</v>
      </c>
    </row>
    <row r="1183" spans="1:15">
      <c r="A1183" t="s">
        <v>1735</v>
      </c>
      <c r="B1183" s="3">
        <v>45818</v>
      </c>
      <c r="C1183" t="s">
        <v>533</v>
      </c>
      <c r="D1183" t="s">
        <v>47</v>
      </c>
      <c r="E1183" t="s">
        <v>48</v>
      </c>
      <c r="F1183" t="s">
        <v>99</v>
      </c>
      <c r="G1183">
        <v>3</v>
      </c>
      <c r="H1183" s="5">
        <v>1319.2</v>
      </c>
      <c r="I1183" s="4">
        <v>0</v>
      </c>
      <c r="J1183" s="5">
        <v>3957.6</v>
      </c>
      <c r="K1183" s="5">
        <v>2518.75</v>
      </c>
      <c r="L1183" s="5">
        <v>1438.85</v>
      </c>
      <c r="M1183" t="s">
        <v>57</v>
      </c>
      <c r="N1183" t="s">
        <v>63</v>
      </c>
      <c r="O1183" t="s">
        <v>44</v>
      </c>
    </row>
    <row r="1184" spans="1:15">
      <c r="A1184" t="s">
        <v>1736</v>
      </c>
      <c r="B1184" s="3">
        <v>45907</v>
      </c>
      <c r="C1184" t="s">
        <v>577</v>
      </c>
      <c r="D1184" t="s">
        <v>60</v>
      </c>
      <c r="E1184" t="s">
        <v>61</v>
      </c>
      <c r="F1184" t="s">
        <v>81</v>
      </c>
      <c r="G1184">
        <v>5</v>
      </c>
      <c r="H1184" s="5">
        <v>1808.84</v>
      </c>
      <c r="I1184" s="4">
        <v>0</v>
      </c>
      <c r="J1184" s="5">
        <v>9044.2000000000007</v>
      </c>
      <c r="K1184" s="5">
        <v>7492.64</v>
      </c>
      <c r="L1184" s="5">
        <v>1551.56</v>
      </c>
      <c r="M1184" t="s">
        <v>57</v>
      </c>
      <c r="N1184" t="s">
        <v>43</v>
      </c>
      <c r="O1184" t="s">
        <v>44</v>
      </c>
    </row>
    <row r="1185" spans="1:15">
      <c r="A1185" t="s">
        <v>1737</v>
      </c>
      <c r="B1185" s="3">
        <v>45753</v>
      </c>
      <c r="C1185" t="s">
        <v>1738</v>
      </c>
      <c r="D1185" t="s">
        <v>134</v>
      </c>
      <c r="E1185" t="s">
        <v>48</v>
      </c>
      <c r="F1185" t="s">
        <v>70</v>
      </c>
      <c r="G1185">
        <v>6</v>
      </c>
      <c r="H1185" s="5">
        <v>2526.2800000000002</v>
      </c>
      <c r="I1185" s="4">
        <v>0.05</v>
      </c>
      <c r="J1185" s="5">
        <v>14399.8</v>
      </c>
      <c r="K1185" s="5">
        <v>10776.87</v>
      </c>
      <c r="L1185" s="5">
        <v>3622.93</v>
      </c>
      <c r="M1185" t="s">
        <v>35</v>
      </c>
      <c r="N1185" t="s">
        <v>36</v>
      </c>
      <c r="O1185" t="s">
        <v>37</v>
      </c>
    </row>
    <row r="1186" spans="1:15">
      <c r="A1186" t="s">
        <v>1739</v>
      </c>
      <c r="B1186" s="3">
        <v>45685</v>
      </c>
      <c r="C1186" t="s">
        <v>901</v>
      </c>
      <c r="D1186" t="s">
        <v>32</v>
      </c>
      <c r="E1186" t="s">
        <v>41</v>
      </c>
      <c r="F1186" t="s">
        <v>124</v>
      </c>
      <c r="G1186">
        <v>4</v>
      </c>
      <c r="H1186" s="5">
        <v>696.18</v>
      </c>
      <c r="I1186" s="4">
        <v>0.05</v>
      </c>
      <c r="J1186" s="5">
        <v>2645.48</v>
      </c>
      <c r="K1186" s="5">
        <v>1633.57</v>
      </c>
      <c r="L1186" s="5">
        <v>1011.91</v>
      </c>
      <c r="M1186" t="s">
        <v>57</v>
      </c>
      <c r="N1186" t="s">
        <v>43</v>
      </c>
      <c r="O1186" t="s">
        <v>44</v>
      </c>
    </row>
    <row r="1187" spans="1:15">
      <c r="A1187" t="s">
        <v>1740</v>
      </c>
      <c r="B1187" s="3">
        <v>46028</v>
      </c>
      <c r="C1187" t="s">
        <v>1741</v>
      </c>
      <c r="D1187" t="s">
        <v>52</v>
      </c>
      <c r="E1187" t="s">
        <v>61</v>
      </c>
      <c r="F1187" t="s">
        <v>129</v>
      </c>
      <c r="G1187">
        <v>6</v>
      </c>
      <c r="H1187" s="5">
        <v>5043.12</v>
      </c>
      <c r="I1187" s="4">
        <v>0</v>
      </c>
      <c r="J1187" s="5">
        <v>30258.720000000001</v>
      </c>
      <c r="K1187" s="5">
        <v>24382.42</v>
      </c>
      <c r="L1187" s="5">
        <v>5876.3</v>
      </c>
      <c r="M1187" t="s">
        <v>57</v>
      </c>
      <c r="N1187" t="s">
        <v>63</v>
      </c>
      <c r="O1187" t="s">
        <v>44</v>
      </c>
    </row>
    <row r="1188" spans="1:15">
      <c r="A1188" t="s">
        <v>1742</v>
      </c>
      <c r="B1188" s="3">
        <v>46025</v>
      </c>
      <c r="C1188" t="s">
        <v>1195</v>
      </c>
      <c r="D1188" t="s">
        <v>60</v>
      </c>
      <c r="E1188" t="s">
        <v>41</v>
      </c>
      <c r="F1188" t="s">
        <v>153</v>
      </c>
      <c r="G1188">
        <v>6</v>
      </c>
      <c r="H1188" s="5">
        <v>2528.75</v>
      </c>
      <c r="I1188" s="4">
        <v>0.1</v>
      </c>
      <c r="J1188" s="5">
        <v>13655.25</v>
      </c>
      <c r="K1188" s="5">
        <v>11233.34</v>
      </c>
      <c r="L1188" s="5">
        <v>2421.91</v>
      </c>
      <c r="M1188" t="s">
        <v>57</v>
      </c>
      <c r="N1188" t="s">
        <v>63</v>
      </c>
      <c r="O1188" t="s">
        <v>44</v>
      </c>
    </row>
    <row r="1189" spans="1:15">
      <c r="A1189" t="s">
        <v>1743</v>
      </c>
      <c r="B1189" s="3">
        <v>46154</v>
      </c>
      <c r="C1189" t="s">
        <v>288</v>
      </c>
      <c r="D1189" t="s">
        <v>32</v>
      </c>
      <c r="E1189" t="s">
        <v>41</v>
      </c>
      <c r="F1189" t="s">
        <v>153</v>
      </c>
      <c r="G1189">
        <v>4</v>
      </c>
      <c r="H1189" s="5">
        <v>2047.43</v>
      </c>
      <c r="I1189" s="4">
        <v>0</v>
      </c>
      <c r="J1189" s="5">
        <v>8189.72</v>
      </c>
      <c r="K1189" s="5">
        <v>6499.85</v>
      </c>
      <c r="L1189" s="5">
        <v>1689.87</v>
      </c>
      <c r="M1189" t="s">
        <v>57</v>
      </c>
      <c r="N1189" t="s">
        <v>43</v>
      </c>
      <c r="O1189" t="s">
        <v>44</v>
      </c>
    </row>
    <row r="1190" spans="1:15">
      <c r="A1190" t="s">
        <v>1744</v>
      </c>
      <c r="B1190" s="3">
        <v>45789</v>
      </c>
      <c r="C1190" t="s">
        <v>138</v>
      </c>
      <c r="D1190" t="s">
        <v>40</v>
      </c>
      <c r="E1190" t="s">
        <v>41</v>
      </c>
      <c r="F1190" t="s">
        <v>119</v>
      </c>
      <c r="G1190">
        <v>4</v>
      </c>
      <c r="H1190" s="5">
        <v>730.84</v>
      </c>
      <c r="I1190" s="4">
        <v>0</v>
      </c>
      <c r="J1190" s="5">
        <v>2923.36</v>
      </c>
      <c r="K1190" s="5">
        <v>2138.41</v>
      </c>
      <c r="L1190" s="5">
        <v>784.95</v>
      </c>
      <c r="M1190" t="s">
        <v>35</v>
      </c>
      <c r="N1190" t="s">
        <v>63</v>
      </c>
      <c r="O1190" t="s">
        <v>44</v>
      </c>
    </row>
    <row r="1191" spans="1:15">
      <c r="A1191" t="s">
        <v>1745</v>
      </c>
      <c r="B1191" s="3">
        <v>46076</v>
      </c>
      <c r="C1191" t="s">
        <v>1187</v>
      </c>
      <c r="D1191" t="s">
        <v>95</v>
      </c>
      <c r="E1191" t="s">
        <v>33</v>
      </c>
      <c r="F1191" t="s">
        <v>96</v>
      </c>
      <c r="G1191">
        <v>1</v>
      </c>
      <c r="H1191" s="5">
        <v>1017.77</v>
      </c>
      <c r="I1191" s="4">
        <v>0.1</v>
      </c>
      <c r="J1191" s="5">
        <v>915.99</v>
      </c>
      <c r="K1191" s="5">
        <v>505.31</v>
      </c>
      <c r="L1191" s="5">
        <v>410.68</v>
      </c>
      <c r="M1191" t="s">
        <v>35</v>
      </c>
      <c r="N1191" t="s">
        <v>36</v>
      </c>
      <c r="O1191" t="s">
        <v>44</v>
      </c>
    </row>
    <row r="1192" spans="1:15">
      <c r="A1192" t="s">
        <v>1746</v>
      </c>
      <c r="B1192" s="3">
        <v>45714</v>
      </c>
      <c r="C1192" t="s">
        <v>978</v>
      </c>
      <c r="D1192" t="s">
        <v>66</v>
      </c>
      <c r="E1192" t="s">
        <v>33</v>
      </c>
      <c r="F1192" t="s">
        <v>176</v>
      </c>
      <c r="G1192">
        <v>3</v>
      </c>
      <c r="H1192" s="5">
        <v>1774.92</v>
      </c>
      <c r="I1192" s="4">
        <v>0.15</v>
      </c>
      <c r="J1192" s="5">
        <v>4526.05</v>
      </c>
      <c r="K1192" s="5">
        <v>2516.6999999999998</v>
      </c>
      <c r="L1192" s="5">
        <v>2009.35</v>
      </c>
      <c r="M1192" t="s">
        <v>35</v>
      </c>
      <c r="N1192" t="s">
        <v>43</v>
      </c>
      <c r="O1192" t="s">
        <v>44</v>
      </c>
    </row>
    <row r="1193" spans="1:15">
      <c r="A1193" t="s">
        <v>1747</v>
      </c>
      <c r="B1193" s="3">
        <v>45810</v>
      </c>
      <c r="C1193" t="s">
        <v>98</v>
      </c>
      <c r="D1193" t="s">
        <v>47</v>
      </c>
      <c r="E1193" t="s">
        <v>61</v>
      </c>
      <c r="F1193" t="s">
        <v>62</v>
      </c>
      <c r="G1193">
        <v>6</v>
      </c>
      <c r="H1193" s="5">
        <v>1815.43</v>
      </c>
      <c r="I1193" s="4">
        <v>0</v>
      </c>
      <c r="J1193" s="5">
        <v>10892.58</v>
      </c>
      <c r="K1193" s="5">
        <v>7334.27</v>
      </c>
      <c r="L1193" s="5">
        <v>3558.31</v>
      </c>
      <c r="M1193" t="s">
        <v>35</v>
      </c>
      <c r="N1193" t="s">
        <v>43</v>
      </c>
      <c r="O1193" t="s">
        <v>44</v>
      </c>
    </row>
    <row r="1194" spans="1:15">
      <c r="A1194" t="s">
        <v>1748</v>
      </c>
      <c r="B1194" s="3">
        <v>45847</v>
      </c>
      <c r="C1194" t="s">
        <v>640</v>
      </c>
      <c r="D1194" t="s">
        <v>74</v>
      </c>
      <c r="E1194" t="s">
        <v>41</v>
      </c>
      <c r="F1194" t="s">
        <v>42</v>
      </c>
      <c r="G1194">
        <v>1</v>
      </c>
      <c r="H1194" s="5">
        <v>4714.75</v>
      </c>
      <c r="I1194" s="4">
        <v>0.1</v>
      </c>
      <c r="J1194" s="5">
        <v>4243.28</v>
      </c>
      <c r="K1194" s="5">
        <v>2951.95</v>
      </c>
      <c r="L1194" s="5">
        <v>1291.33</v>
      </c>
      <c r="M1194" t="s">
        <v>35</v>
      </c>
      <c r="N1194" t="s">
        <v>36</v>
      </c>
      <c r="O1194" t="s">
        <v>44</v>
      </c>
    </row>
    <row r="1195" spans="1:15">
      <c r="A1195" t="s">
        <v>1749</v>
      </c>
      <c r="B1195" s="3">
        <v>46232</v>
      </c>
      <c r="C1195" t="s">
        <v>401</v>
      </c>
      <c r="D1195" t="s">
        <v>134</v>
      </c>
      <c r="E1195" t="s">
        <v>61</v>
      </c>
      <c r="F1195" t="s">
        <v>89</v>
      </c>
      <c r="G1195">
        <v>1</v>
      </c>
      <c r="H1195" s="5">
        <v>2681.19</v>
      </c>
      <c r="I1195" s="4">
        <v>0.2</v>
      </c>
      <c r="J1195" s="5">
        <v>2144.9499999999998</v>
      </c>
      <c r="K1195" s="5">
        <v>1778.01</v>
      </c>
      <c r="L1195" s="5">
        <v>366.94</v>
      </c>
      <c r="M1195" t="s">
        <v>35</v>
      </c>
      <c r="N1195" t="s">
        <v>71</v>
      </c>
      <c r="O1195" t="s">
        <v>37</v>
      </c>
    </row>
    <row r="1196" spans="1:15">
      <c r="A1196" t="s">
        <v>1750</v>
      </c>
      <c r="B1196" s="3">
        <v>46159</v>
      </c>
      <c r="C1196" t="s">
        <v>150</v>
      </c>
      <c r="E1196" t="s">
        <v>61</v>
      </c>
      <c r="F1196" t="s">
        <v>62</v>
      </c>
      <c r="G1196">
        <v>4</v>
      </c>
      <c r="H1196" s="5">
        <v>5156.7299999999996</v>
      </c>
      <c r="I1196" s="4">
        <v>0.05</v>
      </c>
      <c r="J1196" s="5">
        <v>19595.57</v>
      </c>
      <c r="K1196" s="5">
        <v>14879.11</v>
      </c>
      <c r="L1196" s="5">
        <v>4716.46</v>
      </c>
      <c r="M1196" t="s">
        <v>57</v>
      </c>
      <c r="N1196" t="s">
        <v>63</v>
      </c>
      <c r="O1196" t="s">
        <v>44</v>
      </c>
    </row>
    <row r="1197" spans="1:15">
      <c r="A1197" t="s">
        <v>1751</v>
      </c>
      <c r="B1197" s="3">
        <v>46096</v>
      </c>
      <c r="C1197" t="s">
        <v>1752</v>
      </c>
      <c r="D1197" t="s">
        <v>47</v>
      </c>
      <c r="E1197" t="s">
        <v>41</v>
      </c>
      <c r="F1197" t="s">
        <v>119</v>
      </c>
      <c r="G1197">
        <v>5</v>
      </c>
      <c r="H1197" s="5">
        <v>2580.52</v>
      </c>
      <c r="I1197" s="4">
        <v>0</v>
      </c>
      <c r="J1197" s="5">
        <v>12902.6</v>
      </c>
      <c r="K1197" s="5">
        <v>10896.2</v>
      </c>
      <c r="L1197" s="5">
        <v>2006.4</v>
      </c>
      <c r="M1197" t="s">
        <v>35</v>
      </c>
      <c r="N1197" t="s">
        <v>63</v>
      </c>
      <c r="O1197" t="s">
        <v>37</v>
      </c>
    </row>
    <row r="1198" spans="1:15">
      <c r="A1198" t="s">
        <v>1753</v>
      </c>
      <c r="B1198" s="3">
        <v>46144</v>
      </c>
      <c r="C1198" t="s">
        <v>127</v>
      </c>
      <c r="D1198" t="s">
        <v>47</v>
      </c>
      <c r="E1198" t="s">
        <v>33</v>
      </c>
      <c r="F1198" t="s">
        <v>176</v>
      </c>
      <c r="G1198">
        <v>3</v>
      </c>
      <c r="H1198" s="5">
        <v>1746.82</v>
      </c>
      <c r="I1198" s="4">
        <v>0</v>
      </c>
      <c r="J1198" s="5">
        <v>5240.46</v>
      </c>
      <c r="K1198" s="5">
        <v>3893.96</v>
      </c>
      <c r="L1198" s="5">
        <v>1346.5</v>
      </c>
      <c r="M1198" t="s">
        <v>35</v>
      </c>
      <c r="N1198" t="s">
        <v>71</v>
      </c>
      <c r="O1198" t="s">
        <v>37</v>
      </c>
    </row>
    <row r="1199" spans="1:15">
      <c r="A1199" t="s">
        <v>1754</v>
      </c>
      <c r="B1199" s="3">
        <v>45856</v>
      </c>
      <c r="C1199" t="s">
        <v>232</v>
      </c>
      <c r="D1199" t="s">
        <v>47</v>
      </c>
      <c r="E1199" t="s">
        <v>61</v>
      </c>
      <c r="F1199" t="s">
        <v>62</v>
      </c>
      <c r="G1199">
        <v>3</v>
      </c>
      <c r="H1199" s="5">
        <v>456.92</v>
      </c>
      <c r="I1199" s="4">
        <v>0.2</v>
      </c>
      <c r="J1199" s="5">
        <v>1096.6099999999999</v>
      </c>
      <c r="K1199" s="5">
        <v>812.99</v>
      </c>
      <c r="L1199" s="5">
        <v>283.62</v>
      </c>
      <c r="M1199" t="s">
        <v>57</v>
      </c>
      <c r="N1199" t="s">
        <v>71</v>
      </c>
      <c r="O1199" t="s">
        <v>44</v>
      </c>
    </row>
    <row r="1200" spans="1:15">
      <c r="A1200" t="s">
        <v>1755</v>
      </c>
      <c r="B1200" s="3">
        <v>45963</v>
      </c>
      <c r="C1200" t="s">
        <v>175</v>
      </c>
      <c r="D1200" t="s">
        <v>56</v>
      </c>
      <c r="E1200" t="s">
        <v>61</v>
      </c>
      <c r="F1200" t="s">
        <v>89</v>
      </c>
      <c r="G1200">
        <v>2</v>
      </c>
      <c r="H1200" s="5">
        <v>3361.76</v>
      </c>
      <c r="I1200" s="4">
        <v>0</v>
      </c>
      <c r="J1200" s="5">
        <v>6723.52</v>
      </c>
      <c r="K1200" s="5">
        <v>5676.17</v>
      </c>
      <c r="L1200" s="5">
        <v>1047.3499999999999</v>
      </c>
      <c r="M1200" t="s">
        <v>57</v>
      </c>
      <c r="N1200" t="s">
        <v>71</v>
      </c>
      <c r="O1200" t="s">
        <v>44</v>
      </c>
    </row>
    <row r="1201" spans="1:15">
      <c r="A1201" t="s">
        <v>1756</v>
      </c>
      <c r="B1201" s="3">
        <v>46026</v>
      </c>
      <c r="C1201" t="s">
        <v>1757</v>
      </c>
      <c r="D1201" t="s">
        <v>66</v>
      </c>
      <c r="E1201" t="s">
        <v>61</v>
      </c>
      <c r="F1201" t="s">
        <v>84</v>
      </c>
      <c r="G1201">
        <v>2</v>
      </c>
      <c r="H1201" s="5">
        <v>1300.6500000000001</v>
      </c>
      <c r="I1201" s="4">
        <v>0</v>
      </c>
      <c r="J1201" s="5">
        <v>2601.3000000000002</v>
      </c>
      <c r="K1201" s="5">
        <v>2070.52</v>
      </c>
      <c r="L1201" s="5">
        <v>530.78</v>
      </c>
      <c r="M1201" t="s">
        <v>57</v>
      </c>
      <c r="N1201" t="s">
        <v>63</v>
      </c>
      <c r="O1201" t="s">
        <v>44</v>
      </c>
    </row>
    <row r="1202" spans="1:15">
      <c r="A1202" t="s">
        <v>116</v>
      </c>
      <c r="B1202" s="3">
        <v>45760</v>
      </c>
      <c r="C1202" t="s">
        <v>117</v>
      </c>
      <c r="D1202" t="s">
        <v>40</v>
      </c>
      <c r="E1202" t="s">
        <v>41</v>
      </c>
      <c r="F1202" t="s">
        <v>42</v>
      </c>
      <c r="G1202">
        <v>6</v>
      </c>
      <c r="H1202" s="5">
        <v>3579.33</v>
      </c>
      <c r="I1202" s="4">
        <v>0</v>
      </c>
      <c r="J1202" s="5">
        <v>21475.98</v>
      </c>
      <c r="K1202" s="5">
        <v>15043.22</v>
      </c>
      <c r="L1202" s="5">
        <v>6432.76</v>
      </c>
      <c r="M1202" t="s">
        <v>35</v>
      </c>
      <c r="N1202" t="s">
        <v>71</v>
      </c>
      <c r="O1202" t="s">
        <v>44</v>
      </c>
    </row>
    <row r="1203" spans="1:15">
      <c r="A1203" t="s">
        <v>434</v>
      </c>
      <c r="B1203" s="3">
        <v>46213</v>
      </c>
      <c r="C1203" t="s">
        <v>435</v>
      </c>
      <c r="D1203" t="s">
        <v>60</v>
      </c>
      <c r="E1203" t="s">
        <v>48</v>
      </c>
      <c r="F1203" t="s">
        <v>99</v>
      </c>
      <c r="G1203">
        <v>3</v>
      </c>
      <c r="H1203" s="5">
        <v>4084.56</v>
      </c>
      <c r="I1203" s="4">
        <v>0.1</v>
      </c>
      <c r="J1203" s="5">
        <v>11028.31</v>
      </c>
      <c r="K1203" s="5">
        <v>8133.67</v>
      </c>
      <c r="L1203" s="5">
        <v>2894.64</v>
      </c>
      <c r="M1203" t="s">
        <v>57</v>
      </c>
      <c r="N1203" t="s">
        <v>63</v>
      </c>
      <c r="O1203" t="s">
        <v>44</v>
      </c>
    </row>
    <row r="1204" spans="1:15">
      <c r="A1204" t="s">
        <v>765</v>
      </c>
      <c r="B1204" s="3">
        <v>46245</v>
      </c>
      <c r="C1204" t="s">
        <v>766</v>
      </c>
      <c r="D1204" t="s">
        <v>47</v>
      </c>
      <c r="E1204" t="s">
        <v>48</v>
      </c>
      <c r="F1204" t="s">
        <v>49</v>
      </c>
      <c r="G1204">
        <v>6</v>
      </c>
      <c r="H1204" s="5">
        <v>4323.59</v>
      </c>
      <c r="I1204" s="4">
        <v>0.1</v>
      </c>
      <c r="J1204" s="5">
        <v>23347.39</v>
      </c>
      <c r="K1204" s="5">
        <v>19017.59</v>
      </c>
      <c r="L1204" s="5">
        <v>4329.8</v>
      </c>
      <c r="M1204" t="s">
        <v>35</v>
      </c>
      <c r="N1204" t="s">
        <v>43</v>
      </c>
      <c r="O1204" t="s">
        <v>44</v>
      </c>
    </row>
    <row r="1205" spans="1:15">
      <c r="A1205" t="s">
        <v>1102</v>
      </c>
      <c r="B1205" s="3">
        <v>45818</v>
      </c>
      <c r="C1205" t="s">
        <v>1103</v>
      </c>
      <c r="D1205" t="s">
        <v>74</v>
      </c>
      <c r="E1205" t="s">
        <v>33</v>
      </c>
      <c r="F1205" t="s">
        <v>34</v>
      </c>
      <c r="G1205">
        <v>6</v>
      </c>
      <c r="H1205" s="5">
        <v>5039.68</v>
      </c>
      <c r="I1205" s="4">
        <v>0.15</v>
      </c>
      <c r="J1205" s="5">
        <v>25702.37</v>
      </c>
      <c r="K1205" s="5">
        <v>21201.24</v>
      </c>
      <c r="L1205" s="5">
        <v>4501.13</v>
      </c>
      <c r="M1205" t="s">
        <v>57</v>
      </c>
      <c r="N1205" t="s">
        <v>63</v>
      </c>
      <c r="O1205" t="s">
        <v>44</v>
      </c>
    </row>
    <row r="1206" spans="1:15">
      <c r="A1206" t="s">
        <v>1522</v>
      </c>
      <c r="B1206" s="3">
        <v>46101</v>
      </c>
      <c r="C1206" t="s">
        <v>493</v>
      </c>
      <c r="D1206" t="s">
        <v>95</v>
      </c>
      <c r="E1206" t="s">
        <v>48</v>
      </c>
      <c r="F1206" t="s">
        <v>99</v>
      </c>
      <c r="G1206">
        <v>4</v>
      </c>
      <c r="H1206" s="5">
        <v>1977.42</v>
      </c>
      <c r="I1206" s="4">
        <v>0.1</v>
      </c>
      <c r="J1206" s="5">
        <v>7118.71</v>
      </c>
      <c r="K1206" s="5">
        <v>5574.67</v>
      </c>
      <c r="L1206" s="5">
        <v>1544.04</v>
      </c>
      <c r="M1206" t="s">
        <v>57</v>
      </c>
      <c r="N1206" t="s">
        <v>63</v>
      </c>
      <c r="O1206"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4457D-22E7-412E-A51F-733FAA501176}">
  <dimension ref="A1:R1201"/>
  <sheetViews>
    <sheetView showGridLines="0" topLeftCell="A24" zoomScale="96" zoomScaleNormal="96" workbookViewId="0">
      <selection activeCell="S1" sqref="S1:XFD1048576"/>
    </sheetView>
  </sheetViews>
  <sheetFormatPr defaultColWidth="0" defaultRowHeight="14.25" zeroHeight="1"/>
  <cols>
    <col min="1" max="1" width="13" style="12" bestFit="1" customWidth="1"/>
    <col min="2" max="2" width="15.25" style="12" bestFit="1" customWidth="1"/>
    <col min="3" max="3" width="16.375" style="12" bestFit="1" customWidth="1"/>
    <col min="4" max="4" width="9.625" style="12" bestFit="1" customWidth="1"/>
    <col min="5" max="5" width="12.875" style="12" bestFit="1" customWidth="1"/>
    <col min="6" max="6" width="11.875" style="12" bestFit="1" customWidth="1"/>
    <col min="7" max="7" width="12.25" style="12" bestFit="1" customWidth="1"/>
    <col min="8" max="8" width="10.375" style="19" bestFit="1" customWidth="1"/>
    <col min="9" max="9" width="16.625" style="12" bestFit="1" customWidth="1"/>
    <col min="10" max="12" width="10.375" style="19" bestFit="1" customWidth="1"/>
    <col min="13" max="13" width="12.25" style="12" bestFit="1" customWidth="1"/>
    <col min="14" max="14" width="18.5" style="12" bestFit="1" customWidth="1"/>
    <col min="15" max="15" width="13.25" style="12" bestFit="1" customWidth="1"/>
    <col min="16" max="16" width="16.75" style="12" bestFit="1" customWidth="1"/>
    <col min="17" max="17" width="15.25" style="12" bestFit="1" customWidth="1"/>
    <col min="18" max="18" width="15.75" style="13" bestFit="1" customWidth="1"/>
    <col min="19" max="16384" width="9" style="12" hidden="1"/>
  </cols>
  <sheetData>
    <row r="1" spans="1:18" ht="15">
      <c r="A1" s="1" t="s">
        <v>15</v>
      </c>
      <c r="B1" s="1" t="s">
        <v>16</v>
      </c>
      <c r="C1" s="1" t="s">
        <v>17</v>
      </c>
      <c r="D1" s="1" t="s">
        <v>18</v>
      </c>
      <c r="E1" s="1" t="s">
        <v>19</v>
      </c>
      <c r="F1" s="1" t="s">
        <v>20</v>
      </c>
      <c r="G1" s="1" t="s">
        <v>21</v>
      </c>
      <c r="H1" s="17" t="s">
        <v>22</v>
      </c>
      <c r="I1" s="1" t="s">
        <v>23</v>
      </c>
      <c r="J1" s="17" t="s">
        <v>24</v>
      </c>
      <c r="K1" s="17" t="s">
        <v>25</v>
      </c>
      <c r="L1" s="17" t="s">
        <v>26</v>
      </c>
      <c r="M1" s="1" t="s">
        <v>27</v>
      </c>
      <c r="N1" s="1" t="s">
        <v>28</v>
      </c>
      <c r="O1" s="1" t="s">
        <v>29</v>
      </c>
      <c r="P1" s="6" t="s">
        <v>1759</v>
      </c>
      <c r="Q1" s="6" t="s">
        <v>1760</v>
      </c>
      <c r="R1" s="10" t="s">
        <v>1761</v>
      </c>
    </row>
    <row r="2" spans="1:18">
      <c r="A2" s="7" t="s">
        <v>1653</v>
      </c>
      <c r="B2" s="8">
        <v>46103</v>
      </c>
      <c r="C2" s="7" t="s">
        <v>1219</v>
      </c>
      <c r="D2" s="7" t="s">
        <v>56</v>
      </c>
      <c r="E2" s="7" t="s">
        <v>61</v>
      </c>
      <c r="F2" s="7" t="s">
        <v>129</v>
      </c>
      <c r="G2" s="7">
        <v>4</v>
      </c>
      <c r="H2" s="18">
        <v>156.19999999999999</v>
      </c>
      <c r="I2" s="22">
        <v>0.15</v>
      </c>
      <c r="J2" s="18">
        <v>531.08000000000004</v>
      </c>
      <c r="K2" s="18">
        <v>414.3</v>
      </c>
      <c r="L2" s="18">
        <v>116.78</v>
      </c>
      <c r="M2" s="7" t="s">
        <v>57</v>
      </c>
      <c r="N2" s="7" t="s">
        <v>36</v>
      </c>
      <c r="O2" s="7" t="s">
        <v>37</v>
      </c>
      <c r="P2" s="9" t="str">
        <f>TEXT(B2,"mmm")</f>
        <v>Mar</v>
      </c>
      <c r="Q2" s="7">
        <f t="shared" ref="Q2:Q65" si="0">YEAR(B2)</f>
        <v>2026</v>
      </c>
      <c r="R2" s="23">
        <f t="shared" ref="R2:R65" si="1">IFERROR(L2/J2,0)</f>
        <v>0.21989154176395267</v>
      </c>
    </row>
    <row r="3" spans="1:18">
      <c r="A3" s="7" t="s">
        <v>996</v>
      </c>
      <c r="B3" s="8">
        <v>45697</v>
      </c>
      <c r="C3" s="7" t="s">
        <v>634</v>
      </c>
      <c r="D3" s="7" t="s">
        <v>134</v>
      </c>
      <c r="E3" s="7" t="s">
        <v>61</v>
      </c>
      <c r="F3" s="7" t="s">
        <v>62</v>
      </c>
      <c r="G3" s="7">
        <v>6</v>
      </c>
      <c r="H3" s="18">
        <v>156.94</v>
      </c>
      <c r="I3" s="22">
        <v>0.1</v>
      </c>
      <c r="J3" s="18">
        <v>847.48</v>
      </c>
      <c r="K3" s="18">
        <v>584.29</v>
      </c>
      <c r="L3" s="18">
        <v>263.19</v>
      </c>
      <c r="M3" s="7" t="s">
        <v>57</v>
      </c>
      <c r="N3" s="7" t="s">
        <v>43</v>
      </c>
      <c r="O3" s="7" t="s">
        <v>37</v>
      </c>
      <c r="P3" s="7" t="str">
        <f t="shared" ref="P3:P65" si="2">TEXT(B3,"mmm")</f>
        <v>Feb</v>
      </c>
      <c r="Q3" s="7">
        <f t="shared" si="0"/>
        <v>2025</v>
      </c>
      <c r="R3" s="23">
        <f t="shared" si="1"/>
        <v>0.31055600132156508</v>
      </c>
    </row>
    <row r="4" spans="1:18">
      <c r="A4" s="7" t="s">
        <v>1367</v>
      </c>
      <c r="B4" s="8">
        <v>46210</v>
      </c>
      <c r="C4" s="7" t="s">
        <v>1368</v>
      </c>
      <c r="D4" s="7" t="s">
        <v>47</v>
      </c>
      <c r="E4" s="7" t="s">
        <v>33</v>
      </c>
      <c r="F4" s="7" t="s">
        <v>34</v>
      </c>
      <c r="G4" s="7">
        <v>5</v>
      </c>
      <c r="H4" s="18">
        <v>157.91999999999999</v>
      </c>
      <c r="I4" s="22">
        <v>0.15</v>
      </c>
      <c r="J4" s="18">
        <v>671.16</v>
      </c>
      <c r="K4" s="18">
        <v>561.67999999999995</v>
      </c>
      <c r="L4" s="18">
        <v>109.48</v>
      </c>
      <c r="M4" s="7" t="s">
        <v>35</v>
      </c>
      <c r="N4" s="7" t="s">
        <v>71</v>
      </c>
      <c r="O4" s="7" t="s">
        <v>44</v>
      </c>
      <c r="P4" s="7" t="str">
        <f t="shared" si="2"/>
        <v>Jul</v>
      </c>
      <c r="Q4" s="7">
        <f t="shared" si="0"/>
        <v>2026</v>
      </c>
      <c r="R4" s="23">
        <f t="shared" si="1"/>
        <v>0.16312056737588654</v>
      </c>
    </row>
    <row r="5" spans="1:18">
      <c r="A5" s="7" t="s">
        <v>944</v>
      </c>
      <c r="B5" s="8">
        <v>45985</v>
      </c>
      <c r="C5" s="7" t="s">
        <v>894</v>
      </c>
      <c r="D5" s="7" t="s">
        <v>47</v>
      </c>
      <c r="E5" s="7" t="s">
        <v>48</v>
      </c>
      <c r="F5" s="7" t="s">
        <v>102</v>
      </c>
      <c r="G5" s="7">
        <v>5</v>
      </c>
      <c r="H5" s="18">
        <v>165.05</v>
      </c>
      <c r="I5" s="22">
        <v>0.15</v>
      </c>
      <c r="J5" s="18">
        <v>701.46</v>
      </c>
      <c r="K5" s="18">
        <v>590.42999999999995</v>
      </c>
      <c r="L5" s="18">
        <v>111.03</v>
      </c>
      <c r="M5" s="7" t="s">
        <v>35</v>
      </c>
      <c r="N5" s="7" t="s">
        <v>36</v>
      </c>
      <c r="O5" s="7" t="s">
        <v>37</v>
      </c>
      <c r="P5" s="7" t="str">
        <f t="shared" si="2"/>
        <v>Nov</v>
      </c>
      <c r="Q5" s="7">
        <f t="shared" si="0"/>
        <v>2025</v>
      </c>
      <c r="R5" s="23">
        <f t="shared" si="1"/>
        <v>0.1582841502010093</v>
      </c>
    </row>
    <row r="6" spans="1:18">
      <c r="A6" s="7" t="s">
        <v>1271</v>
      </c>
      <c r="B6" s="8">
        <v>45727</v>
      </c>
      <c r="C6" s="7" t="s">
        <v>456</v>
      </c>
      <c r="D6" s="7" t="s">
        <v>40</v>
      </c>
      <c r="E6" s="7" t="s">
        <v>41</v>
      </c>
      <c r="F6" s="7" t="s">
        <v>153</v>
      </c>
      <c r="G6" s="7">
        <v>6</v>
      </c>
      <c r="H6" s="18">
        <v>167.23</v>
      </c>
      <c r="I6" s="22">
        <v>0.05</v>
      </c>
      <c r="J6" s="18">
        <v>953.21</v>
      </c>
      <c r="K6" s="18">
        <v>557.44000000000005</v>
      </c>
      <c r="L6" s="18">
        <v>395.77</v>
      </c>
      <c r="M6" s="7" t="s">
        <v>35</v>
      </c>
      <c r="N6" s="7" t="s">
        <v>36</v>
      </c>
      <c r="O6" s="7" t="s">
        <v>44</v>
      </c>
      <c r="P6" s="7" t="str">
        <f t="shared" si="2"/>
        <v>Mar</v>
      </c>
      <c r="Q6" s="7">
        <f t="shared" si="0"/>
        <v>2025</v>
      </c>
      <c r="R6" s="23">
        <f t="shared" si="1"/>
        <v>0.41519707094973823</v>
      </c>
    </row>
    <row r="7" spans="1:18">
      <c r="A7" s="7" t="s">
        <v>475</v>
      </c>
      <c r="B7" s="8">
        <v>45922</v>
      </c>
      <c r="C7" s="7" t="s">
        <v>108</v>
      </c>
      <c r="D7" s="7" t="s">
        <v>74</v>
      </c>
      <c r="E7" s="7" t="s">
        <v>41</v>
      </c>
      <c r="F7" s="7" t="s">
        <v>153</v>
      </c>
      <c r="G7" s="7">
        <v>2</v>
      </c>
      <c r="H7" s="18">
        <v>175.25</v>
      </c>
      <c r="I7" s="22">
        <v>0.15</v>
      </c>
      <c r="J7" s="18">
        <v>297.93</v>
      </c>
      <c r="K7" s="18">
        <v>193.54</v>
      </c>
      <c r="L7" s="18">
        <v>104.39</v>
      </c>
      <c r="M7" s="7" t="s">
        <v>57</v>
      </c>
      <c r="N7" s="7" t="s">
        <v>36</v>
      </c>
      <c r="O7" s="7" t="s">
        <v>44</v>
      </c>
      <c r="P7" s="7" t="str">
        <f t="shared" si="2"/>
        <v>Sep</v>
      </c>
      <c r="Q7" s="7">
        <f t="shared" si="0"/>
        <v>2025</v>
      </c>
      <c r="R7" s="23">
        <f t="shared" si="1"/>
        <v>0.35038431846406876</v>
      </c>
    </row>
    <row r="8" spans="1:18">
      <c r="A8" s="7" t="s">
        <v>1681</v>
      </c>
      <c r="B8" s="8">
        <v>45690</v>
      </c>
      <c r="C8" s="7" t="s">
        <v>661</v>
      </c>
      <c r="D8" s="7" t="s">
        <v>60</v>
      </c>
      <c r="E8" s="7" t="s">
        <v>48</v>
      </c>
      <c r="F8" s="7" t="s">
        <v>102</v>
      </c>
      <c r="G8" s="7">
        <v>3</v>
      </c>
      <c r="H8" s="18">
        <v>184.76</v>
      </c>
      <c r="I8" s="22">
        <v>0</v>
      </c>
      <c r="J8" s="18">
        <v>554.28</v>
      </c>
      <c r="K8" s="18">
        <v>450.91</v>
      </c>
      <c r="L8" s="18">
        <v>103.37</v>
      </c>
      <c r="M8" s="7" t="s">
        <v>35</v>
      </c>
      <c r="N8" s="7" t="s">
        <v>63</v>
      </c>
      <c r="O8" s="7" t="s">
        <v>44</v>
      </c>
      <c r="P8" s="7" t="str">
        <f t="shared" si="2"/>
        <v>Feb</v>
      </c>
      <c r="Q8" s="7">
        <f t="shared" si="0"/>
        <v>2025</v>
      </c>
      <c r="R8" s="23">
        <f t="shared" si="1"/>
        <v>0.18649419066175943</v>
      </c>
    </row>
    <row r="9" spans="1:18">
      <c r="A9" s="7" t="s">
        <v>347</v>
      </c>
      <c r="B9" s="8">
        <v>46226</v>
      </c>
      <c r="C9" s="7" t="s">
        <v>348</v>
      </c>
      <c r="D9" s="7" t="s">
        <v>52</v>
      </c>
      <c r="E9" s="7" t="s">
        <v>41</v>
      </c>
      <c r="F9" s="7" t="s">
        <v>42</v>
      </c>
      <c r="G9" s="7">
        <v>2</v>
      </c>
      <c r="H9" s="18">
        <v>187.29</v>
      </c>
      <c r="I9" s="22">
        <v>0</v>
      </c>
      <c r="J9" s="18">
        <v>374.58</v>
      </c>
      <c r="K9" s="18">
        <v>283.88</v>
      </c>
      <c r="L9" s="18">
        <v>90.7</v>
      </c>
      <c r="M9" s="7" t="s">
        <v>57</v>
      </c>
      <c r="N9" s="7" t="s">
        <v>63</v>
      </c>
      <c r="O9" s="7" t="s">
        <v>44</v>
      </c>
      <c r="P9" s="7" t="str">
        <f t="shared" si="2"/>
        <v>Jul</v>
      </c>
      <c r="Q9" s="7">
        <f t="shared" si="0"/>
        <v>2026</v>
      </c>
      <c r="R9" s="23">
        <f t="shared" si="1"/>
        <v>0.24213786107106627</v>
      </c>
    </row>
    <row r="10" spans="1:18">
      <c r="A10" s="7" t="s">
        <v>1012</v>
      </c>
      <c r="B10" s="8">
        <v>46144</v>
      </c>
      <c r="C10" s="7" t="s">
        <v>310</v>
      </c>
      <c r="D10" s="7" t="s">
        <v>47</v>
      </c>
      <c r="E10" s="7" t="s">
        <v>41</v>
      </c>
      <c r="F10" s="7" t="s">
        <v>124</v>
      </c>
      <c r="G10" s="7">
        <v>3</v>
      </c>
      <c r="H10" s="18">
        <v>187.54</v>
      </c>
      <c r="I10" s="22">
        <v>0</v>
      </c>
      <c r="J10" s="18">
        <v>562.62</v>
      </c>
      <c r="K10" s="18">
        <v>316.25</v>
      </c>
      <c r="L10" s="18">
        <v>246.37</v>
      </c>
      <c r="M10" s="7" t="s">
        <v>35</v>
      </c>
      <c r="N10" s="7" t="s">
        <v>36</v>
      </c>
      <c r="O10" s="7" t="s">
        <v>44</v>
      </c>
      <c r="P10" s="7" t="str">
        <f t="shared" si="2"/>
        <v>May</v>
      </c>
      <c r="Q10" s="7">
        <f t="shared" si="0"/>
        <v>2026</v>
      </c>
      <c r="R10" s="23">
        <f t="shared" si="1"/>
        <v>0.43789769293661795</v>
      </c>
    </row>
    <row r="11" spans="1:18">
      <c r="A11" s="7" t="s">
        <v>1216</v>
      </c>
      <c r="B11" s="8">
        <v>46081</v>
      </c>
      <c r="C11" s="7" t="s">
        <v>433</v>
      </c>
      <c r="D11" s="7" t="s">
        <v>66</v>
      </c>
      <c r="E11" s="7" t="s">
        <v>33</v>
      </c>
      <c r="F11" s="7" t="s">
        <v>176</v>
      </c>
      <c r="G11" s="7">
        <v>6</v>
      </c>
      <c r="H11" s="18">
        <v>199.23</v>
      </c>
      <c r="I11" s="22">
        <v>0.15</v>
      </c>
      <c r="J11" s="18">
        <v>1016.07</v>
      </c>
      <c r="K11" s="18">
        <v>636.88</v>
      </c>
      <c r="L11" s="18">
        <v>379.19</v>
      </c>
      <c r="M11" s="7" t="s">
        <v>35</v>
      </c>
      <c r="N11" s="7" t="s">
        <v>71</v>
      </c>
      <c r="O11" s="7" t="s">
        <v>37</v>
      </c>
      <c r="P11" s="7" t="str">
        <f t="shared" si="2"/>
        <v>Feb</v>
      </c>
      <c r="Q11" s="7">
        <f t="shared" si="0"/>
        <v>2026</v>
      </c>
      <c r="R11" s="23">
        <f t="shared" si="1"/>
        <v>0.3731927918352082</v>
      </c>
    </row>
    <row r="12" spans="1:18">
      <c r="A12" s="7" t="s">
        <v>190</v>
      </c>
      <c r="B12" s="8">
        <v>46257</v>
      </c>
      <c r="C12" s="7" t="s">
        <v>191</v>
      </c>
      <c r="D12" s="7" t="s">
        <v>40</v>
      </c>
      <c r="E12" s="7" t="s">
        <v>41</v>
      </c>
      <c r="F12" s="7" t="s">
        <v>119</v>
      </c>
      <c r="G12" s="7">
        <v>5</v>
      </c>
      <c r="H12" s="18">
        <v>207.01</v>
      </c>
      <c r="I12" s="22">
        <v>0</v>
      </c>
      <c r="J12" s="18">
        <v>1035.05</v>
      </c>
      <c r="K12" s="18">
        <v>638.48</v>
      </c>
      <c r="L12" s="18">
        <v>396.57</v>
      </c>
      <c r="M12" s="7" t="s">
        <v>35</v>
      </c>
      <c r="N12" s="7" t="s">
        <v>36</v>
      </c>
      <c r="O12" s="7" t="s">
        <v>44</v>
      </c>
      <c r="P12" s="7" t="str">
        <f t="shared" si="2"/>
        <v>Aug</v>
      </c>
      <c r="Q12" s="7">
        <f t="shared" si="0"/>
        <v>2026</v>
      </c>
      <c r="R12" s="23">
        <f t="shared" si="1"/>
        <v>0.38314091106709824</v>
      </c>
    </row>
    <row r="13" spans="1:18">
      <c r="A13" s="7" t="s">
        <v>1310</v>
      </c>
      <c r="B13" s="8">
        <v>45964</v>
      </c>
      <c r="C13" s="7" t="s">
        <v>727</v>
      </c>
      <c r="D13" s="7" t="s">
        <v>56</v>
      </c>
      <c r="E13" s="7" t="s">
        <v>61</v>
      </c>
      <c r="F13" s="7" t="s">
        <v>89</v>
      </c>
      <c r="G13" s="7">
        <v>6</v>
      </c>
      <c r="H13" s="18">
        <v>207.01</v>
      </c>
      <c r="I13" s="22">
        <v>0</v>
      </c>
      <c r="J13" s="18">
        <v>1242.06</v>
      </c>
      <c r="K13" s="18">
        <v>715</v>
      </c>
      <c r="L13" s="18">
        <v>527.05999999999995</v>
      </c>
      <c r="M13" s="7" t="s">
        <v>57</v>
      </c>
      <c r="N13" s="7" t="s">
        <v>63</v>
      </c>
      <c r="O13" s="7" t="s">
        <v>44</v>
      </c>
      <c r="P13" s="7" t="str">
        <f t="shared" si="2"/>
        <v>Nov</v>
      </c>
      <c r="Q13" s="7">
        <f t="shared" si="0"/>
        <v>2025</v>
      </c>
      <c r="R13" s="23">
        <f t="shared" si="1"/>
        <v>0.42434342946395504</v>
      </c>
    </row>
    <row r="14" spans="1:18">
      <c r="A14" s="7" t="s">
        <v>639</v>
      </c>
      <c r="B14" s="8">
        <v>46001</v>
      </c>
      <c r="C14" s="7" t="s">
        <v>640</v>
      </c>
      <c r="D14" s="7" t="s">
        <v>66</v>
      </c>
      <c r="E14" s="7" t="s">
        <v>41</v>
      </c>
      <c r="F14" s="7" t="s">
        <v>53</v>
      </c>
      <c r="G14" s="7">
        <v>3</v>
      </c>
      <c r="H14" s="18">
        <v>215.39</v>
      </c>
      <c r="I14" s="22">
        <v>0.2</v>
      </c>
      <c r="J14" s="18">
        <v>516.94000000000005</v>
      </c>
      <c r="K14" s="18">
        <v>396.22</v>
      </c>
      <c r="L14" s="18">
        <v>120.72</v>
      </c>
      <c r="M14" s="7" t="s">
        <v>57</v>
      </c>
      <c r="N14" s="7" t="s">
        <v>63</v>
      </c>
      <c r="O14" s="7" t="s">
        <v>37</v>
      </c>
      <c r="P14" s="7" t="str">
        <f t="shared" si="2"/>
        <v>Dec</v>
      </c>
      <c r="Q14" s="7">
        <f t="shared" si="0"/>
        <v>2025</v>
      </c>
      <c r="R14" s="23">
        <f t="shared" si="1"/>
        <v>0.23352806902154985</v>
      </c>
    </row>
    <row r="15" spans="1:18">
      <c r="A15" s="7" t="s">
        <v>1114</v>
      </c>
      <c r="B15" s="8">
        <v>46122</v>
      </c>
      <c r="C15" s="7" t="s">
        <v>320</v>
      </c>
      <c r="D15" s="7" t="s">
        <v>40</v>
      </c>
      <c r="E15" s="7" t="s">
        <v>61</v>
      </c>
      <c r="F15" s="7" t="s">
        <v>81</v>
      </c>
      <c r="G15" s="7">
        <v>4</v>
      </c>
      <c r="H15" s="18">
        <v>215.77</v>
      </c>
      <c r="I15" s="22">
        <v>0.05</v>
      </c>
      <c r="J15" s="18">
        <v>819.93</v>
      </c>
      <c r="K15" s="18">
        <v>651.25</v>
      </c>
      <c r="L15" s="18">
        <v>168.68</v>
      </c>
      <c r="M15" s="7" t="s">
        <v>35</v>
      </c>
      <c r="N15" s="7" t="s">
        <v>43</v>
      </c>
      <c r="O15" s="7" t="s">
        <v>44</v>
      </c>
      <c r="P15" s="7" t="str">
        <f t="shared" si="2"/>
        <v>Apr</v>
      </c>
      <c r="Q15" s="7">
        <f t="shared" si="0"/>
        <v>2026</v>
      </c>
      <c r="R15" s="23">
        <f t="shared" si="1"/>
        <v>0.20572487895308139</v>
      </c>
    </row>
    <row r="16" spans="1:18">
      <c r="A16" s="7" t="s">
        <v>1531</v>
      </c>
      <c r="B16" s="8">
        <v>46073</v>
      </c>
      <c r="C16" s="7" t="s">
        <v>1040</v>
      </c>
      <c r="D16" s="7" t="s">
        <v>40</v>
      </c>
      <c r="E16" s="7" t="s">
        <v>33</v>
      </c>
      <c r="F16" s="7" t="s">
        <v>92</v>
      </c>
      <c r="G16" s="7">
        <v>2</v>
      </c>
      <c r="H16" s="18">
        <v>217.4</v>
      </c>
      <c r="I16" s="22">
        <v>0.15</v>
      </c>
      <c r="J16" s="18">
        <v>369.58</v>
      </c>
      <c r="K16" s="18">
        <v>283.35000000000002</v>
      </c>
      <c r="L16" s="18">
        <v>86.23</v>
      </c>
      <c r="M16" s="7" t="s">
        <v>35</v>
      </c>
      <c r="N16" s="7" t="s">
        <v>71</v>
      </c>
      <c r="O16" s="7" t="s">
        <v>37</v>
      </c>
      <c r="P16" s="7" t="str">
        <f t="shared" si="2"/>
        <v>Feb</v>
      </c>
      <c r="Q16" s="7">
        <f t="shared" si="0"/>
        <v>2026</v>
      </c>
      <c r="R16" s="23">
        <f t="shared" si="1"/>
        <v>0.23331890253801615</v>
      </c>
    </row>
    <row r="17" spans="1:18">
      <c r="A17" s="7" t="s">
        <v>1707</v>
      </c>
      <c r="B17" s="8">
        <v>45983</v>
      </c>
      <c r="C17" s="7" t="s">
        <v>731</v>
      </c>
      <c r="D17" s="7" t="s">
        <v>47</v>
      </c>
      <c r="E17" s="7" t="s">
        <v>41</v>
      </c>
      <c r="F17" s="7" t="s">
        <v>42</v>
      </c>
      <c r="G17" s="7">
        <v>6</v>
      </c>
      <c r="H17" s="18">
        <v>218.02</v>
      </c>
      <c r="I17" s="22">
        <v>0</v>
      </c>
      <c r="J17" s="18">
        <v>1308.1199999999999</v>
      </c>
      <c r="K17" s="18">
        <v>928.71</v>
      </c>
      <c r="L17" s="18">
        <v>379.41</v>
      </c>
      <c r="M17" s="7" t="s">
        <v>57</v>
      </c>
      <c r="N17" s="7" t="s">
        <v>36</v>
      </c>
      <c r="O17" s="7" t="s">
        <v>44</v>
      </c>
      <c r="P17" s="7" t="str">
        <f t="shared" si="2"/>
        <v>Nov</v>
      </c>
      <c r="Q17" s="7">
        <f t="shared" si="0"/>
        <v>2025</v>
      </c>
      <c r="R17" s="23">
        <f t="shared" si="1"/>
        <v>0.29004219796348962</v>
      </c>
    </row>
    <row r="18" spans="1:18">
      <c r="A18" s="7" t="s">
        <v>1099</v>
      </c>
      <c r="B18" s="8">
        <v>45723</v>
      </c>
      <c r="C18" s="7" t="s">
        <v>1100</v>
      </c>
      <c r="D18" s="7" t="s">
        <v>74</v>
      </c>
      <c r="E18" s="7" t="s">
        <v>41</v>
      </c>
      <c r="F18" s="7" t="s">
        <v>42</v>
      </c>
      <c r="G18" s="7">
        <v>6</v>
      </c>
      <c r="H18" s="18">
        <v>222.22</v>
      </c>
      <c r="I18" s="22">
        <v>0.15</v>
      </c>
      <c r="J18" s="18">
        <v>1133.32</v>
      </c>
      <c r="K18" s="18">
        <v>899.53</v>
      </c>
      <c r="L18" s="18">
        <v>233.79</v>
      </c>
      <c r="M18" s="7" t="s">
        <v>35</v>
      </c>
      <c r="N18" s="7" t="s">
        <v>36</v>
      </c>
      <c r="O18" s="7" t="s">
        <v>44</v>
      </c>
      <c r="P18" s="7" t="str">
        <f t="shared" si="2"/>
        <v>Mar</v>
      </c>
      <c r="Q18" s="7">
        <f t="shared" si="0"/>
        <v>2025</v>
      </c>
      <c r="R18" s="23">
        <f t="shared" si="1"/>
        <v>0.20628772103201215</v>
      </c>
    </row>
    <row r="19" spans="1:18">
      <c r="A19" s="7" t="s">
        <v>1605</v>
      </c>
      <c r="B19" s="8">
        <v>46213</v>
      </c>
      <c r="C19" s="7" t="s">
        <v>553</v>
      </c>
      <c r="D19" s="7" t="s">
        <v>60</v>
      </c>
      <c r="E19" s="7" t="s">
        <v>48</v>
      </c>
      <c r="F19" s="7" t="s">
        <v>99</v>
      </c>
      <c r="G19" s="7">
        <v>6</v>
      </c>
      <c r="H19" s="18">
        <v>224.39</v>
      </c>
      <c r="I19" s="22">
        <v>0.15</v>
      </c>
      <c r="J19" s="18">
        <v>1144.3900000000001</v>
      </c>
      <c r="K19" s="18">
        <v>812.34</v>
      </c>
      <c r="L19" s="18">
        <v>332.05</v>
      </c>
      <c r="M19" s="7" t="s">
        <v>35</v>
      </c>
      <c r="N19" s="7" t="s">
        <v>43</v>
      </c>
      <c r="O19" s="7" t="s">
        <v>37</v>
      </c>
      <c r="P19" s="7" t="str">
        <f t="shared" si="2"/>
        <v>Jul</v>
      </c>
      <c r="Q19" s="7">
        <f t="shared" si="0"/>
        <v>2026</v>
      </c>
      <c r="R19" s="23">
        <f t="shared" si="1"/>
        <v>0.29015458016934786</v>
      </c>
    </row>
    <row r="20" spans="1:18">
      <c r="A20" s="7" t="s">
        <v>1516</v>
      </c>
      <c r="B20" s="8">
        <v>46255</v>
      </c>
      <c r="C20" s="7" t="s">
        <v>121</v>
      </c>
      <c r="D20" s="7" t="s">
        <v>32</v>
      </c>
      <c r="E20" s="7" t="s">
        <v>33</v>
      </c>
      <c r="F20" s="7" t="s">
        <v>34</v>
      </c>
      <c r="G20" s="7">
        <v>2</v>
      </c>
      <c r="H20" s="18">
        <v>225.14</v>
      </c>
      <c r="I20" s="22">
        <v>0.2</v>
      </c>
      <c r="J20" s="18">
        <v>360.22</v>
      </c>
      <c r="K20" s="18">
        <v>209.22</v>
      </c>
      <c r="L20" s="18">
        <v>151</v>
      </c>
      <c r="M20" s="7" t="s">
        <v>57</v>
      </c>
      <c r="N20" s="7" t="s">
        <v>71</v>
      </c>
      <c r="O20" s="7" t="s">
        <v>44</v>
      </c>
      <c r="P20" s="7" t="str">
        <f t="shared" si="2"/>
        <v>Aug</v>
      </c>
      <c r="Q20" s="7">
        <f t="shared" si="0"/>
        <v>2026</v>
      </c>
      <c r="R20" s="23">
        <f t="shared" si="1"/>
        <v>0.41918827383265778</v>
      </c>
    </row>
    <row r="21" spans="1:18">
      <c r="A21" s="7" t="s">
        <v>506</v>
      </c>
      <c r="B21" s="8">
        <v>45674</v>
      </c>
      <c r="C21" s="7" t="s">
        <v>507</v>
      </c>
      <c r="D21" s="7" t="s">
        <v>56</v>
      </c>
      <c r="E21" s="7" t="s">
        <v>61</v>
      </c>
      <c r="F21" s="7" t="s">
        <v>89</v>
      </c>
      <c r="G21" s="7">
        <v>5</v>
      </c>
      <c r="H21" s="18">
        <v>229.07</v>
      </c>
      <c r="I21" s="22">
        <v>0.15</v>
      </c>
      <c r="J21" s="18">
        <v>973.55</v>
      </c>
      <c r="K21" s="18">
        <v>819.35</v>
      </c>
      <c r="L21" s="18">
        <v>154.19999999999999</v>
      </c>
      <c r="M21" s="7" t="s">
        <v>35</v>
      </c>
      <c r="N21" s="7" t="s">
        <v>63</v>
      </c>
      <c r="O21" s="7" t="s">
        <v>44</v>
      </c>
      <c r="P21" s="7" t="str">
        <f t="shared" si="2"/>
        <v>Jan</v>
      </c>
      <c r="Q21" s="7">
        <f t="shared" si="0"/>
        <v>2025</v>
      </c>
      <c r="R21" s="23">
        <f t="shared" si="1"/>
        <v>0.15838939961994761</v>
      </c>
    </row>
    <row r="22" spans="1:18">
      <c r="A22" s="7" t="s">
        <v>1256</v>
      </c>
      <c r="B22" s="8">
        <v>46088</v>
      </c>
      <c r="C22" s="7" t="s">
        <v>366</v>
      </c>
      <c r="D22" s="7" t="s">
        <v>56</v>
      </c>
      <c r="E22" s="7" t="s">
        <v>48</v>
      </c>
      <c r="F22" s="7" t="s">
        <v>99</v>
      </c>
      <c r="G22" s="7">
        <v>1</v>
      </c>
      <c r="H22" s="18">
        <v>234.54</v>
      </c>
      <c r="I22" s="22">
        <v>0.15</v>
      </c>
      <c r="J22" s="18">
        <v>199.36</v>
      </c>
      <c r="K22" s="18">
        <v>137.80000000000001</v>
      </c>
      <c r="L22" s="18">
        <v>61.56</v>
      </c>
      <c r="M22" s="7" t="s">
        <v>57</v>
      </c>
      <c r="N22" s="7" t="s">
        <v>36</v>
      </c>
      <c r="O22" s="7" t="s">
        <v>44</v>
      </c>
      <c r="P22" s="7" t="str">
        <f t="shared" si="2"/>
        <v>Mar</v>
      </c>
      <c r="Q22" s="7">
        <f t="shared" si="0"/>
        <v>2026</v>
      </c>
      <c r="R22" s="23">
        <f t="shared" si="1"/>
        <v>0.30878812199036915</v>
      </c>
    </row>
    <row r="23" spans="1:18">
      <c r="A23" s="7" t="s">
        <v>229</v>
      </c>
      <c r="B23" s="8">
        <v>45755</v>
      </c>
      <c r="C23" s="7" t="s">
        <v>230</v>
      </c>
      <c r="D23" s="7" t="s">
        <v>95</v>
      </c>
      <c r="E23" s="7" t="s">
        <v>41</v>
      </c>
      <c r="F23" s="7" t="s">
        <v>119</v>
      </c>
      <c r="G23" s="7">
        <v>2</v>
      </c>
      <c r="H23" s="18">
        <v>235.14</v>
      </c>
      <c r="I23" s="22">
        <v>0.2</v>
      </c>
      <c r="J23" s="18">
        <v>376.22</v>
      </c>
      <c r="K23" s="18">
        <v>220.12</v>
      </c>
      <c r="L23" s="18">
        <v>156.1</v>
      </c>
      <c r="M23" s="7" t="s">
        <v>57</v>
      </c>
      <c r="N23" s="7" t="s">
        <v>63</v>
      </c>
      <c r="O23" s="7" t="s">
        <v>44</v>
      </c>
      <c r="P23" s="7" t="str">
        <f t="shared" si="2"/>
        <v>Apr</v>
      </c>
      <c r="Q23" s="7">
        <f t="shared" si="0"/>
        <v>2025</v>
      </c>
      <c r="R23" s="23">
        <f t="shared" si="1"/>
        <v>0.4149168039976609</v>
      </c>
    </row>
    <row r="24" spans="1:18">
      <c r="A24" s="7" t="s">
        <v>1349</v>
      </c>
      <c r="B24" s="8">
        <v>45781</v>
      </c>
      <c r="C24" s="7" t="s">
        <v>864</v>
      </c>
      <c r="D24" s="7" t="s">
        <v>52</v>
      </c>
      <c r="E24" s="7" t="s">
        <v>33</v>
      </c>
      <c r="F24" s="7" t="s">
        <v>34</v>
      </c>
      <c r="G24" s="7">
        <v>4</v>
      </c>
      <c r="H24" s="18">
        <v>240.24</v>
      </c>
      <c r="I24" s="22">
        <v>0.05</v>
      </c>
      <c r="J24" s="18">
        <v>912.91</v>
      </c>
      <c r="K24" s="18">
        <v>542.44000000000005</v>
      </c>
      <c r="L24" s="18">
        <v>370.47</v>
      </c>
      <c r="M24" s="7" t="s">
        <v>57</v>
      </c>
      <c r="N24" s="7" t="s">
        <v>63</v>
      </c>
      <c r="O24" s="7" t="s">
        <v>44</v>
      </c>
      <c r="P24" s="7" t="str">
        <f t="shared" si="2"/>
        <v>May</v>
      </c>
      <c r="Q24" s="7">
        <f t="shared" si="0"/>
        <v>2025</v>
      </c>
      <c r="R24" s="23">
        <f t="shared" si="1"/>
        <v>0.40581218301913663</v>
      </c>
    </row>
    <row r="25" spans="1:18">
      <c r="A25" s="7" t="s">
        <v>1191</v>
      </c>
      <c r="B25" s="8">
        <v>45697</v>
      </c>
      <c r="C25" s="7" t="s">
        <v>157</v>
      </c>
      <c r="D25" s="7" t="s">
        <v>52</v>
      </c>
      <c r="E25" s="7" t="s">
        <v>33</v>
      </c>
      <c r="F25" s="7" t="s">
        <v>92</v>
      </c>
      <c r="G25" s="7">
        <v>6</v>
      </c>
      <c r="H25" s="18">
        <v>243.72</v>
      </c>
      <c r="I25" s="22">
        <v>0.2</v>
      </c>
      <c r="J25" s="18">
        <v>1169.8599999999999</v>
      </c>
      <c r="K25" s="18">
        <v>684.61</v>
      </c>
      <c r="L25" s="18">
        <v>485.25</v>
      </c>
      <c r="M25" s="7" t="s">
        <v>35</v>
      </c>
      <c r="N25" s="7" t="s">
        <v>63</v>
      </c>
      <c r="O25" s="7" t="s">
        <v>44</v>
      </c>
      <c r="P25" s="7" t="str">
        <f t="shared" si="2"/>
        <v>Feb</v>
      </c>
      <c r="Q25" s="7">
        <f t="shared" si="0"/>
        <v>2025</v>
      </c>
      <c r="R25" s="23">
        <f t="shared" si="1"/>
        <v>0.41479322312071532</v>
      </c>
    </row>
    <row r="26" spans="1:18">
      <c r="A26" s="7" t="s">
        <v>1388</v>
      </c>
      <c r="B26" s="8">
        <v>46025</v>
      </c>
      <c r="C26" s="7" t="s">
        <v>1389</v>
      </c>
      <c r="D26" s="7" t="s">
        <v>56</v>
      </c>
      <c r="E26" s="7" t="s">
        <v>61</v>
      </c>
      <c r="F26" s="7" t="s">
        <v>62</v>
      </c>
      <c r="G26" s="7">
        <v>1</v>
      </c>
      <c r="H26" s="18">
        <v>250.97</v>
      </c>
      <c r="I26" s="22">
        <v>0.15</v>
      </c>
      <c r="J26" s="18">
        <v>213.32</v>
      </c>
      <c r="K26" s="18">
        <v>120.45</v>
      </c>
      <c r="L26" s="18">
        <v>92.87</v>
      </c>
      <c r="M26" s="7" t="s">
        <v>35</v>
      </c>
      <c r="N26" s="7" t="s">
        <v>43</v>
      </c>
      <c r="O26" s="7" t="s">
        <v>44</v>
      </c>
      <c r="P26" s="7" t="str">
        <f t="shared" si="2"/>
        <v>Jan</v>
      </c>
      <c r="Q26" s="7">
        <f t="shared" si="0"/>
        <v>2026</v>
      </c>
      <c r="R26" s="23">
        <f t="shared" si="1"/>
        <v>0.43535533470841931</v>
      </c>
    </row>
    <row r="27" spans="1:18">
      <c r="A27" s="7" t="s">
        <v>1164</v>
      </c>
      <c r="B27" s="8">
        <v>46022</v>
      </c>
      <c r="C27" s="7" t="s">
        <v>429</v>
      </c>
      <c r="D27" s="7" t="s">
        <v>40</v>
      </c>
      <c r="E27" s="7" t="s">
        <v>48</v>
      </c>
      <c r="F27" s="7" t="s">
        <v>49</v>
      </c>
      <c r="G27" s="7">
        <v>6</v>
      </c>
      <c r="H27" s="18">
        <v>250.99</v>
      </c>
      <c r="I27" s="22">
        <v>0.15</v>
      </c>
      <c r="J27" s="18">
        <v>1280.05</v>
      </c>
      <c r="K27" s="18">
        <v>1046.1099999999999</v>
      </c>
      <c r="L27" s="18">
        <v>233.94</v>
      </c>
      <c r="M27" s="7" t="s">
        <v>35</v>
      </c>
      <c r="N27" s="7" t="s">
        <v>43</v>
      </c>
      <c r="O27" s="7" t="s">
        <v>44</v>
      </c>
      <c r="P27" s="7" t="str">
        <f t="shared" si="2"/>
        <v>Dec</v>
      </c>
      <c r="Q27" s="7">
        <f t="shared" si="0"/>
        <v>2025</v>
      </c>
      <c r="R27" s="23">
        <f t="shared" si="1"/>
        <v>0.18275848599664077</v>
      </c>
    </row>
    <row r="28" spans="1:18">
      <c r="A28" s="7" t="s">
        <v>1706</v>
      </c>
      <c r="B28" s="8">
        <v>45905</v>
      </c>
      <c r="C28" s="7" t="s">
        <v>1573</v>
      </c>
      <c r="D28" s="7" t="s">
        <v>66</v>
      </c>
      <c r="E28" s="7" t="s">
        <v>33</v>
      </c>
      <c r="F28" s="7" t="s">
        <v>34</v>
      </c>
      <c r="G28" s="7">
        <v>2</v>
      </c>
      <c r="H28" s="18">
        <v>255.16</v>
      </c>
      <c r="I28" s="22">
        <v>0.1</v>
      </c>
      <c r="J28" s="18">
        <v>459.29</v>
      </c>
      <c r="K28" s="18">
        <v>302.82</v>
      </c>
      <c r="L28" s="18">
        <v>156.47</v>
      </c>
      <c r="M28" s="7" t="s">
        <v>35</v>
      </c>
      <c r="N28" s="7" t="s">
        <v>36</v>
      </c>
      <c r="O28" s="7" t="s">
        <v>44</v>
      </c>
      <c r="P28" s="7" t="str">
        <f t="shared" si="2"/>
        <v>Sep</v>
      </c>
      <c r="Q28" s="7">
        <f t="shared" si="0"/>
        <v>2025</v>
      </c>
      <c r="R28" s="23">
        <f t="shared" si="1"/>
        <v>0.34067800300463758</v>
      </c>
    </row>
    <row r="29" spans="1:18">
      <c r="A29" s="7" t="s">
        <v>1050</v>
      </c>
      <c r="B29" s="8">
        <v>45726</v>
      </c>
      <c r="C29" s="7" t="s">
        <v>927</v>
      </c>
      <c r="D29" s="7" t="s">
        <v>60</v>
      </c>
      <c r="E29" s="7" t="s">
        <v>61</v>
      </c>
      <c r="F29" s="7" t="s">
        <v>81</v>
      </c>
      <c r="G29" s="7">
        <v>2</v>
      </c>
      <c r="H29" s="18">
        <v>258.26</v>
      </c>
      <c r="I29" s="22">
        <v>0</v>
      </c>
      <c r="J29" s="18">
        <v>516.52</v>
      </c>
      <c r="K29" s="18">
        <v>365.53</v>
      </c>
      <c r="L29" s="18">
        <v>150.99</v>
      </c>
      <c r="M29" s="7" t="s">
        <v>35</v>
      </c>
      <c r="N29" s="7" t="s">
        <v>36</v>
      </c>
      <c r="O29" s="7" t="s">
        <v>44</v>
      </c>
      <c r="P29" s="7" t="str">
        <f t="shared" si="2"/>
        <v>Mar</v>
      </c>
      <c r="Q29" s="7">
        <f t="shared" si="0"/>
        <v>2025</v>
      </c>
      <c r="R29" s="23">
        <f t="shared" si="1"/>
        <v>0.29232169131882602</v>
      </c>
    </row>
    <row r="30" spans="1:18">
      <c r="A30" s="7" t="s">
        <v>1234</v>
      </c>
      <c r="B30" s="8">
        <v>45996</v>
      </c>
      <c r="C30" s="7" t="s">
        <v>1083</v>
      </c>
      <c r="D30" s="7" t="s">
        <v>1758</v>
      </c>
      <c r="E30" s="7" t="s">
        <v>33</v>
      </c>
      <c r="F30" s="7" t="s">
        <v>176</v>
      </c>
      <c r="G30" s="7">
        <v>4</v>
      </c>
      <c r="H30" s="18">
        <v>272.55</v>
      </c>
      <c r="I30" s="22">
        <v>0</v>
      </c>
      <c r="J30" s="18">
        <v>1090.2</v>
      </c>
      <c r="K30" s="18">
        <v>877.37</v>
      </c>
      <c r="L30" s="18">
        <v>212.83</v>
      </c>
      <c r="M30" s="7" t="s">
        <v>57</v>
      </c>
      <c r="N30" s="7" t="s">
        <v>71</v>
      </c>
      <c r="O30" s="7" t="s">
        <v>37</v>
      </c>
      <c r="P30" s="7" t="str">
        <f t="shared" si="2"/>
        <v>Dec</v>
      </c>
      <c r="Q30" s="7">
        <f t="shared" si="0"/>
        <v>2025</v>
      </c>
      <c r="R30" s="23">
        <f t="shared" si="1"/>
        <v>0.19522106035589801</v>
      </c>
    </row>
    <row r="31" spans="1:18">
      <c r="A31" s="7" t="s">
        <v>370</v>
      </c>
      <c r="B31" s="8">
        <v>46098</v>
      </c>
      <c r="C31" s="7" t="s">
        <v>290</v>
      </c>
      <c r="D31" s="7" t="s">
        <v>32</v>
      </c>
      <c r="E31" s="7" t="s">
        <v>61</v>
      </c>
      <c r="F31" s="7" t="s">
        <v>129</v>
      </c>
      <c r="G31" s="7">
        <v>5</v>
      </c>
      <c r="H31" s="18">
        <v>283.37</v>
      </c>
      <c r="I31" s="22">
        <v>0.15</v>
      </c>
      <c r="J31" s="18">
        <v>1204.32</v>
      </c>
      <c r="K31" s="18">
        <v>1004.68</v>
      </c>
      <c r="L31" s="18">
        <v>199.64</v>
      </c>
      <c r="M31" s="7" t="s">
        <v>35</v>
      </c>
      <c r="N31" s="7" t="s">
        <v>63</v>
      </c>
      <c r="O31" s="7" t="s">
        <v>44</v>
      </c>
      <c r="P31" s="7" t="str">
        <f t="shared" si="2"/>
        <v>Mar</v>
      </c>
      <c r="Q31" s="7">
        <f t="shared" si="0"/>
        <v>2026</v>
      </c>
      <c r="R31" s="23">
        <f t="shared" si="1"/>
        <v>0.16576989504450645</v>
      </c>
    </row>
    <row r="32" spans="1:18">
      <c r="A32" s="7" t="s">
        <v>1143</v>
      </c>
      <c r="B32" s="8">
        <v>46068</v>
      </c>
      <c r="C32" s="7" t="s">
        <v>59</v>
      </c>
      <c r="D32" s="7" t="s">
        <v>32</v>
      </c>
      <c r="E32" s="7" t="s">
        <v>48</v>
      </c>
      <c r="F32" s="7" t="s">
        <v>113</v>
      </c>
      <c r="G32" s="7">
        <v>6</v>
      </c>
      <c r="H32" s="18">
        <v>286.64999999999998</v>
      </c>
      <c r="I32" s="22">
        <v>0</v>
      </c>
      <c r="J32" s="18">
        <v>1719.9</v>
      </c>
      <c r="K32" s="18">
        <v>1133.3699999999999</v>
      </c>
      <c r="L32" s="18">
        <v>586.53</v>
      </c>
      <c r="M32" s="7" t="s">
        <v>57</v>
      </c>
      <c r="N32" s="7" t="s">
        <v>43</v>
      </c>
      <c r="O32" s="7" t="s">
        <v>44</v>
      </c>
      <c r="P32" s="7" t="str">
        <f t="shared" si="2"/>
        <v>Feb</v>
      </c>
      <c r="Q32" s="7">
        <f t="shared" si="0"/>
        <v>2026</v>
      </c>
      <c r="R32" s="23">
        <f t="shared" si="1"/>
        <v>0.34102564102564098</v>
      </c>
    </row>
    <row r="33" spans="1:18">
      <c r="A33" s="7" t="s">
        <v>1316</v>
      </c>
      <c r="B33" s="8">
        <v>45734</v>
      </c>
      <c r="C33" s="7" t="s">
        <v>527</v>
      </c>
      <c r="D33" s="7" t="s">
        <v>52</v>
      </c>
      <c r="E33" s="7" t="s">
        <v>61</v>
      </c>
      <c r="F33" s="7" t="s">
        <v>81</v>
      </c>
      <c r="G33" s="7">
        <v>1</v>
      </c>
      <c r="H33" s="18">
        <v>287.87</v>
      </c>
      <c r="I33" s="22">
        <v>0.05</v>
      </c>
      <c r="J33" s="18">
        <v>273.48</v>
      </c>
      <c r="K33" s="18">
        <v>171.32</v>
      </c>
      <c r="L33" s="18">
        <v>102.16</v>
      </c>
      <c r="M33" s="7" t="s">
        <v>35</v>
      </c>
      <c r="N33" s="7" t="s">
        <v>36</v>
      </c>
      <c r="O33" s="7" t="s">
        <v>44</v>
      </c>
      <c r="P33" s="7" t="str">
        <f t="shared" si="2"/>
        <v>Mar</v>
      </c>
      <c r="Q33" s="7">
        <f t="shared" si="0"/>
        <v>2025</v>
      </c>
      <c r="R33" s="23">
        <f t="shared" si="1"/>
        <v>0.3735556530642094</v>
      </c>
    </row>
    <row r="34" spans="1:18">
      <c r="A34" s="7" t="s">
        <v>583</v>
      </c>
      <c r="B34" s="8">
        <v>46073</v>
      </c>
      <c r="C34" s="7" t="s">
        <v>360</v>
      </c>
      <c r="D34" s="7" t="s">
        <v>47</v>
      </c>
      <c r="E34" s="7" t="s">
        <v>61</v>
      </c>
      <c r="F34" s="7" t="s">
        <v>62</v>
      </c>
      <c r="G34" s="7">
        <v>6</v>
      </c>
      <c r="H34" s="18">
        <v>303.7</v>
      </c>
      <c r="I34" s="22">
        <v>0</v>
      </c>
      <c r="J34" s="18">
        <v>1822.2</v>
      </c>
      <c r="K34" s="18">
        <v>1449.29</v>
      </c>
      <c r="L34" s="18">
        <v>372.91</v>
      </c>
      <c r="M34" s="7" t="s">
        <v>35</v>
      </c>
      <c r="N34" s="7" t="s">
        <v>36</v>
      </c>
      <c r="O34" s="7" t="s">
        <v>37</v>
      </c>
      <c r="P34" s="7" t="str">
        <f t="shared" si="2"/>
        <v>Feb</v>
      </c>
      <c r="Q34" s="7">
        <f t="shared" si="0"/>
        <v>2026</v>
      </c>
      <c r="R34" s="23">
        <f t="shared" si="1"/>
        <v>0.20464822741740754</v>
      </c>
    </row>
    <row r="35" spans="1:18">
      <c r="A35" s="7" t="s">
        <v>1622</v>
      </c>
      <c r="B35" s="8">
        <v>45871</v>
      </c>
      <c r="C35" s="7" t="s">
        <v>332</v>
      </c>
      <c r="D35" s="7" t="s">
        <v>32</v>
      </c>
      <c r="E35" s="7" t="s">
        <v>41</v>
      </c>
      <c r="F35" s="7" t="s">
        <v>153</v>
      </c>
      <c r="G35" s="7">
        <v>3</v>
      </c>
      <c r="H35" s="18">
        <v>312.43</v>
      </c>
      <c r="I35" s="22">
        <v>0</v>
      </c>
      <c r="J35" s="18">
        <v>937.29</v>
      </c>
      <c r="K35" s="18">
        <v>737.78</v>
      </c>
      <c r="L35" s="18">
        <v>199.51</v>
      </c>
      <c r="M35" s="7" t="s">
        <v>35</v>
      </c>
      <c r="N35" s="7" t="s">
        <v>36</v>
      </c>
      <c r="O35" s="7" t="s">
        <v>44</v>
      </c>
      <c r="P35" s="7" t="str">
        <f t="shared" si="2"/>
        <v>Aug</v>
      </c>
      <c r="Q35" s="7">
        <f t="shared" si="0"/>
        <v>2025</v>
      </c>
      <c r="R35" s="23">
        <f t="shared" si="1"/>
        <v>0.21285834693638042</v>
      </c>
    </row>
    <row r="36" spans="1:18">
      <c r="A36" s="7" t="s">
        <v>283</v>
      </c>
      <c r="B36" s="8">
        <v>45821</v>
      </c>
      <c r="C36" s="7" t="s">
        <v>284</v>
      </c>
      <c r="D36" s="7" t="s">
        <v>95</v>
      </c>
      <c r="E36" s="7" t="s">
        <v>33</v>
      </c>
      <c r="F36" s="7" t="s">
        <v>96</v>
      </c>
      <c r="G36" s="7">
        <v>6</v>
      </c>
      <c r="H36" s="18">
        <v>319.70999999999998</v>
      </c>
      <c r="I36" s="22">
        <v>0.05</v>
      </c>
      <c r="J36" s="18">
        <v>1822.35</v>
      </c>
      <c r="K36" s="18">
        <v>1506.68</v>
      </c>
      <c r="L36" s="18">
        <v>315.67</v>
      </c>
      <c r="M36" s="7" t="s">
        <v>57</v>
      </c>
      <c r="N36" s="7" t="s">
        <v>36</v>
      </c>
      <c r="O36" s="7" t="s">
        <v>44</v>
      </c>
      <c r="P36" s="7" t="str">
        <f t="shared" si="2"/>
        <v>Jun</v>
      </c>
      <c r="Q36" s="7">
        <f t="shared" si="0"/>
        <v>2025</v>
      </c>
      <c r="R36" s="23">
        <f t="shared" si="1"/>
        <v>0.17322138996350867</v>
      </c>
    </row>
    <row r="37" spans="1:18">
      <c r="A37" s="7" t="s">
        <v>1133</v>
      </c>
      <c r="B37" s="8">
        <v>46048</v>
      </c>
      <c r="C37" s="7" t="s">
        <v>1134</v>
      </c>
      <c r="D37" s="7" t="s">
        <v>74</v>
      </c>
      <c r="E37" s="7" t="s">
        <v>61</v>
      </c>
      <c r="F37" s="7" t="s">
        <v>89</v>
      </c>
      <c r="G37" s="7">
        <v>1</v>
      </c>
      <c r="H37" s="18">
        <v>320.27999999999997</v>
      </c>
      <c r="I37" s="22">
        <v>0.1</v>
      </c>
      <c r="J37" s="18">
        <v>288.25</v>
      </c>
      <c r="K37" s="18">
        <v>243.11</v>
      </c>
      <c r="L37" s="18">
        <v>45.14</v>
      </c>
      <c r="M37" s="7" t="s">
        <v>35</v>
      </c>
      <c r="N37" s="7" t="s">
        <v>36</v>
      </c>
      <c r="O37" s="7" t="s">
        <v>44</v>
      </c>
      <c r="P37" s="7" t="str">
        <f t="shared" si="2"/>
        <v>Jan</v>
      </c>
      <c r="Q37" s="7">
        <f t="shared" si="0"/>
        <v>2026</v>
      </c>
      <c r="R37" s="23">
        <f t="shared" si="1"/>
        <v>0.15660017346053773</v>
      </c>
    </row>
    <row r="38" spans="1:18">
      <c r="A38" s="7" t="s">
        <v>1017</v>
      </c>
      <c r="B38" s="8">
        <v>45818</v>
      </c>
      <c r="C38" s="7" t="s">
        <v>956</v>
      </c>
      <c r="D38" s="7" t="s">
        <v>95</v>
      </c>
      <c r="E38" s="7" t="s">
        <v>61</v>
      </c>
      <c r="F38" s="7" t="s">
        <v>62</v>
      </c>
      <c r="G38" s="7">
        <v>5</v>
      </c>
      <c r="H38" s="18">
        <v>333.12</v>
      </c>
      <c r="I38" s="22">
        <v>0.2</v>
      </c>
      <c r="J38" s="18">
        <v>1332.48</v>
      </c>
      <c r="K38" s="18">
        <v>870.74</v>
      </c>
      <c r="L38" s="18">
        <v>461.74</v>
      </c>
      <c r="M38" s="7" t="s">
        <v>57</v>
      </c>
      <c r="N38" s="7" t="s">
        <v>63</v>
      </c>
      <c r="O38" s="7" t="s">
        <v>44</v>
      </c>
      <c r="P38" s="7" t="str">
        <f t="shared" si="2"/>
        <v>Jun</v>
      </c>
      <c r="Q38" s="7">
        <f t="shared" si="0"/>
        <v>2025</v>
      </c>
      <c r="R38" s="23">
        <f t="shared" si="1"/>
        <v>0.3465267771373679</v>
      </c>
    </row>
    <row r="39" spans="1:18">
      <c r="A39" s="7" t="s">
        <v>1579</v>
      </c>
      <c r="B39" s="8">
        <v>45842</v>
      </c>
      <c r="C39" s="7" t="s">
        <v>372</v>
      </c>
      <c r="D39" s="7" t="s">
        <v>32</v>
      </c>
      <c r="E39" s="7" t="s">
        <v>41</v>
      </c>
      <c r="F39" s="7" t="s">
        <v>153</v>
      </c>
      <c r="G39" s="7">
        <v>5</v>
      </c>
      <c r="H39" s="18">
        <v>334.06</v>
      </c>
      <c r="I39" s="22">
        <v>0.05</v>
      </c>
      <c r="J39" s="18">
        <v>1586.78</v>
      </c>
      <c r="K39" s="18">
        <v>1090.6500000000001</v>
      </c>
      <c r="L39" s="18">
        <v>496.13</v>
      </c>
      <c r="M39" s="7" t="s">
        <v>35</v>
      </c>
      <c r="N39" s="7" t="s">
        <v>63</v>
      </c>
      <c r="O39" s="7" t="s">
        <v>44</v>
      </c>
      <c r="P39" s="7" t="str">
        <f t="shared" si="2"/>
        <v>Jul</v>
      </c>
      <c r="Q39" s="7">
        <f t="shared" si="0"/>
        <v>2025</v>
      </c>
      <c r="R39" s="23">
        <f t="shared" si="1"/>
        <v>0.31266464160123014</v>
      </c>
    </row>
    <row r="40" spans="1:18">
      <c r="A40" s="7" t="s">
        <v>303</v>
      </c>
      <c r="B40" s="8">
        <v>46138</v>
      </c>
      <c r="C40" s="7" t="s">
        <v>304</v>
      </c>
      <c r="D40" s="7" t="s">
        <v>32</v>
      </c>
      <c r="E40" s="7" t="s">
        <v>48</v>
      </c>
      <c r="F40" s="7" t="s">
        <v>113</v>
      </c>
      <c r="G40" s="7">
        <v>2</v>
      </c>
      <c r="H40" s="18">
        <v>340.87</v>
      </c>
      <c r="I40" s="22">
        <v>0.15</v>
      </c>
      <c r="J40" s="18">
        <v>579.48</v>
      </c>
      <c r="K40" s="18">
        <v>384.98</v>
      </c>
      <c r="L40" s="18">
        <v>194.5</v>
      </c>
      <c r="M40" s="7" t="s">
        <v>35</v>
      </c>
      <c r="N40" s="7" t="s">
        <v>43</v>
      </c>
      <c r="O40" s="7" t="s">
        <v>37</v>
      </c>
      <c r="P40" s="7" t="str">
        <f t="shared" si="2"/>
        <v>Apr</v>
      </c>
      <c r="Q40" s="7">
        <f t="shared" si="0"/>
        <v>2026</v>
      </c>
      <c r="R40" s="23">
        <f t="shared" si="1"/>
        <v>0.33564575136329122</v>
      </c>
    </row>
    <row r="41" spans="1:18">
      <c r="A41" s="7" t="s">
        <v>896</v>
      </c>
      <c r="B41" s="8">
        <v>46257</v>
      </c>
      <c r="C41" s="7" t="s">
        <v>897</v>
      </c>
      <c r="D41" s="7" t="s">
        <v>74</v>
      </c>
      <c r="E41" s="7" t="s">
        <v>33</v>
      </c>
      <c r="F41" s="7" t="s">
        <v>176</v>
      </c>
      <c r="G41" s="7">
        <v>3</v>
      </c>
      <c r="H41" s="18">
        <v>346.26</v>
      </c>
      <c r="I41" s="22">
        <v>0</v>
      </c>
      <c r="J41" s="18">
        <v>1038.78</v>
      </c>
      <c r="K41" s="18">
        <v>817.86</v>
      </c>
      <c r="L41" s="18">
        <v>220.92</v>
      </c>
      <c r="M41" s="7" t="s">
        <v>35</v>
      </c>
      <c r="N41" s="7" t="s">
        <v>36</v>
      </c>
      <c r="O41" s="7" t="s">
        <v>44</v>
      </c>
      <c r="P41" s="7" t="str">
        <f t="shared" si="2"/>
        <v>Aug</v>
      </c>
      <c r="Q41" s="7">
        <f t="shared" si="0"/>
        <v>2026</v>
      </c>
      <c r="R41" s="23">
        <f t="shared" si="1"/>
        <v>0.21267255819326517</v>
      </c>
    </row>
    <row r="42" spans="1:18">
      <c r="A42" s="7" t="s">
        <v>945</v>
      </c>
      <c r="B42" s="8">
        <v>45763</v>
      </c>
      <c r="C42" s="7" t="s">
        <v>175</v>
      </c>
      <c r="D42" s="7" t="s">
        <v>74</v>
      </c>
      <c r="E42" s="7" t="s">
        <v>33</v>
      </c>
      <c r="F42" s="7" t="s">
        <v>34</v>
      </c>
      <c r="G42" s="7">
        <v>3</v>
      </c>
      <c r="H42" s="18">
        <v>346.65</v>
      </c>
      <c r="I42" s="22">
        <v>0.1</v>
      </c>
      <c r="J42" s="18">
        <v>935.95</v>
      </c>
      <c r="K42" s="18">
        <v>583.25</v>
      </c>
      <c r="L42" s="18">
        <v>352.7</v>
      </c>
      <c r="M42" s="7" t="s">
        <v>35</v>
      </c>
      <c r="N42" s="7" t="s">
        <v>36</v>
      </c>
      <c r="O42" s="7" t="s">
        <v>44</v>
      </c>
      <c r="P42" s="7" t="str">
        <f t="shared" si="2"/>
        <v>Apr</v>
      </c>
      <c r="Q42" s="7">
        <f t="shared" si="0"/>
        <v>2025</v>
      </c>
      <c r="R42" s="23">
        <f t="shared" si="1"/>
        <v>0.37683636946418075</v>
      </c>
    </row>
    <row r="43" spans="1:18">
      <c r="A43" s="7" t="s">
        <v>892</v>
      </c>
      <c r="B43" s="8">
        <v>46031</v>
      </c>
      <c r="C43" s="7" t="s">
        <v>382</v>
      </c>
      <c r="D43" s="7" t="s">
        <v>32</v>
      </c>
      <c r="E43" s="7" t="s">
        <v>61</v>
      </c>
      <c r="F43" s="7" t="s">
        <v>84</v>
      </c>
      <c r="G43" s="7">
        <v>1</v>
      </c>
      <c r="H43" s="18">
        <v>350.12</v>
      </c>
      <c r="I43" s="22">
        <v>0.05</v>
      </c>
      <c r="J43" s="18">
        <v>332.61</v>
      </c>
      <c r="K43" s="18">
        <v>230.35</v>
      </c>
      <c r="L43" s="18">
        <v>102.26</v>
      </c>
      <c r="M43" s="7" t="s">
        <v>35</v>
      </c>
      <c r="N43" s="7" t="s">
        <v>63</v>
      </c>
      <c r="O43" s="7" t="s">
        <v>44</v>
      </c>
      <c r="P43" s="7" t="str">
        <f t="shared" si="2"/>
        <v>Jan</v>
      </c>
      <c r="Q43" s="7">
        <f t="shared" si="0"/>
        <v>2026</v>
      </c>
      <c r="R43" s="23">
        <f t="shared" si="1"/>
        <v>0.30744716033793335</v>
      </c>
    </row>
    <row r="44" spans="1:18">
      <c r="A44" s="7" t="s">
        <v>1324</v>
      </c>
      <c r="B44" s="8">
        <v>46054</v>
      </c>
      <c r="C44" s="7" t="s">
        <v>692</v>
      </c>
      <c r="D44" s="7" t="s">
        <v>56</v>
      </c>
      <c r="E44" s="7" t="s">
        <v>33</v>
      </c>
      <c r="F44" s="7" t="s">
        <v>96</v>
      </c>
      <c r="G44" s="7">
        <v>1</v>
      </c>
      <c r="H44" s="18">
        <v>351.77</v>
      </c>
      <c r="I44" s="22">
        <v>0</v>
      </c>
      <c r="J44" s="18">
        <v>351.77</v>
      </c>
      <c r="K44" s="18">
        <v>277.89</v>
      </c>
      <c r="L44" s="18">
        <v>73.88</v>
      </c>
      <c r="M44" s="7" t="s">
        <v>35</v>
      </c>
      <c r="N44" s="7" t="s">
        <v>36</v>
      </c>
      <c r="O44" s="7" t="s">
        <v>44</v>
      </c>
      <c r="P44" s="7" t="str">
        <f t="shared" si="2"/>
        <v>Feb</v>
      </c>
      <c r="Q44" s="7">
        <f t="shared" si="0"/>
        <v>2026</v>
      </c>
      <c r="R44" s="23">
        <f t="shared" si="1"/>
        <v>0.2100235949626176</v>
      </c>
    </row>
    <row r="45" spans="1:18">
      <c r="A45" s="7" t="s">
        <v>1649</v>
      </c>
      <c r="B45" s="8">
        <v>46012</v>
      </c>
      <c r="C45" s="7" t="s">
        <v>1088</v>
      </c>
      <c r="D45" s="7" t="s">
        <v>60</v>
      </c>
      <c r="E45" s="7" t="s">
        <v>41</v>
      </c>
      <c r="F45" s="7" t="s">
        <v>42</v>
      </c>
      <c r="G45" s="7">
        <v>4</v>
      </c>
      <c r="H45" s="18">
        <v>351.9</v>
      </c>
      <c r="I45" s="22">
        <v>0.2</v>
      </c>
      <c r="J45" s="18">
        <v>1126.08</v>
      </c>
      <c r="K45" s="18">
        <v>656.33</v>
      </c>
      <c r="L45" s="18">
        <v>469.75</v>
      </c>
      <c r="M45" s="7" t="s">
        <v>35</v>
      </c>
      <c r="N45" s="7" t="s">
        <v>36</v>
      </c>
      <c r="O45" s="7" t="s">
        <v>44</v>
      </c>
      <c r="P45" s="7" t="str">
        <f t="shared" si="2"/>
        <v>Dec</v>
      </c>
      <c r="Q45" s="7">
        <f t="shared" si="0"/>
        <v>2025</v>
      </c>
      <c r="R45" s="23">
        <f t="shared" si="1"/>
        <v>0.41715508667235013</v>
      </c>
    </row>
    <row r="46" spans="1:18">
      <c r="A46" s="7" t="s">
        <v>705</v>
      </c>
      <c r="B46" s="8">
        <v>45910</v>
      </c>
      <c r="C46" s="7" t="s">
        <v>706</v>
      </c>
      <c r="D46" s="7" t="s">
        <v>40</v>
      </c>
      <c r="E46" s="7" t="s">
        <v>48</v>
      </c>
      <c r="F46" s="7" t="s">
        <v>49</v>
      </c>
      <c r="G46" s="7">
        <v>1</v>
      </c>
      <c r="H46" s="18">
        <v>357.2</v>
      </c>
      <c r="I46" s="22">
        <v>0</v>
      </c>
      <c r="J46" s="18">
        <v>357.2</v>
      </c>
      <c r="K46" s="18">
        <v>287.70999999999998</v>
      </c>
      <c r="L46" s="18">
        <v>69.489999999999995</v>
      </c>
      <c r="M46" s="7" t="s">
        <v>57</v>
      </c>
      <c r="N46" s="7" t="s">
        <v>71</v>
      </c>
      <c r="O46" s="7" t="s">
        <v>37</v>
      </c>
      <c r="P46" s="7" t="str">
        <f t="shared" si="2"/>
        <v>Sep</v>
      </c>
      <c r="Q46" s="7">
        <f t="shared" si="0"/>
        <v>2025</v>
      </c>
      <c r="R46" s="23">
        <f t="shared" si="1"/>
        <v>0.19454087346024634</v>
      </c>
    </row>
    <row r="47" spans="1:18">
      <c r="A47" s="7" t="s">
        <v>1568</v>
      </c>
      <c r="B47" s="8">
        <v>46024</v>
      </c>
      <c r="C47" s="7" t="s">
        <v>1002</v>
      </c>
      <c r="D47" s="7" t="s">
        <v>56</v>
      </c>
      <c r="E47" s="7" t="s">
        <v>48</v>
      </c>
      <c r="F47" s="7" t="s">
        <v>49</v>
      </c>
      <c r="G47" s="7">
        <v>4</v>
      </c>
      <c r="H47" s="18">
        <v>359.1</v>
      </c>
      <c r="I47" s="22">
        <v>0.1</v>
      </c>
      <c r="J47" s="18">
        <v>1292.76</v>
      </c>
      <c r="K47" s="18">
        <v>1050.3399999999999</v>
      </c>
      <c r="L47" s="18">
        <v>242.42</v>
      </c>
      <c r="M47" s="7" t="s">
        <v>35</v>
      </c>
      <c r="N47" s="7" t="s">
        <v>43</v>
      </c>
      <c r="O47" s="7" t="s">
        <v>44</v>
      </c>
      <c r="P47" s="7" t="str">
        <f t="shared" si="2"/>
        <v>Jan</v>
      </c>
      <c r="Q47" s="7">
        <f t="shared" si="0"/>
        <v>2026</v>
      </c>
      <c r="R47" s="23">
        <f t="shared" si="1"/>
        <v>0.18752127231659393</v>
      </c>
    </row>
    <row r="48" spans="1:18">
      <c r="A48" s="7" t="s">
        <v>841</v>
      </c>
      <c r="B48" s="8">
        <v>45989</v>
      </c>
      <c r="C48" s="7" t="s">
        <v>538</v>
      </c>
      <c r="D48" s="7" t="s">
        <v>74</v>
      </c>
      <c r="E48" s="7" t="s">
        <v>33</v>
      </c>
      <c r="F48" s="7" t="s">
        <v>176</v>
      </c>
      <c r="G48" s="7">
        <v>4</v>
      </c>
      <c r="H48" s="18">
        <v>361.77</v>
      </c>
      <c r="I48" s="22">
        <v>0.2</v>
      </c>
      <c r="J48" s="18">
        <v>1157.6600000000001</v>
      </c>
      <c r="K48" s="18">
        <v>964.78</v>
      </c>
      <c r="L48" s="18">
        <v>192.88</v>
      </c>
      <c r="M48" s="7" t="s">
        <v>35</v>
      </c>
      <c r="N48" s="7" t="s">
        <v>36</v>
      </c>
      <c r="O48" s="7" t="s">
        <v>44</v>
      </c>
      <c r="P48" s="7" t="str">
        <f t="shared" si="2"/>
        <v>Nov</v>
      </c>
      <c r="Q48" s="7">
        <f t="shared" si="0"/>
        <v>2025</v>
      </c>
      <c r="R48" s="23">
        <f t="shared" si="1"/>
        <v>0.16661195860615377</v>
      </c>
    </row>
    <row r="49" spans="1:18">
      <c r="A49" s="7" t="s">
        <v>584</v>
      </c>
      <c r="B49" s="8">
        <v>45850</v>
      </c>
      <c r="C49" s="7" t="s">
        <v>245</v>
      </c>
      <c r="D49" s="7" t="s">
        <v>66</v>
      </c>
      <c r="E49" s="7" t="s">
        <v>61</v>
      </c>
      <c r="F49" s="7" t="s">
        <v>81</v>
      </c>
      <c r="G49" s="7">
        <v>5</v>
      </c>
      <c r="H49" s="18">
        <v>363.59</v>
      </c>
      <c r="I49" s="22">
        <v>0.2</v>
      </c>
      <c r="J49" s="18">
        <v>1454.36</v>
      </c>
      <c r="K49" s="18">
        <v>1149.03</v>
      </c>
      <c r="L49" s="18">
        <v>305.33</v>
      </c>
      <c r="M49" s="7" t="s">
        <v>35</v>
      </c>
      <c r="N49" s="7" t="s">
        <v>36</v>
      </c>
      <c r="O49" s="7" t="s">
        <v>44</v>
      </c>
      <c r="P49" s="7" t="str">
        <f t="shared" si="2"/>
        <v>Jul</v>
      </c>
      <c r="Q49" s="7">
        <f t="shared" si="0"/>
        <v>2025</v>
      </c>
      <c r="R49" s="23">
        <f t="shared" si="1"/>
        <v>0.2099411424956682</v>
      </c>
    </row>
    <row r="50" spans="1:18">
      <c r="A50" s="7" t="s">
        <v>1229</v>
      </c>
      <c r="B50" s="8">
        <v>45948</v>
      </c>
      <c r="C50" s="7" t="s">
        <v>161</v>
      </c>
      <c r="D50" s="7" t="s">
        <v>56</v>
      </c>
      <c r="E50" s="7" t="s">
        <v>61</v>
      </c>
      <c r="F50" s="7" t="s">
        <v>84</v>
      </c>
      <c r="G50" s="7">
        <v>5</v>
      </c>
      <c r="H50" s="18">
        <v>372.7</v>
      </c>
      <c r="I50" s="22">
        <v>0.2</v>
      </c>
      <c r="J50" s="18">
        <v>1490.8</v>
      </c>
      <c r="K50" s="18">
        <v>1023.78</v>
      </c>
      <c r="L50" s="18">
        <v>467.02</v>
      </c>
      <c r="M50" s="7" t="s">
        <v>57</v>
      </c>
      <c r="N50" s="7" t="s">
        <v>71</v>
      </c>
      <c r="O50" s="7" t="s">
        <v>44</v>
      </c>
      <c r="P50" s="7" t="str">
        <f t="shared" si="2"/>
        <v>Oct</v>
      </c>
      <c r="Q50" s="7">
        <f t="shared" si="0"/>
        <v>2025</v>
      </c>
      <c r="R50" s="23">
        <f t="shared" si="1"/>
        <v>0.31326804400321973</v>
      </c>
    </row>
    <row r="51" spans="1:18">
      <c r="A51" s="7" t="s">
        <v>105</v>
      </c>
      <c r="B51" s="8">
        <v>45740</v>
      </c>
      <c r="C51" s="7" t="s">
        <v>106</v>
      </c>
      <c r="D51" s="7" t="s">
        <v>95</v>
      </c>
      <c r="E51" s="7" t="s">
        <v>33</v>
      </c>
      <c r="F51" s="7" t="s">
        <v>96</v>
      </c>
      <c r="G51" s="7">
        <v>3</v>
      </c>
      <c r="H51" s="18">
        <v>372.88</v>
      </c>
      <c r="I51" s="22">
        <v>0.2</v>
      </c>
      <c r="J51" s="18">
        <v>894.91</v>
      </c>
      <c r="K51" s="18">
        <v>639.48</v>
      </c>
      <c r="L51" s="18">
        <v>255.43</v>
      </c>
      <c r="M51" s="7" t="s">
        <v>57</v>
      </c>
      <c r="N51" s="7" t="s">
        <v>63</v>
      </c>
      <c r="O51" s="7" t="s">
        <v>37</v>
      </c>
      <c r="P51" s="7" t="str">
        <f t="shared" si="2"/>
        <v>Mar</v>
      </c>
      <c r="Q51" s="7">
        <f t="shared" si="0"/>
        <v>2025</v>
      </c>
      <c r="R51" s="23">
        <f t="shared" si="1"/>
        <v>0.28542535003519909</v>
      </c>
    </row>
    <row r="52" spans="1:18">
      <c r="A52" s="7" t="s">
        <v>1233</v>
      </c>
      <c r="B52" s="8">
        <v>46147</v>
      </c>
      <c r="C52" s="7" t="s">
        <v>519</v>
      </c>
      <c r="D52" s="7" t="s">
        <v>56</v>
      </c>
      <c r="E52" s="7" t="s">
        <v>41</v>
      </c>
      <c r="F52" s="7" t="s">
        <v>124</v>
      </c>
      <c r="G52" s="7">
        <v>6</v>
      </c>
      <c r="H52" s="18">
        <v>380.6</v>
      </c>
      <c r="I52" s="22">
        <v>0.1</v>
      </c>
      <c r="J52" s="18">
        <v>2055.2399999999998</v>
      </c>
      <c r="K52" s="18">
        <v>1366.73</v>
      </c>
      <c r="L52" s="18">
        <v>688.51</v>
      </c>
      <c r="M52" s="7" t="s">
        <v>35</v>
      </c>
      <c r="N52" s="7" t="s">
        <v>36</v>
      </c>
      <c r="O52" s="7" t="s">
        <v>44</v>
      </c>
      <c r="P52" s="7" t="str">
        <f t="shared" si="2"/>
        <v>May</v>
      </c>
      <c r="Q52" s="7">
        <f t="shared" si="0"/>
        <v>2026</v>
      </c>
      <c r="R52" s="23">
        <f t="shared" si="1"/>
        <v>0.33500223818142899</v>
      </c>
    </row>
    <row r="53" spans="1:18">
      <c r="A53" s="7" t="s">
        <v>1699</v>
      </c>
      <c r="B53" s="8">
        <v>45679</v>
      </c>
      <c r="C53" s="7" t="s">
        <v>142</v>
      </c>
      <c r="D53" s="7" t="s">
        <v>52</v>
      </c>
      <c r="E53" s="7" t="s">
        <v>61</v>
      </c>
      <c r="F53" s="7" t="s">
        <v>81</v>
      </c>
      <c r="G53" s="7">
        <v>6</v>
      </c>
      <c r="H53" s="18">
        <v>403.25</v>
      </c>
      <c r="I53" s="22">
        <v>0.15</v>
      </c>
      <c r="J53" s="18">
        <v>2056.5700000000002</v>
      </c>
      <c r="K53" s="18">
        <v>1360.17</v>
      </c>
      <c r="L53" s="18">
        <v>696.4</v>
      </c>
      <c r="M53" s="7" t="s">
        <v>57</v>
      </c>
      <c r="N53" s="7" t="s">
        <v>71</v>
      </c>
      <c r="O53" s="7" t="s">
        <v>37</v>
      </c>
      <c r="P53" s="7" t="str">
        <f t="shared" si="2"/>
        <v>Jan</v>
      </c>
      <c r="Q53" s="7">
        <f t="shared" si="0"/>
        <v>2025</v>
      </c>
      <c r="R53" s="23">
        <f t="shared" si="1"/>
        <v>0.33862207461939048</v>
      </c>
    </row>
    <row r="54" spans="1:18">
      <c r="A54" s="7" t="s">
        <v>1708</v>
      </c>
      <c r="B54" s="8">
        <v>45704</v>
      </c>
      <c r="C54" s="7" t="s">
        <v>318</v>
      </c>
      <c r="D54" s="7" t="s">
        <v>52</v>
      </c>
      <c r="E54" s="7" t="s">
        <v>48</v>
      </c>
      <c r="F54" s="7" t="s">
        <v>113</v>
      </c>
      <c r="G54" s="7">
        <v>2</v>
      </c>
      <c r="H54" s="18">
        <v>416.17</v>
      </c>
      <c r="I54" s="22">
        <v>0.2</v>
      </c>
      <c r="J54" s="18">
        <v>665.87</v>
      </c>
      <c r="K54" s="18">
        <v>467.19</v>
      </c>
      <c r="L54" s="18">
        <v>198.68</v>
      </c>
      <c r="M54" s="7" t="s">
        <v>57</v>
      </c>
      <c r="N54" s="7" t="s">
        <v>36</v>
      </c>
      <c r="O54" s="7" t="s">
        <v>44</v>
      </c>
      <c r="P54" s="7" t="str">
        <f t="shared" si="2"/>
        <v>Feb</v>
      </c>
      <c r="Q54" s="7">
        <f t="shared" si="0"/>
        <v>2025</v>
      </c>
      <c r="R54" s="23">
        <f t="shared" si="1"/>
        <v>0.29837655998918711</v>
      </c>
    </row>
    <row r="55" spans="1:18">
      <c r="A55" s="7" t="s">
        <v>1281</v>
      </c>
      <c r="B55" s="8">
        <v>45704</v>
      </c>
      <c r="C55" s="7" t="s">
        <v>1282</v>
      </c>
      <c r="D55" s="7" t="s">
        <v>95</v>
      </c>
      <c r="E55" s="7" t="s">
        <v>48</v>
      </c>
      <c r="F55" s="7" t="s">
        <v>99</v>
      </c>
      <c r="G55" s="7">
        <v>5</v>
      </c>
      <c r="H55" s="18">
        <v>422.45</v>
      </c>
      <c r="I55" s="22">
        <v>0.05</v>
      </c>
      <c r="J55" s="18">
        <v>2006.64</v>
      </c>
      <c r="K55" s="18">
        <v>1280.05</v>
      </c>
      <c r="L55" s="18">
        <v>726.59</v>
      </c>
      <c r="M55" s="7" t="s">
        <v>35</v>
      </c>
      <c r="N55" s="7" t="s">
        <v>63</v>
      </c>
      <c r="O55" s="7" t="s">
        <v>44</v>
      </c>
      <c r="P55" s="7" t="str">
        <f t="shared" si="2"/>
        <v>Feb</v>
      </c>
      <c r="Q55" s="7">
        <f t="shared" si="0"/>
        <v>2025</v>
      </c>
      <c r="R55" s="23">
        <f t="shared" si="1"/>
        <v>0.36209285173224892</v>
      </c>
    </row>
    <row r="56" spans="1:18">
      <c r="A56" s="7" t="s">
        <v>478</v>
      </c>
      <c r="B56" s="8">
        <v>45879</v>
      </c>
      <c r="C56" s="7" t="s">
        <v>220</v>
      </c>
      <c r="D56" s="7" t="s">
        <v>74</v>
      </c>
      <c r="E56" s="7" t="s">
        <v>61</v>
      </c>
      <c r="F56" s="7" t="s">
        <v>89</v>
      </c>
      <c r="G56" s="7">
        <v>1</v>
      </c>
      <c r="H56" s="18">
        <v>434.66</v>
      </c>
      <c r="I56" s="22">
        <v>0.05</v>
      </c>
      <c r="J56" s="18">
        <v>412.93</v>
      </c>
      <c r="K56" s="18">
        <v>344.68</v>
      </c>
      <c r="L56" s="18">
        <v>68.25</v>
      </c>
      <c r="M56" s="7" t="s">
        <v>35</v>
      </c>
      <c r="N56" s="7" t="s">
        <v>71</v>
      </c>
      <c r="O56" s="7" t="s">
        <v>44</v>
      </c>
      <c r="P56" s="7" t="str">
        <f t="shared" si="2"/>
        <v>Aug</v>
      </c>
      <c r="Q56" s="7">
        <f t="shared" si="0"/>
        <v>2025</v>
      </c>
      <c r="R56" s="23">
        <f t="shared" si="1"/>
        <v>0.16528225122902188</v>
      </c>
    </row>
    <row r="57" spans="1:18">
      <c r="A57" s="7" t="s">
        <v>711</v>
      </c>
      <c r="B57" s="8">
        <v>45691</v>
      </c>
      <c r="C57" s="7" t="s">
        <v>712</v>
      </c>
      <c r="D57" s="7" t="s">
        <v>74</v>
      </c>
      <c r="E57" s="7" t="s">
        <v>41</v>
      </c>
      <c r="F57" s="7" t="s">
        <v>119</v>
      </c>
      <c r="G57" s="7">
        <v>1</v>
      </c>
      <c r="H57" s="18">
        <v>436.37</v>
      </c>
      <c r="I57" s="22">
        <v>0.2</v>
      </c>
      <c r="J57" s="18">
        <v>349.1</v>
      </c>
      <c r="K57" s="18">
        <v>208.75</v>
      </c>
      <c r="L57" s="18">
        <v>140.35</v>
      </c>
      <c r="M57" s="7" t="s">
        <v>57</v>
      </c>
      <c r="N57" s="7" t="s">
        <v>43</v>
      </c>
      <c r="O57" s="7" t="s">
        <v>44</v>
      </c>
      <c r="P57" s="7" t="str">
        <f t="shared" si="2"/>
        <v>Feb</v>
      </c>
      <c r="Q57" s="7">
        <f t="shared" si="0"/>
        <v>2025</v>
      </c>
      <c r="R57" s="23">
        <f t="shared" si="1"/>
        <v>0.40203380120309362</v>
      </c>
    </row>
    <row r="58" spans="1:18">
      <c r="A58" s="7" t="s">
        <v>1115</v>
      </c>
      <c r="B58" s="8">
        <v>46156</v>
      </c>
      <c r="C58" s="7" t="s">
        <v>1116</v>
      </c>
      <c r="D58" s="7" t="s">
        <v>95</v>
      </c>
      <c r="E58" s="7" t="s">
        <v>48</v>
      </c>
      <c r="F58" s="7" t="s">
        <v>102</v>
      </c>
      <c r="G58" s="7">
        <v>6</v>
      </c>
      <c r="H58" s="18">
        <v>437.51</v>
      </c>
      <c r="I58" s="22">
        <v>0.2</v>
      </c>
      <c r="J58" s="18">
        <v>2100.0500000000002</v>
      </c>
      <c r="K58" s="18">
        <v>1427.05</v>
      </c>
      <c r="L58" s="18">
        <v>673</v>
      </c>
      <c r="M58" s="7" t="s">
        <v>35</v>
      </c>
      <c r="N58" s="7" t="s">
        <v>63</v>
      </c>
      <c r="O58" s="7" t="s">
        <v>44</v>
      </c>
      <c r="P58" s="7" t="str">
        <f t="shared" si="2"/>
        <v>May</v>
      </c>
      <c r="Q58" s="7">
        <f t="shared" si="0"/>
        <v>2026</v>
      </c>
      <c r="R58" s="23">
        <f t="shared" si="1"/>
        <v>0.32046856027237441</v>
      </c>
    </row>
    <row r="59" spans="1:18">
      <c r="A59" s="7" t="s">
        <v>1556</v>
      </c>
      <c r="B59" s="8">
        <v>45828</v>
      </c>
      <c r="C59" s="7" t="s">
        <v>1557</v>
      </c>
      <c r="D59" s="7" t="s">
        <v>52</v>
      </c>
      <c r="E59" s="7" t="s">
        <v>41</v>
      </c>
      <c r="F59" s="7" t="s">
        <v>153</v>
      </c>
      <c r="G59" s="7">
        <v>6</v>
      </c>
      <c r="H59" s="18">
        <v>440.16</v>
      </c>
      <c r="I59" s="22">
        <v>0.05</v>
      </c>
      <c r="J59" s="18">
        <v>2508.91</v>
      </c>
      <c r="K59" s="18">
        <v>1529.18</v>
      </c>
      <c r="L59" s="18">
        <v>979.73</v>
      </c>
      <c r="M59" s="7" t="s">
        <v>57</v>
      </c>
      <c r="N59" s="7" t="s">
        <v>36</v>
      </c>
      <c r="O59" s="7" t="s">
        <v>44</v>
      </c>
      <c r="P59" s="7" t="str">
        <f t="shared" si="2"/>
        <v>Jun</v>
      </c>
      <c r="Q59" s="7">
        <f t="shared" si="0"/>
        <v>2025</v>
      </c>
      <c r="R59" s="23">
        <f t="shared" si="1"/>
        <v>0.39050025708375352</v>
      </c>
    </row>
    <row r="60" spans="1:18">
      <c r="A60" s="7" t="s">
        <v>1418</v>
      </c>
      <c r="B60" s="8">
        <v>45842</v>
      </c>
      <c r="C60" s="7" t="s">
        <v>646</v>
      </c>
      <c r="D60" s="7" t="s">
        <v>66</v>
      </c>
      <c r="E60" s="7" t="s">
        <v>61</v>
      </c>
      <c r="F60" s="7" t="s">
        <v>89</v>
      </c>
      <c r="G60" s="7">
        <v>5</v>
      </c>
      <c r="H60" s="18">
        <v>441.04</v>
      </c>
      <c r="I60" s="22">
        <v>0</v>
      </c>
      <c r="J60" s="18">
        <v>2205.1999999999998</v>
      </c>
      <c r="K60" s="18">
        <v>1441.9</v>
      </c>
      <c r="L60" s="18">
        <v>763.3</v>
      </c>
      <c r="M60" s="7" t="s">
        <v>57</v>
      </c>
      <c r="N60" s="7" t="s">
        <v>71</v>
      </c>
      <c r="O60" s="7" t="s">
        <v>44</v>
      </c>
      <c r="P60" s="7" t="str">
        <f t="shared" si="2"/>
        <v>Jul</v>
      </c>
      <c r="Q60" s="7">
        <f t="shared" si="0"/>
        <v>2025</v>
      </c>
      <c r="R60" s="23">
        <f t="shared" si="1"/>
        <v>0.34613640486123709</v>
      </c>
    </row>
    <row r="61" spans="1:18">
      <c r="A61" s="7" t="s">
        <v>1394</v>
      </c>
      <c r="B61" s="8">
        <v>45924</v>
      </c>
      <c r="C61" s="7" t="s">
        <v>553</v>
      </c>
      <c r="D61" s="7" t="s">
        <v>1395</v>
      </c>
      <c r="E61" s="7" t="s">
        <v>33</v>
      </c>
      <c r="F61" s="7" t="s">
        <v>67</v>
      </c>
      <c r="G61" s="7">
        <v>2</v>
      </c>
      <c r="H61" s="18">
        <v>441.13</v>
      </c>
      <c r="I61" s="22">
        <v>0</v>
      </c>
      <c r="J61" s="18">
        <v>882.26</v>
      </c>
      <c r="K61" s="18">
        <v>552.37</v>
      </c>
      <c r="L61" s="18">
        <v>329.89</v>
      </c>
      <c r="M61" s="7" t="s">
        <v>57</v>
      </c>
      <c r="N61" s="7" t="s">
        <v>71</v>
      </c>
      <c r="O61" s="7" t="s">
        <v>37</v>
      </c>
      <c r="P61" s="7" t="str">
        <f t="shared" si="2"/>
        <v>Sep</v>
      </c>
      <c r="Q61" s="7">
        <f t="shared" si="0"/>
        <v>2025</v>
      </c>
      <c r="R61" s="23">
        <f t="shared" si="1"/>
        <v>0.3739147190170698</v>
      </c>
    </row>
    <row r="62" spans="1:18">
      <c r="A62" s="7" t="s">
        <v>356</v>
      </c>
      <c r="B62" s="8">
        <v>45755</v>
      </c>
      <c r="C62" s="7" t="s">
        <v>245</v>
      </c>
      <c r="D62" s="7" t="s">
        <v>52</v>
      </c>
      <c r="E62" s="7" t="s">
        <v>61</v>
      </c>
      <c r="F62" s="7" t="s">
        <v>62</v>
      </c>
      <c r="G62" s="7">
        <v>2</v>
      </c>
      <c r="H62" s="18">
        <v>445.12</v>
      </c>
      <c r="I62" s="22">
        <v>0.1</v>
      </c>
      <c r="J62" s="18">
        <v>801.22</v>
      </c>
      <c r="K62" s="18">
        <v>469.97</v>
      </c>
      <c r="L62" s="18">
        <v>331.25</v>
      </c>
      <c r="M62" s="7" t="s">
        <v>57</v>
      </c>
      <c r="N62" s="7" t="s">
        <v>63</v>
      </c>
      <c r="O62" s="7" t="s">
        <v>44</v>
      </c>
      <c r="P62" s="7" t="str">
        <f t="shared" si="2"/>
        <v>Apr</v>
      </c>
      <c r="Q62" s="7">
        <f t="shared" si="0"/>
        <v>2025</v>
      </c>
      <c r="R62" s="23">
        <f t="shared" si="1"/>
        <v>0.4134320161753326</v>
      </c>
    </row>
    <row r="63" spans="1:18">
      <c r="A63" s="7" t="s">
        <v>490</v>
      </c>
      <c r="B63" s="8">
        <v>46102</v>
      </c>
      <c r="C63" s="7" t="s">
        <v>484</v>
      </c>
      <c r="D63" s="7" t="s">
        <v>60</v>
      </c>
      <c r="E63" s="7" t="s">
        <v>48</v>
      </c>
      <c r="F63" s="7" t="s">
        <v>49</v>
      </c>
      <c r="G63" s="7">
        <v>5</v>
      </c>
      <c r="H63" s="18">
        <v>448.39</v>
      </c>
      <c r="I63" s="22">
        <v>0.05</v>
      </c>
      <c r="J63" s="18">
        <v>2129.85</v>
      </c>
      <c r="K63" s="18">
        <v>1412.17</v>
      </c>
      <c r="L63" s="18">
        <v>717.68</v>
      </c>
      <c r="M63" s="7" t="s">
        <v>35</v>
      </c>
      <c r="N63" s="7" t="s">
        <v>36</v>
      </c>
      <c r="O63" s="7" t="s">
        <v>44</v>
      </c>
      <c r="P63" s="7" t="str">
        <f t="shared" si="2"/>
        <v>Mar</v>
      </c>
      <c r="Q63" s="7">
        <f t="shared" si="0"/>
        <v>2026</v>
      </c>
      <c r="R63" s="23">
        <f t="shared" si="1"/>
        <v>0.33696269690353781</v>
      </c>
    </row>
    <row r="64" spans="1:18">
      <c r="A64" s="7" t="s">
        <v>1669</v>
      </c>
      <c r="B64" s="8">
        <v>45969</v>
      </c>
      <c r="C64" s="7" t="s">
        <v>121</v>
      </c>
      <c r="D64" s="7" t="s">
        <v>134</v>
      </c>
      <c r="E64" s="7" t="s">
        <v>33</v>
      </c>
      <c r="F64" s="7" t="s">
        <v>96</v>
      </c>
      <c r="G64" s="7">
        <v>3</v>
      </c>
      <c r="H64" s="18">
        <v>456.07</v>
      </c>
      <c r="I64" s="22">
        <v>0</v>
      </c>
      <c r="J64" s="18">
        <v>1368.21</v>
      </c>
      <c r="K64" s="18">
        <v>1030.74</v>
      </c>
      <c r="L64" s="18">
        <v>337.47</v>
      </c>
      <c r="M64" s="7" t="s">
        <v>35</v>
      </c>
      <c r="N64" s="7" t="s">
        <v>63</v>
      </c>
      <c r="O64" s="7" t="s">
        <v>44</v>
      </c>
      <c r="P64" s="7" t="str">
        <f t="shared" si="2"/>
        <v>Nov</v>
      </c>
      <c r="Q64" s="7">
        <f t="shared" si="0"/>
        <v>2025</v>
      </c>
      <c r="R64" s="23">
        <f t="shared" si="1"/>
        <v>0.24665073344004212</v>
      </c>
    </row>
    <row r="65" spans="1:18">
      <c r="A65" s="7" t="s">
        <v>1754</v>
      </c>
      <c r="B65" s="8">
        <v>45856</v>
      </c>
      <c r="C65" s="7" t="s">
        <v>232</v>
      </c>
      <c r="D65" s="7" t="s">
        <v>47</v>
      </c>
      <c r="E65" s="7" t="s">
        <v>61</v>
      </c>
      <c r="F65" s="7" t="s">
        <v>62</v>
      </c>
      <c r="G65" s="7">
        <v>3</v>
      </c>
      <c r="H65" s="18">
        <v>456.92</v>
      </c>
      <c r="I65" s="22">
        <v>0.2</v>
      </c>
      <c r="J65" s="18">
        <v>1096.6099999999999</v>
      </c>
      <c r="K65" s="18">
        <v>812.99</v>
      </c>
      <c r="L65" s="18">
        <v>283.62</v>
      </c>
      <c r="M65" s="7" t="s">
        <v>57</v>
      </c>
      <c r="N65" s="7" t="s">
        <v>71</v>
      </c>
      <c r="O65" s="7" t="s">
        <v>44</v>
      </c>
      <c r="P65" s="7" t="str">
        <f t="shared" si="2"/>
        <v>Jul</v>
      </c>
      <c r="Q65" s="7">
        <f t="shared" si="0"/>
        <v>2025</v>
      </c>
      <c r="R65" s="23">
        <f t="shared" si="1"/>
        <v>0.25863342482742274</v>
      </c>
    </row>
    <row r="66" spans="1:18">
      <c r="A66" s="7" t="s">
        <v>1236</v>
      </c>
      <c r="B66" s="8">
        <v>46162</v>
      </c>
      <c r="C66" s="7" t="s">
        <v>389</v>
      </c>
      <c r="D66" s="7" t="s">
        <v>95</v>
      </c>
      <c r="E66" s="7" t="s">
        <v>61</v>
      </c>
      <c r="F66" s="7" t="s">
        <v>84</v>
      </c>
      <c r="G66" s="7">
        <v>6</v>
      </c>
      <c r="H66" s="18">
        <v>458.64</v>
      </c>
      <c r="I66" s="22">
        <v>0.2</v>
      </c>
      <c r="J66" s="18">
        <v>2201.4699999999998</v>
      </c>
      <c r="K66" s="18">
        <v>1755.44</v>
      </c>
      <c r="L66" s="18">
        <v>446.03</v>
      </c>
      <c r="M66" s="7" t="s">
        <v>35</v>
      </c>
      <c r="N66" s="7" t="s">
        <v>36</v>
      </c>
      <c r="O66" s="7" t="s">
        <v>37</v>
      </c>
      <c r="P66" s="7" t="str">
        <f t="shared" ref="P66:P129" si="3">TEXT(B66,"mmm")</f>
        <v>May</v>
      </c>
      <c r="Q66" s="7">
        <f t="shared" ref="Q66:Q129" si="4">YEAR(B66)</f>
        <v>2026</v>
      </c>
      <c r="R66" s="23">
        <f t="shared" ref="R66:R129" si="5">IFERROR(L66/J66,0)</f>
        <v>0.20260553175832513</v>
      </c>
    </row>
    <row r="67" spans="1:18">
      <c r="A67" s="7" t="s">
        <v>1111</v>
      </c>
      <c r="B67" s="8">
        <v>45671</v>
      </c>
      <c r="C67" s="7" t="s">
        <v>1112</v>
      </c>
      <c r="D67" s="7" t="s">
        <v>95</v>
      </c>
      <c r="E67" s="7" t="s">
        <v>33</v>
      </c>
      <c r="F67" s="7" t="s">
        <v>34</v>
      </c>
      <c r="G67" s="7">
        <v>5</v>
      </c>
      <c r="H67" s="18">
        <v>467.64</v>
      </c>
      <c r="I67" s="22">
        <v>0.1</v>
      </c>
      <c r="J67" s="18">
        <v>2104.38</v>
      </c>
      <c r="K67" s="18">
        <v>1581.61</v>
      </c>
      <c r="L67" s="18">
        <v>522.77</v>
      </c>
      <c r="M67" s="7" t="s">
        <v>35</v>
      </c>
      <c r="N67" s="7" t="s">
        <v>71</v>
      </c>
      <c r="O67" s="7" t="s">
        <v>44</v>
      </c>
      <c r="P67" s="7" t="str">
        <f t="shared" si="3"/>
        <v>Jan</v>
      </c>
      <c r="Q67" s="7">
        <f t="shared" si="4"/>
        <v>2025</v>
      </c>
      <c r="R67" s="23">
        <f t="shared" si="5"/>
        <v>0.24841996217413204</v>
      </c>
    </row>
    <row r="68" spans="1:18">
      <c r="A68" s="7" t="s">
        <v>1589</v>
      </c>
      <c r="B68" s="8">
        <v>45822</v>
      </c>
      <c r="C68" s="7" t="s">
        <v>248</v>
      </c>
      <c r="D68" s="7" t="s">
        <v>40</v>
      </c>
      <c r="E68" s="7" t="s">
        <v>61</v>
      </c>
      <c r="F68" s="7" t="s">
        <v>89</v>
      </c>
      <c r="G68" s="7">
        <v>1</v>
      </c>
      <c r="H68" s="18">
        <v>467.69</v>
      </c>
      <c r="I68" s="22">
        <v>0</v>
      </c>
      <c r="J68" s="18">
        <v>467.69</v>
      </c>
      <c r="K68" s="18">
        <v>345.76</v>
      </c>
      <c r="L68" s="18">
        <v>121.93</v>
      </c>
      <c r="M68" s="7" t="s">
        <v>35</v>
      </c>
      <c r="N68" s="7" t="s">
        <v>43</v>
      </c>
      <c r="O68" s="7" t="s">
        <v>44</v>
      </c>
      <c r="P68" s="7" t="str">
        <f t="shared" si="3"/>
        <v>Jun</v>
      </c>
      <c r="Q68" s="7">
        <f t="shared" si="4"/>
        <v>2025</v>
      </c>
      <c r="R68" s="23">
        <f t="shared" si="5"/>
        <v>0.26070687848788732</v>
      </c>
    </row>
    <row r="69" spans="1:18">
      <c r="A69" s="7" t="s">
        <v>1352</v>
      </c>
      <c r="B69" s="8">
        <v>45705</v>
      </c>
      <c r="C69" s="7" t="s">
        <v>771</v>
      </c>
      <c r="D69" s="7" t="s">
        <v>66</v>
      </c>
      <c r="E69" s="7" t="s">
        <v>33</v>
      </c>
      <c r="F69" s="7" t="s">
        <v>96</v>
      </c>
      <c r="G69" s="7">
        <v>6</v>
      </c>
      <c r="H69" s="18">
        <v>474.16</v>
      </c>
      <c r="I69" s="22">
        <v>0</v>
      </c>
      <c r="J69" s="18">
        <v>2844.96</v>
      </c>
      <c r="K69" s="18">
        <v>2149.21</v>
      </c>
      <c r="L69" s="18">
        <v>695.75</v>
      </c>
      <c r="M69" s="7" t="s">
        <v>35</v>
      </c>
      <c r="N69" s="7" t="s">
        <v>36</v>
      </c>
      <c r="O69" s="7" t="s">
        <v>44</v>
      </c>
      <c r="P69" s="7" t="str">
        <f t="shared" si="3"/>
        <v>Feb</v>
      </c>
      <c r="Q69" s="7">
        <f t="shared" si="4"/>
        <v>2025</v>
      </c>
      <c r="R69" s="23">
        <f t="shared" si="5"/>
        <v>0.24455528372982396</v>
      </c>
    </row>
    <row r="70" spans="1:18">
      <c r="A70" s="7" t="s">
        <v>512</v>
      </c>
      <c r="B70" s="8">
        <v>45816</v>
      </c>
      <c r="C70" s="7" t="s">
        <v>513</v>
      </c>
      <c r="D70" s="7" t="s">
        <v>52</v>
      </c>
      <c r="E70" s="7" t="s">
        <v>33</v>
      </c>
      <c r="F70" s="7" t="s">
        <v>67</v>
      </c>
      <c r="G70" s="7">
        <v>1</v>
      </c>
      <c r="H70" s="18">
        <v>480.6</v>
      </c>
      <c r="I70" s="22">
        <v>0.15</v>
      </c>
      <c r="J70" s="18">
        <v>408.51</v>
      </c>
      <c r="K70" s="18">
        <v>226</v>
      </c>
      <c r="L70" s="18">
        <v>182.51</v>
      </c>
      <c r="M70" s="7" t="s">
        <v>35</v>
      </c>
      <c r="N70" s="7" t="s">
        <v>63</v>
      </c>
      <c r="O70" s="7" t="s">
        <v>44</v>
      </c>
      <c r="P70" s="7" t="str">
        <f t="shared" si="3"/>
        <v>Jun</v>
      </c>
      <c r="Q70" s="7">
        <f t="shared" si="4"/>
        <v>2025</v>
      </c>
      <c r="R70" s="23">
        <f t="shared" si="5"/>
        <v>0.44676996891140974</v>
      </c>
    </row>
    <row r="71" spans="1:18">
      <c r="A71" s="7" t="s">
        <v>1223</v>
      </c>
      <c r="B71" s="8">
        <v>46027</v>
      </c>
      <c r="C71" s="7" t="s">
        <v>737</v>
      </c>
      <c r="D71" s="7" t="s">
        <v>134</v>
      </c>
      <c r="E71" s="7" t="s">
        <v>41</v>
      </c>
      <c r="F71" s="7" t="s">
        <v>42</v>
      </c>
      <c r="G71" s="7">
        <v>3</v>
      </c>
      <c r="H71" s="18">
        <v>481.3</v>
      </c>
      <c r="I71" s="22">
        <v>0</v>
      </c>
      <c r="J71" s="18">
        <v>1443.9</v>
      </c>
      <c r="K71" s="18">
        <v>1209.56</v>
      </c>
      <c r="L71" s="18">
        <v>234.34</v>
      </c>
      <c r="M71" s="7" t="s">
        <v>35</v>
      </c>
      <c r="N71" s="7" t="s">
        <v>43</v>
      </c>
      <c r="O71" s="7" t="s">
        <v>44</v>
      </c>
      <c r="P71" s="7" t="str">
        <f t="shared" si="3"/>
        <v>Jan</v>
      </c>
      <c r="Q71" s="7">
        <f t="shared" si="4"/>
        <v>2026</v>
      </c>
      <c r="R71" s="23">
        <f t="shared" si="5"/>
        <v>0.16229655793337489</v>
      </c>
    </row>
    <row r="72" spans="1:18">
      <c r="A72" s="7" t="s">
        <v>1450</v>
      </c>
      <c r="B72" s="8">
        <v>46148</v>
      </c>
      <c r="C72" s="7" t="s">
        <v>217</v>
      </c>
      <c r="D72" s="7" t="s">
        <v>32</v>
      </c>
      <c r="E72" s="7" t="s">
        <v>48</v>
      </c>
      <c r="F72" s="7" t="s">
        <v>102</v>
      </c>
      <c r="G72" s="7">
        <v>3</v>
      </c>
      <c r="H72" s="18">
        <v>485.46</v>
      </c>
      <c r="I72" s="22">
        <v>0</v>
      </c>
      <c r="J72" s="18">
        <v>1456.38</v>
      </c>
      <c r="K72" s="18">
        <v>1181.93</v>
      </c>
      <c r="L72" s="18">
        <v>274.45</v>
      </c>
      <c r="M72" s="7" t="s">
        <v>57</v>
      </c>
      <c r="N72" s="7" t="s">
        <v>36</v>
      </c>
      <c r="O72" s="7" t="s">
        <v>44</v>
      </c>
      <c r="P72" s="7" t="str">
        <f t="shared" si="3"/>
        <v>May</v>
      </c>
      <c r="Q72" s="7">
        <f t="shared" si="4"/>
        <v>2026</v>
      </c>
      <c r="R72" s="23">
        <f t="shared" si="5"/>
        <v>0.18844669660390831</v>
      </c>
    </row>
    <row r="73" spans="1:18">
      <c r="A73" s="7" t="s">
        <v>1241</v>
      </c>
      <c r="B73" s="8">
        <v>46204</v>
      </c>
      <c r="C73" s="7" t="s">
        <v>352</v>
      </c>
      <c r="D73" s="7" t="s">
        <v>60</v>
      </c>
      <c r="E73" s="7" t="s">
        <v>48</v>
      </c>
      <c r="F73" s="7" t="s">
        <v>113</v>
      </c>
      <c r="G73" s="7">
        <v>6</v>
      </c>
      <c r="H73" s="18">
        <v>488.23</v>
      </c>
      <c r="I73" s="22">
        <v>0.1</v>
      </c>
      <c r="J73" s="18">
        <v>2636.44</v>
      </c>
      <c r="K73" s="18">
        <v>1821.44</v>
      </c>
      <c r="L73" s="18">
        <v>815</v>
      </c>
      <c r="M73" s="7" t="s">
        <v>35</v>
      </c>
      <c r="N73" s="7" t="s">
        <v>43</v>
      </c>
      <c r="O73" s="7" t="s">
        <v>44</v>
      </c>
      <c r="P73" s="7" t="str">
        <f t="shared" si="3"/>
        <v>Jul</v>
      </c>
      <c r="Q73" s="7">
        <f t="shared" si="4"/>
        <v>2026</v>
      </c>
      <c r="R73" s="23">
        <f t="shared" si="5"/>
        <v>0.30912897695377101</v>
      </c>
    </row>
    <row r="74" spans="1:18">
      <c r="A74" s="7" t="s">
        <v>212</v>
      </c>
      <c r="B74" s="8">
        <v>45678</v>
      </c>
      <c r="C74" s="7" t="s">
        <v>213</v>
      </c>
      <c r="D74" s="7" t="s">
        <v>134</v>
      </c>
      <c r="E74" s="7" t="s">
        <v>41</v>
      </c>
      <c r="F74" s="7" t="s">
        <v>153</v>
      </c>
      <c r="G74" s="7">
        <v>2</v>
      </c>
      <c r="H74" s="18">
        <v>491.42</v>
      </c>
      <c r="I74" s="22">
        <v>0.05</v>
      </c>
      <c r="J74" s="18">
        <v>933.7</v>
      </c>
      <c r="K74" s="18">
        <v>641.91</v>
      </c>
      <c r="L74" s="18">
        <v>291.79000000000002</v>
      </c>
      <c r="M74" s="7" t="s">
        <v>57</v>
      </c>
      <c r="N74" s="7" t="s">
        <v>43</v>
      </c>
      <c r="O74" s="7" t="s">
        <v>44</v>
      </c>
      <c r="P74" s="7" t="str">
        <f t="shared" si="3"/>
        <v>Jan</v>
      </c>
      <c r="Q74" s="7">
        <f t="shared" si="4"/>
        <v>2025</v>
      </c>
      <c r="R74" s="23">
        <f t="shared" si="5"/>
        <v>0.31250937131841061</v>
      </c>
    </row>
    <row r="75" spans="1:18">
      <c r="A75" s="7" t="s">
        <v>206</v>
      </c>
      <c r="B75" s="8">
        <v>45879</v>
      </c>
      <c r="C75" s="7" t="s">
        <v>207</v>
      </c>
      <c r="D75" s="7" t="s">
        <v>52</v>
      </c>
      <c r="E75" s="7" t="s">
        <v>48</v>
      </c>
      <c r="F75" s="7" t="s">
        <v>102</v>
      </c>
      <c r="G75" s="7">
        <v>2</v>
      </c>
      <c r="H75" s="18">
        <v>493.22</v>
      </c>
      <c r="I75" s="22">
        <v>0.05</v>
      </c>
      <c r="J75" s="18">
        <v>937.12</v>
      </c>
      <c r="K75" s="18">
        <v>653.37</v>
      </c>
      <c r="L75" s="18">
        <v>283.75</v>
      </c>
      <c r="M75" s="7" t="s">
        <v>35</v>
      </c>
      <c r="N75" s="7" t="s">
        <v>36</v>
      </c>
      <c r="O75" s="7" t="s">
        <v>44</v>
      </c>
      <c r="P75" s="7" t="str">
        <f t="shared" si="3"/>
        <v>Aug</v>
      </c>
      <c r="Q75" s="7">
        <f t="shared" si="4"/>
        <v>2025</v>
      </c>
      <c r="R75" s="23">
        <f t="shared" si="5"/>
        <v>0.30278939730237325</v>
      </c>
    </row>
    <row r="76" spans="1:18">
      <c r="A76" s="7" t="s">
        <v>444</v>
      </c>
      <c r="B76" s="8">
        <v>46144</v>
      </c>
      <c r="C76" s="7" t="s">
        <v>445</v>
      </c>
      <c r="D76" s="7" t="s">
        <v>134</v>
      </c>
      <c r="E76" s="7" t="s">
        <v>48</v>
      </c>
      <c r="F76" s="7" t="s">
        <v>99</v>
      </c>
      <c r="G76" s="7">
        <v>3</v>
      </c>
      <c r="H76" s="18">
        <v>494.37</v>
      </c>
      <c r="I76" s="22">
        <v>0</v>
      </c>
      <c r="J76" s="18">
        <v>1483.11</v>
      </c>
      <c r="K76" s="18">
        <v>959.2</v>
      </c>
      <c r="L76" s="18">
        <v>523.91</v>
      </c>
      <c r="M76" s="7" t="s">
        <v>35</v>
      </c>
      <c r="N76" s="7" t="s">
        <v>36</v>
      </c>
      <c r="O76" s="7" t="s">
        <v>37</v>
      </c>
      <c r="P76" s="7" t="str">
        <f t="shared" si="3"/>
        <v>May</v>
      </c>
      <c r="Q76" s="7">
        <f t="shared" si="4"/>
        <v>2026</v>
      </c>
      <c r="R76" s="23">
        <f t="shared" si="5"/>
        <v>0.35325093890540821</v>
      </c>
    </row>
    <row r="77" spans="1:18">
      <c r="A77" s="7" t="s">
        <v>671</v>
      </c>
      <c r="B77" s="8">
        <v>45805</v>
      </c>
      <c r="C77" s="7" t="s">
        <v>672</v>
      </c>
      <c r="D77" s="7" t="s">
        <v>134</v>
      </c>
      <c r="E77" s="7" t="s">
        <v>48</v>
      </c>
      <c r="F77" s="7" t="s">
        <v>99</v>
      </c>
      <c r="G77" s="7">
        <v>1</v>
      </c>
      <c r="H77" s="18">
        <v>495.45</v>
      </c>
      <c r="I77" s="22">
        <v>0</v>
      </c>
      <c r="J77" s="18">
        <v>495.45</v>
      </c>
      <c r="K77" s="18">
        <v>277.27999999999997</v>
      </c>
      <c r="L77" s="18">
        <v>218.17</v>
      </c>
      <c r="M77" s="7" t="s">
        <v>57</v>
      </c>
      <c r="N77" s="7" t="s">
        <v>71</v>
      </c>
      <c r="O77" s="7" t="s">
        <v>44</v>
      </c>
      <c r="P77" s="7" t="str">
        <f t="shared" si="3"/>
        <v>May</v>
      </c>
      <c r="Q77" s="7">
        <f t="shared" si="4"/>
        <v>2025</v>
      </c>
      <c r="R77" s="23">
        <f t="shared" si="5"/>
        <v>0.44034715914824907</v>
      </c>
    </row>
    <row r="78" spans="1:18">
      <c r="A78" s="7" t="s">
        <v>1089</v>
      </c>
      <c r="B78" s="8">
        <v>45675</v>
      </c>
      <c r="C78" s="7" t="s">
        <v>181</v>
      </c>
      <c r="D78" s="7" t="s">
        <v>52</v>
      </c>
      <c r="E78" s="7" t="s">
        <v>48</v>
      </c>
      <c r="F78" s="7" t="s">
        <v>99</v>
      </c>
      <c r="G78" s="7">
        <v>2</v>
      </c>
      <c r="H78" s="18">
        <v>498.02</v>
      </c>
      <c r="I78" s="22">
        <v>0.2</v>
      </c>
      <c r="J78" s="18">
        <v>796.83</v>
      </c>
      <c r="K78" s="18">
        <v>564.1</v>
      </c>
      <c r="L78" s="18">
        <v>232.73</v>
      </c>
      <c r="M78" s="7" t="s">
        <v>57</v>
      </c>
      <c r="N78" s="7" t="s">
        <v>43</v>
      </c>
      <c r="O78" s="7" t="s">
        <v>44</v>
      </c>
      <c r="P78" s="7" t="str">
        <f t="shared" si="3"/>
        <v>Jan</v>
      </c>
      <c r="Q78" s="7">
        <f t="shared" si="4"/>
        <v>2025</v>
      </c>
      <c r="R78" s="23">
        <f t="shared" si="5"/>
        <v>0.29206982668825215</v>
      </c>
    </row>
    <row r="79" spans="1:18">
      <c r="A79" s="7" t="s">
        <v>861</v>
      </c>
      <c r="B79" s="8">
        <v>45909</v>
      </c>
      <c r="C79" s="7" t="s">
        <v>725</v>
      </c>
      <c r="D79" s="7" t="s">
        <v>66</v>
      </c>
      <c r="E79" s="7" t="s">
        <v>61</v>
      </c>
      <c r="F79" s="7" t="s">
        <v>129</v>
      </c>
      <c r="G79" s="7">
        <v>3</v>
      </c>
      <c r="H79" s="18">
        <v>504.44</v>
      </c>
      <c r="I79" s="22">
        <v>0.05</v>
      </c>
      <c r="J79" s="18">
        <v>1437.65</v>
      </c>
      <c r="K79" s="18">
        <v>939.95</v>
      </c>
      <c r="L79" s="18">
        <v>497.7</v>
      </c>
      <c r="M79" s="7" t="s">
        <v>35</v>
      </c>
      <c r="N79" s="7" t="s">
        <v>63</v>
      </c>
      <c r="O79" s="7" t="s">
        <v>44</v>
      </c>
      <c r="P79" s="7" t="str">
        <f t="shared" si="3"/>
        <v>Sep</v>
      </c>
      <c r="Q79" s="7">
        <f t="shared" si="4"/>
        <v>2025</v>
      </c>
      <c r="R79" s="23">
        <f t="shared" si="5"/>
        <v>0.34618996278649183</v>
      </c>
    </row>
    <row r="80" spans="1:18">
      <c r="A80" s="7" t="s">
        <v>297</v>
      </c>
      <c r="B80" s="8">
        <v>46220</v>
      </c>
      <c r="C80" s="7" t="s">
        <v>286</v>
      </c>
      <c r="D80" s="7" t="s">
        <v>52</v>
      </c>
      <c r="E80" s="7" t="s">
        <v>41</v>
      </c>
      <c r="F80" s="7" t="s">
        <v>124</v>
      </c>
      <c r="G80" s="7">
        <v>4</v>
      </c>
      <c r="H80" s="18">
        <v>506.86</v>
      </c>
      <c r="I80" s="22">
        <v>0</v>
      </c>
      <c r="J80" s="18">
        <v>2027.44</v>
      </c>
      <c r="K80" s="18">
        <v>1635.53</v>
      </c>
      <c r="L80" s="18">
        <v>391.91</v>
      </c>
      <c r="M80" s="7" t="s">
        <v>57</v>
      </c>
      <c r="N80" s="7" t="s">
        <v>63</v>
      </c>
      <c r="O80" s="7" t="s">
        <v>37</v>
      </c>
      <c r="P80" s="7" t="str">
        <f t="shared" si="3"/>
        <v>Jul</v>
      </c>
      <c r="Q80" s="7">
        <f t="shared" si="4"/>
        <v>2026</v>
      </c>
      <c r="R80" s="23">
        <f t="shared" si="5"/>
        <v>0.19330288442567969</v>
      </c>
    </row>
    <row r="81" spans="1:18">
      <c r="A81" s="7" t="s">
        <v>1225</v>
      </c>
      <c r="B81" s="8">
        <v>46152</v>
      </c>
      <c r="C81" s="7" t="s">
        <v>545</v>
      </c>
      <c r="D81" s="7" t="s">
        <v>95</v>
      </c>
      <c r="E81" s="7" t="s">
        <v>61</v>
      </c>
      <c r="F81" s="7" t="s">
        <v>84</v>
      </c>
      <c r="G81" s="7">
        <v>6</v>
      </c>
      <c r="H81" s="18">
        <v>512.67999999999995</v>
      </c>
      <c r="I81" s="22">
        <v>0.05</v>
      </c>
      <c r="J81" s="18">
        <v>2922.28</v>
      </c>
      <c r="K81" s="18">
        <v>2241.25</v>
      </c>
      <c r="L81" s="18">
        <v>681.03</v>
      </c>
      <c r="M81" s="7" t="s">
        <v>57</v>
      </c>
      <c r="N81" s="7" t="s">
        <v>71</v>
      </c>
      <c r="O81" s="7" t="s">
        <v>44</v>
      </c>
      <c r="P81" s="7" t="str">
        <f t="shared" si="3"/>
        <v>May</v>
      </c>
      <c r="Q81" s="7">
        <f t="shared" si="4"/>
        <v>2026</v>
      </c>
      <c r="R81" s="23">
        <f t="shared" si="5"/>
        <v>0.23304748347180965</v>
      </c>
    </row>
    <row r="82" spans="1:18">
      <c r="A82" s="7" t="s">
        <v>804</v>
      </c>
      <c r="B82" s="8">
        <v>45789</v>
      </c>
      <c r="C82" s="7" t="s">
        <v>655</v>
      </c>
      <c r="D82" s="7" t="s">
        <v>95</v>
      </c>
      <c r="E82" s="7" t="s">
        <v>48</v>
      </c>
      <c r="F82" s="7" t="s">
        <v>102</v>
      </c>
      <c r="G82" s="7">
        <v>4</v>
      </c>
      <c r="H82" s="18">
        <v>513.62</v>
      </c>
      <c r="I82" s="22">
        <v>0.05</v>
      </c>
      <c r="J82" s="18">
        <v>1951.76</v>
      </c>
      <c r="K82" s="18">
        <v>1142.94</v>
      </c>
      <c r="L82" s="18">
        <v>808.82</v>
      </c>
      <c r="M82" s="7" t="s">
        <v>57</v>
      </c>
      <c r="N82" s="7" t="s">
        <v>63</v>
      </c>
      <c r="O82" s="7" t="s">
        <v>44</v>
      </c>
      <c r="P82" s="7" t="str">
        <f t="shared" si="3"/>
        <v>May</v>
      </c>
      <c r="Q82" s="7">
        <f t="shared" si="4"/>
        <v>2025</v>
      </c>
      <c r="R82" s="23">
        <f t="shared" si="5"/>
        <v>0.41440545968766657</v>
      </c>
    </row>
    <row r="83" spans="1:18">
      <c r="A83" s="7" t="s">
        <v>1359</v>
      </c>
      <c r="B83" s="8">
        <v>46007</v>
      </c>
      <c r="C83" s="7" t="s">
        <v>1360</v>
      </c>
      <c r="D83" s="7" t="s">
        <v>66</v>
      </c>
      <c r="E83" s="7" t="s">
        <v>41</v>
      </c>
      <c r="F83" s="7" t="s">
        <v>42</v>
      </c>
      <c r="G83" s="7">
        <v>6</v>
      </c>
      <c r="H83" s="18">
        <v>527.11</v>
      </c>
      <c r="I83" s="22">
        <v>0.2</v>
      </c>
      <c r="J83" s="18">
        <v>2530.13</v>
      </c>
      <c r="K83" s="18">
        <v>1421.82</v>
      </c>
      <c r="L83" s="18">
        <v>1108.31</v>
      </c>
      <c r="M83" s="7" t="s">
        <v>35</v>
      </c>
      <c r="N83" s="7" t="s">
        <v>36</v>
      </c>
      <c r="O83" s="7" t="s">
        <v>37</v>
      </c>
      <c r="P83" s="7" t="str">
        <f t="shared" si="3"/>
        <v>Dec</v>
      </c>
      <c r="Q83" s="7">
        <f t="shared" si="4"/>
        <v>2025</v>
      </c>
      <c r="R83" s="23">
        <f t="shared" si="5"/>
        <v>0.43804468545094516</v>
      </c>
    </row>
    <row r="84" spans="1:18">
      <c r="A84" s="7" t="s">
        <v>1403</v>
      </c>
      <c r="B84" s="8">
        <v>45691</v>
      </c>
      <c r="C84" s="7" t="s">
        <v>224</v>
      </c>
      <c r="D84" s="7" t="s">
        <v>1045</v>
      </c>
      <c r="E84" s="7" t="s">
        <v>48</v>
      </c>
      <c r="F84" s="7" t="s">
        <v>113</v>
      </c>
      <c r="G84" s="7">
        <v>5</v>
      </c>
      <c r="H84" s="18">
        <v>534.26</v>
      </c>
      <c r="I84" s="22">
        <v>0.1</v>
      </c>
      <c r="J84" s="18">
        <v>2404.17</v>
      </c>
      <c r="K84" s="18">
        <v>1640.53</v>
      </c>
      <c r="L84" s="18">
        <v>763.64</v>
      </c>
      <c r="M84" s="7" t="s">
        <v>35</v>
      </c>
      <c r="N84" s="7" t="s">
        <v>71</v>
      </c>
      <c r="O84" s="7" t="s">
        <v>37</v>
      </c>
      <c r="P84" s="7" t="str">
        <f t="shared" si="3"/>
        <v>Feb</v>
      </c>
      <c r="Q84" s="7">
        <f t="shared" si="4"/>
        <v>2025</v>
      </c>
      <c r="R84" s="23">
        <f t="shared" si="5"/>
        <v>0.31763144869123228</v>
      </c>
    </row>
    <row r="85" spans="1:18">
      <c r="A85" s="7" t="s">
        <v>902</v>
      </c>
      <c r="B85" s="8">
        <v>46256</v>
      </c>
      <c r="C85" s="7" t="s">
        <v>903</v>
      </c>
      <c r="D85" s="7" t="s">
        <v>74</v>
      </c>
      <c r="E85" s="7" t="s">
        <v>48</v>
      </c>
      <c r="F85" s="7" t="s">
        <v>49</v>
      </c>
      <c r="G85" s="7">
        <v>3</v>
      </c>
      <c r="H85" s="18">
        <v>540.44000000000005</v>
      </c>
      <c r="I85" s="22">
        <v>0.1</v>
      </c>
      <c r="J85" s="18">
        <v>1459.19</v>
      </c>
      <c r="K85" s="18">
        <v>1055.4100000000001</v>
      </c>
      <c r="L85" s="18">
        <v>403.78</v>
      </c>
      <c r="M85" s="7" t="s">
        <v>57</v>
      </c>
      <c r="N85" s="7" t="s">
        <v>43</v>
      </c>
      <c r="O85" s="7" t="s">
        <v>44</v>
      </c>
      <c r="P85" s="7" t="str">
        <f t="shared" si="3"/>
        <v>Aug</v>
      </c>
      <c r="Q85" s="7">
        <f t="shared" si="4"/>
        <v>2026</v>
      </c>
      <c r="R85" s="23">
        <f t="shared" si="5"/>
        <v>0.27671516389229639</v>
      </c>
    </row>
    <row r="86" spans="1:18">
      <c r="A86" s="7" t="s">
        <v>327</v>
      </c>
      <c r="B86" s="8">
        <v>45781</v>
      </c>
      <c r="C86" s="7" t="s">
        <v>328</v>
      </c>
      <c r="D86" s="7" t="s">
        <v>134</v>
      </c>
      <c r="E86" s="7" t="s">
        <v>33</v>
      </c>
      <c r="F86" s="7" t="s">
        <v>176</v>
      </c>
      <c r="G86" s="7">
        <v>4</v>
      </c>
      <c r="H86" s="18">
        <v>545.64</v>
      </c>
      <c r="I86" s="22">
        <v>0.2</v>
      </c>
      <c r="J86" s="18">
        <v>1746.05</v>
      </c>
      <c r="K86" s="18">
        <v>1268.51</v>
      </c>
      <c r="L86" s="18">
        <v>477.54</v>
      </c>
      <c r="M86" s="7" t="s">
        <v>35</v>
      </c>
      <c r="N86" s="7" t="s">
        <v>36</v>
      </c>
      <c r="O86" s="7" t="s">
        <v>44</v>
      </c>
      <c r="P86" s="7" t="str">
        <f t="shared" si="3"/>
        <v>May</v>
      </c>
      <c r="Q86" s="7">
        <f t="shared" si="4"/>
        <v>2025</v>
      </c>
      <c r="R86" s="23">
        <f t="shared" si="5"/>
        <v>0.27349732252799175</v>
      </c>
    </row>
    <row r="87" spans="1:18">
      <c r="A87" s="7" t="s">
        <v>868</v>
      </c>
      <c r="B87" s="8">
        <v>45694</v>
      </c>
      <c r="C87" s="7" t="s">
        <v>236</v>
      </c>
      <c r="D87" s="7" t="s">
        <v>56</v>
      </c>
      <c r="E87" s="7" t="s">
        <v>61</v>
      </c>
      <c r="F87" s="7" t="s">
        <v>62</v>
      </c>
      <c r="G87" s="7">
        <v>2</v>
      </c>
      <c r="H87" s="18">
        <v>548.47</v>
      </c>
      <c r="I87" s="22">
        <v>0.15</v>
      </c>
      <c r="J87" s="18">
        <v>932.4</v>
      </c>
      <c r="K87" s="18">
        <v>550.33000000000004</v>
      </c>
      <c r="L87" s="18">
        <v>382.07</v>
      </c>
      <c r="M87" s="7" t="s">
        <v>57</v>
      </c>
      <c r="N87" s="7" t="s">
        <v>71</v>
      </c>
      <c r="O87" s="7" t="s">
        <v>37</v>
      </c>
      <c r="P87" s="7" t="str">
        <f t="shared" si="3"/>
        <v>Feb</v>
      </c>
      <c r="Q87" s="7">
        <f t="shared" si="4"/>
        <v>2025</v>
      </c>
      <c r="R87" s="23">
        <f t="shared" si="5"/>
        <v>0.40977048477048478</v>
      </c>
    </row>
    <row r="88" spans="1:18">
      <c r="A88" s="7" t="s">
        <v>701</v>
      </c>
      <c r="B88" s="8">
        <v>46245</v>
      </c>
      <c r="C88" s="7" t="s">
        <v>502</v>
      </c>
      <c r="D88" s="7" t="s">
        <v>95</v>
      </c>
      <c r="E88" s="7" t="s">
        <v>41</v>
      </c>
      <c r="F88" s="7" t="s">
        <v>53</v>
      </c>
      <c r="G88" s="7">
        <v>2</v>
      </c>
      <c r="H88" s="18">
        <v>555.92999999999995</v>
      </c>
      <c r="I88" s="22">
        <v>0</v>
      </c>
      <c r="J88" s="18">
        <v>1111.8599999999999</v>
      </c>
      <c r="K88" s="18">
        <v>709.26</v>
      </c>
      <c r="L88" s="18">
        <v>402.6</v>
      </c>
      <c r="M88" s="7" t="s">
        <v>35</v>
      </c>
      <c r="N88" s="7" t="s">
        <v>43</v>
      </c>
      <c r="O88" s="7" t="s">
        <v>44</v>
      </c>
      <c r="P88" s="7" t="str">
        <f t="shared" si="3"/>
        <v>Aug</v>
      </c>
      <c r="Q88" s="7">
        <f t="shared" si="4"/>
        <v>2026</v>
      </c>
      <c r="R88" s="23">
        <f t="shared" si="5"/>
        <v>0.36209594733149864</v>
      </c>
    </row>
    <row r="89" spans="1:18">
      <c r="A89" s="7" t="s">
        <v>1470</v>
      </c>
      <c r="B89" s="8">
        <v>46053</v>
      </c>
      <c r="C89" s="7" t="s">
        <v>1243</v>
      </c>
      <c r="D89" s="7" t="s">
        <v>60</v>
      </c>
      <c r="E89" s="7" t="s">
        <v>48</v>
      </c>
      <c r="F89" s="7" t="s">
        <v>99</v>
      </c>
      <c r="G89" s="7">
        <v>1</v>
      </c>
      <c r="H89" s="18">
        <v>559.25</v>
      </c>
      <c r="I89" s="22">
        <v>0</v>
      </c>
      <c r="J89" s="18">
        <v>559.25</v>
      </c>
      <c r="K89" s="18">
        <v>472.49</v>
      </c>
      <c r="L89" s="18">
        <v>86.76</v>
      </c>
      <c r="M89" s="7" t="s">
        <v>35</v>
      </c>
      <c r="N89" s="7" t="s">
        <v>71</v>
      </c>
      <c r="O89" s="7" t="s">
        <v>37</v>
      </c>
      <c r="P89" s="7" t="str">
        <f t="shared" si="3"/>
        <v>Jan</v>
      </c>
      <c r="Q89" s="7">
        <f t="shared" si="4"/>
        <v>2026</v>
      </c>
      <c r="R89" s="23">
        <f t="shared" si="5"/>
        <v>0.15513634331694234</v>
      </c>
    </row>
    <row r="90" spans="1:18">
      <c r="A90" s="7" t="s">
        <v>1181</v>
      </c>
      <c r="B90" s="8">
        <v>46105</v>
      </c>
      <c r="C90" s="7" t="s">
        <v>155</v>
      </c>
      <c r="D90" s="7" t="s">
        <v>47</v>
      </c>
      <c r="E90" s="7" t="s">
        <v>41</v>
      </c>
      <c r="F90" s="7" t="s">
        <v>124</v>
      </c>
      <c r="G90" s="7">
        <v>1</v>
      </c>
      <c r="H90" s="18">
        <v>573.6</v>
      </c>
      <c r="I90" s="22">
        <v>0.2</v>
      </c>
      <c r="J90" s="18">
        <v>458.88</v>
      </c>
      <c r="K90" s="18">
        <v>269.92</v>
      </c>
      <c r="L90" s="18">
        <v>188.96</v>
      </c>
      <c r="M90" s="7" t="s">
        <v>35</v>
      </c>
      <c r="N90" s="7" t="s">
        <v>43</v>
      </c>
      <c r="O90" s="7" t="s">
        <v>44</v>
      </c>
      <c r="P90" s="7" t="str">
        <f t="shared" si="3"/>
        <v>Mar</v>
      </c>
      <c r="Q90" s="7">
        <f t="shared" si="4"/>
        <v>2026</v>
      </c>
      <c r="R90" s="23">
        <f t="shared" si="5"/>
        <v>0.41178521617852165</v>
      </c>
    </row>
    <row r="91" spans="1:18">
      <c r="A91" s="7" t="s">
        <v>1328</v>
      </c>
      <c r="B91" s="8">
        <v>45965</v>
      </c>
      <c r="C91" s="7" t="s">
        <v>557</v>
      </c>
      <c r="D91" s="7" t="s">
        <v>95</v>
      </c>
      <c r="E91" s="7" t="s">
        <v>33</v>
      </c>
      <c r="F91" s="7" t="s">
        <v>34</v>
      </c>
      <c r="G91" s="7">
        <v>3</v>
      </c>
      <c r="H91" s="18">
        <v>580.02</v>
      </c>
      <c r="I91" s="22">
        <v>0</v>
      </c>
      <c r="J91" s="18">
        <v>1740.06</v>
      </c>
      <c r="K91" s="18">
        <v>1339.83</v>
      </c>
      <c r="L91" s="18">
        <v>400.23</v>
      </c>
      <c r="M91" s="7" t="s">
        <v>57</v>
      </c>
      <c r="N91" s="7" t="s">
        <v>71</v>
      </c>
      <c r="O91" s="7" t="s">
        <v>44</v>
      </c>
      <c r="P91" s="7" t="str">
        <f t="shared" si="3"/>
        <v>Nov</v>
      </c>
      <c r="Q91" s="7">
        <f t="shared" si="4"/>
        <v>2025</v>
      </c>
      <c r="R91" s="23">
        <f t="shared" si="5"/>
        <v>0.2300093100237923</v>
      </c>
    </row>
    <row r="92" spans="1:18">
      <c r="A92" s="7" t="s">
        <v>381</v>
      </c>
      <c r="B92" s="8">
        <v>46235</v>
      </c>
      <c r="C92" s="7" t="s">
        <v>382</v>
      </c>
      <c r="D92" s="7" t="s">
        <v>40</v>
      </c>
      <c r="E92" s="7" t="s">
        <v>33</v>
      </c>
      <c r="F92" s="7" t="s">
        <v>67</v>
      </c>
      <c r="G92" s="7">
        <v>1</v>
      </c>
      <c r="H92" s="18">
        <v>583.07000000000005</v>
      </c>
      <c r="I92" s="22">
        <v>0.15</v>
      </c>
      <c r="J92" s="18">
        <v>495.61</v>
      </c>
      <c r="K92" s="18">
        <v>360.14</v>
      </c>
      <c r="L92" s="18">
        <v>135.47</v>
      </c>
      <c r="M92" s="7" t="s">
        <v>35</v>
      </c>
      <c r="N92" s="7" t="s">
        <v>71</v>
      </c>
      <c r="O92" s="7" t="s">
        <v>37</v>
      </c>
      <c r="P92" s="7" t="str">
        <f t="shared" si="3"/>
        <v>Aug</v>
      </c>
      <c r="Q92" s="7">
        <f t="shared" si="4"/>
        <v>2026</v>
      </c>
      <c r="R92" s="23">
        <f t="shared" si="5"/>
        <v>0.27333992453743872</v>
      </c>
    </row>
    <row r="93" spans="1:18">
      <c r="A93" s="7" t="s">
        <v>809</v>
      </c>
      <c r="B93" s="8">
        <v>45801</v>
      </c>
      <c r="C93" s="7" t="s">
        <v>230</v>
      </c>
      <c r="D93" s="7" t="s">
        <v>66</v>
      </c>
      <c r="E93" s="7" t="s">
        <v>41</v>
      </c>
      <c r="F93" s="7" t="s">
        <v>124</v>
      </c>
      <c r="G93" s="7">
        <v>4</v>
      </c>
      <c r="H93" s="18">
        <v>583.48</v>
      </c>
      <c r="I93" s="22">
        <v>0</v>
      </c>
      <c r="J93" s="18">
        <v>2333.92</v>
      </c>
      <c r="K93" s="18">
        <v>1538.67</v>
      </c>
      <c r="L93" s="18">
        <v>795.25</v>
      </c>
      <c r="M93" s="7" t="s">
        <v>35</v>
      </c>
      <c r="N93" s="7" t="s">
        <v>43</v>
      </c>
      <c r="O93" s="7" t="s">
        <v>44</v>
      </c>
      <c r="P93" s="7" t="str">
        <f t="shared" si="3"/>
        <v>May</v>
      </c>
      <c r="Q93" s="7">
        <f t="shared" si="4"/>
        <v>2025</v>
      </c>
      <c r="R93" s="23">
        <f t="shared" si="5"/>
        <v>0.34073575786659355</v>
      </c>
    </row>
    <row r="94" spans="1:18">
      <c r="A94" s="7" t="s">
        <v>735</v>
      </c>
      <c r="B94" s="8">
        <v>45684</v>
      </c>
      <c r="C94" s="7" t="s">
        <v>727</v>
      </c>
      <c r="D94" s="7" t="s">
        <v>40</v>
      </c>
      <c r="E94" s="7" t="s">
        <v>61</v>
      </c>
      <c r="F94" s="7" t="s">
        <v>62</v>
      </c>
      <c r="G94" s="7">
        <v>3</v>
      </c>
      <c r="H94" s="18">
        <v>584.27</v>
      </c>
      <c r="I94" s="22">
        <v>0</v>
      </c>
      <c r="J94" s="18">
        <v>1752.81</v>
      </c>
      <c r="K94" s="18">
        <v>1096.33</v>
      </c>
      <c r="L94" s="18">
        <v>656.48</v>
      </c>
      <c r="M94" s="7" t="s">
        <v>35</v>
      </c>
      <c r="N94" s="7" t="s">
        <v>71</v>
      </c>
      <c r="O94" s="7" t="s">
        <v>44</v>
      </c>
      <c r="P94" s="7" t="str">
        <f t="shared" si="3"/>
        <v>Jan</v>
      </c>
      <c r="Q94" s="7">
        <f t="shared" si="4"/>
        <v>2025</v>
      </c>
      <c r="R94" s="23">
        <f t="shared" si="5"/>
        <v>0.37453004033523318</v>
      </c>
    </row>
    <row r="95" spans="1:18">
      <c r="A95" s="7" t="s">
        <v>994</v>
      </c>
      <c r="B95" s="8">
        <v>46163</v>
      </c>
      <c r="C95" s="7" t="s">
        <v>115</v>
      </c>
      <c r="D95" s="7" t="s">
        <v>52</v>
      </c>
      <c r="E95" s="7" t="s">
        <v>61</v>
      </c>
      <c r="F95" s="7" t="s">
        <v>129</v>
      </c>
      <c r="G95" s="7">
        <v>6</v>
      </c>
      <c r="H95" s="18">
        <v>591.79999999999995</v>
      </c>
      <c r="I95" s="22">
        <v>0</v>
      </c>
      <c r="J95" s="18">
        <v>3550.8</v>
      </c>
      <c r="K95" s="18">
        <v>2395.85</v>
      </c>
      <c r="L95" s="18">
        <v>1154.95</v>
      </c>
      <c r="M95" s="7" t="s">
        <v>35</v>
      </c>
      <c r="N95" s="7" t="s">
        <v>71</v>
      </c>
      <c r="O95" s="7" t="s">
        <v>44</v>
      </c>
      <c r="P95" s="7" t="str">
        <f t="shared" si="3"/>
        <v>May</v>
      </c>
      <c r="Q95" s="7">
        <f t="shared" si="4"/>
        <v>2026</v>
      </c>
      <c r="R95" s="23">
        <f t="shared" si="5"/>
        <v>0.32526472907513798</v>
      </c>
    </row>
    <row r="96" spans="1:18">
      <c r="A96" s="7" t="s">
        <v>331</v>
      </c>
      <c r="B96" s="8">
        <v>45933</v>
      </c>
      <c r="C96" s="7" t="s">
        <v>332</v>
      </c>
      <c r="D96" s="7" t="s">
        <v>134</v>
      </c>
      <c r="E96" s="7" t="s">
        <v>48</v>
      </c>
      <c r="F96" s="7" t="s">
        <v>113</v>
      </c>
      <c r="G96" s="7">
        <v>6</v>
      </c>
      <c r="H96" s="18">
        <v>605.09</v>
      </c>
      <c r="I96" s="22">
        <v>0.15</v>
      </c>
      <c r="J96" s="18">
        <v>3085.96</v>
      </c>
      <c r="K96" s="18">
        <v>2003.61</v>
      </c>
      <c r="L96" s="18">
        <v>1082.3499999999999</v>
      </c>
      <c r="M96" s="7" t="s">
        <v>35</v>
      </c>
      <c r="N96" s="7" t="s">
        <v>63</v>
      </c>
      <c r="O96" s="7" t="s">
        <v>44</v>
      </c>
      <c r="P96" s="7" t="str">
        <f t="shared" si="3"/>
        <v>Oct</v>
      </c>
      <c r="Q96" s="7">
        <f t="shared" si="4"/>
        <v>2025</v>
      </c>
      <c r="R96" s="23">
        <f t="shared" si="5"/>
        <v>0.35073364528380147</v>
      </c>
    </row>
    <row r="97" spans="1:18">
      <c r="A97" s="7" t="s">
        <v>171</v>
      </c>
      <c r="B97" s="8">
        <v>45724</v>
      </c>
      <c r="C97" s="7" t="s">
        <v>164</v>
      </c>
      <c r="D97" s="7" t="s">
        <v>60</v>
      </c>
      <c r="E97" s="7" t="s">
        <v>33</v>
      </c>
      <c r="F97" s="7" t="s">
        <v>67</v>
      </c>
      <c r="G97" s="7">
        <v>5</v>
      </c>
      <c r="H97" s="18">
        <v>608.66999999999996</v>
      </c>
      <c r="I97" s="22">
        <v>0</v>
      </c>
      <c r="J97" s="18">
        <v>3043.35</v>
      </c>
      <c r="K97" s="18">
        <v>1881.83</v>
      </c>
      <c r="L97" s="18">
        <v>1161.52</v>
      </c>
      <c r="M97" s="7" t="s">
        <v>57</v>
      </c>
      <c r="N97" s="7" t="s">
        <v>36</v>
      </c>
      <c r="O97" s="7" t="s">
        <v>44</v>
      </c>
      <c r="P97" s="7" t="str">
        <f t="shared" si="3"/>
        <v>Mar</v>
      </c>
      <c r="Q97" s="7">
        <f t="shared" si="4"/>
        <v>2025</v>
      </c>
      <c r="R97" s="23">
        <f t="shared" si="5"/>
        <v>0.38165836988844531</v>
      </c>
    </row>
    <row r="98" spans="1:18">
      <c r="A98" s="7" t="s">
        <v>180</v>
      </c>
      <c r="B98" s="8">
        <v>46132</v>
      </c>
      <c r="C98" s="7" t="s">
        <v>181</v>
      </c>
      <c r="D98" s="7" t="s">
        <v>182</v>
      </c>
      <c r="E98" s="7" t="s">
        <v>48</v>
      </c>
      <c r="F98" s="7" t="s">
        <v>102</v>
      </c>
      <c r="G98" s="7">
        <v>6</v>
      </c>
      <c r="H98" s="18">
        <v>623.85</v>
      </c>
      <c r="I98" s="22">
        <v>0.15</v>
      </c>
      <c r="J98" s="18">
        <v>3181.64</v>
      </c>
      <c r="K98" s="18">
        <v>2399.29</v>
      </c>
      <c r="L98" s="18">
        <v>782.35</v>
      </c>
      <c r="M98" s="7" t="s">
        <v>57</v>
      </c>
      <c r="N98" s="7" t="s">
        <v>71</v>
      </c>
      <c r="O98" s="7" t="s">
        <v>44</v>
      </c>
      <c r="P98" s="7" t="str">
        <f t="shared" si="3"/>
        <v>Apr</v>
      </c>
      <c r="Q98" s="7">
        <f t="shared" si="4"/>
        <v>2026</v>
      </c>
      <c r="R98" s="23">
        <f t="shared" si="5"/>
        <v>0.24589519870255594</v>
      </c>
    </row>
    <row r="99" spans="1:18">
      <c r="A99" s="7" t="s">
        <v>1202</v>
      </c>
      <c r="B99" s="8">
        <v>45970</v>
      </c>
      <c r="C99" s="7" t="s">
        <v>1203</v>
      </c>
      <c r="D99" s="7" t="s">
        <v>66</v>
      </c>
      <c r="E99" s="7" t="s">
        <v>41</v>
      </c>
      <c r="F99" s="7" t="s">
        <v>119</v>
      </c>
      <c r="G99" s="7">
        <v>1</v>
      </c>
      <c r="H99" s="18">
        <v>630.54</v>
      </c>
      <c r="I99" s="22">
        <v>0.05</v>
      </c>
      <c r="J99" s="18">
        <v>599.01</v>
      </c>
      <c r="K99" s="18">
        <v>366</v>
      </c>
      <c r="L99" s="18">
        <v>233.01</v>
      </c>
      <c r="M99" s="7" t="s">
        <v>57</v>
      </c>
      <c r="N99" s="7" t="s">
        <v>43</v>
      </c>
      <c r="O99" s="7" t="s">
        <v>37</v>
      </c>
      <c r="P99" s="7" t="str">
        <f t="shared" si="3"/>
        <v>Nov</v>
      </c>
      <c r="Q99" s="7">
        <f t="shared" si="4"/>
        <v>2025</v>
      </c>
      <c r="R99" s="23">
        <f t="shared" si="5"/>
        <v>0.38899183653027497</v>
      </c>
    </row>
    <row r="100" spans="1:18">
      <c r="A100" s="7" t="s">
        <v>1495</v>
      </c>
      <c r="B100" s="8">
        <v>46087</v>
      </c>
      <c r="C100" s="7" t="s">
        <v>267</v>
      </c>
      <c r="D100" s="7" t="s">
        <v>66</v>
      </c>
      <c r="E100" s="7" t="s">
        <v>33</v>
      </c>
      <c r="F100" s="7" t="s">
        <v>67</v>
      </c>
      <c r="G100" s="7">
        <v>3</v>
      </c>
      <c r="H100" s="18">
        <v>635.17999999999995</v>
      </c>
      <c r="I100" s="22">
        <v>0</v>
      </c>
      <c r="J100" s="18">
        <v>1905.54</v>
      </c>
      <c r="K100" s="18">
        <v>1594.12</v>
      </c>
      <c r="L100" s="18">
        <v>311.42</v>
      </c>
      <c r="M100" s="7" t="s">
        <v>35</v>
      </c>
      <c r="N100" s="7" t="s">
        <v>63</v>
      </c>
      <c r="O100" s="7" t="s">
        <v>44</v>
      </c>
      <c r="P100" s="7" t="str">
        <f t="shared" si="3"/>
        <v>Mar</v>
      </c>
      <c r="Q100" s="7">
        <f t="shared" si="4"/>
        <v>2026</v>
      </c>
      <c r="R100" s="23">
        <f t="shared" si="5"/>
        <v>0.16342873935997146</v>
      </c>
    </row>
    <row r="101" spans="1:18">
      <c r="A101" s="7" t="s">
        <v>210</v>
      </c>
      <c r="B101" s="8">
        <v>46202</v>
      </c>
      <c r="C101" s="7" t="s">
        <v>211</v>
      </c>
      <c r="D101" s="7" t="s">
        <v>95</v>
      </c>
      <c r="E101" s="7" t="s">
        <v>61</v>
      </c>
      <c r="F101" s="7" t="s">
        <v>89</v>
      </c>
      <c r="G101" s="7">
        <v>6</v>
      </c>
      <c r="H101" s="18">
        <v>640.84</v>
      </c>
      <c r="I101" s="22">
        <v>0</v>
      </c>
      <c r="J101" s="18">
        <v>3845.04</v>
      </c>
      <c r="K101" s="18">
        <v>3218.8</v>
      </c>
      <c r="L101" s="18">
        <v>626.24</v>
      </c>
      <c r="M101" s="7" t="s">
        <v>35</v>
      </c>
      <c r="N101" s="7" t="s">
        <v>43</v>
      </c>
      <c r="O101" s="7" t="s">
        <v>44</v>
      </c>
      <c r="P101" s="7" t="str">
        <f t="shared" si="3"/>
        <v>Jun</v>
      </c>
      <c r="Q101" s="7">
        <f t="shared" si="4"/>
        <v>2026</v>
      </c>
      <c r="R101" s="23">
        <f t="shared" si="5"/>
        <v>0.1628695670266109</v>
      </c>
    </row>
    <row r="102" spans="1:18">
      <c r="A102" s="7" t="s">
        <v>1098</v>
      </c>
      <c r="B102" s="8">
        <v>45803</v>
      </c>
      <c r="C102" s="7" t="s">
        <v>335</v>
      </c>
      <c r="D102" s="7" t="s">
        <v>74</v>
      </c>
      <c r="E102" s="7" t="s">
        <v>61</v>
      </c>
      <c r="F102" s="7" t="s">
        <v>62</v>
      </c>
      <c r="G102" s="7">
        <v>1</v>
      </c>
      <c r="H102" s="18">
        <v>645.16</v>
      </c>
      <c r="I102" s="22">
        <v>0.1</v>
      </c>
      <c r="J102" s="18">
        <v>580.64</v>
      </c>
      <c r="K102" s="18">
        <v>376.36</v>
      </c>
      <c r="L102" s="18">
        <v>204.28</v>
      </c>
      <c r="M102" s="7" t="s">
        <v>57</v>
      </c>
      <c r="N102" s="7" t="s">
        <v>36</v>
      </c>
      <c r="O102" s="7" t="s">
        <v>44</v>
      </c>
      <c r="P102" s="7" t="str">
        <f t="shared" si="3"/>
        <v>May</v>
      </c>
      <c r="Q102" s="7">
        <f t="shared" si="4"/>
        <v>2025</v>
      </c>
      <c r="R102" s="23">
        <f t="shared" si="5"/>
        <v>0.35181868283273632</v>
      </c>
    </row>
    <row r="103" spans="1:18">
      <c r="A103" s="7" t="s">
        <v>442</v>
      </c>
      <c r="B103" s="8">
        <v>45728</v>
      </c>
      <c r="C103" s="7" t="s">
        <v>443</v>
      </c>
      <c r="D103" s="7" t="s">
        <v>60</v>
      </c>
      <c r="E103" s="7" t="s">
        <v>41</v>
      </c>
      <c r="F103" s="7" t="s">
        <v>124</v>
      </c>
      <c r="G103" s="7">
        <v>4</v>
      </c>
      <c r="H103" s="18">
        <v>649.32000000000005</v>
      </c>
      <c r="I103" s="22">
        <v>0.1</v>
      </c>
      <c r="J103" s="18">
        <v>2337.5500000000002</v>
      </c>
      <c r="K103" s="18">
        <v>1312.95</v>
      </c>
      <c r="L103" s="18">
        <v>1024.5999999999999</v>
      </c>
      <c r="M103" s="7" t="s">
        <v>35</v>
      </c>
      <c r="N103" s="7" t="s">
        <v>36</v>
      </c>
      <c r="O103" s="7" t="s">
        <v>44</v>
      </c>
      <c r="P103" s="7" t="str">
        <f t="shared" si="3"/>
        <v>Mar</v>
      </c>
      <c r="Q103" s="7">
        <f t="shared" si="4"/>
        <v>2025</v>
      </c>
      <c r="R103" s="23">
        <f t="shared" si="5"/>
        <v>0.43832217492673947</v>
      </c>
    </row>
    <row r="104" spans="1:18">
      <c r="A104" s="7" t="s">
        <v>693</v>
      </c>
      <c r="B104" s="8">
        <v>45811</v>
      </c>
      <c r="C104" s="7" t="s">
        <v>538</v>
      </c>
      <c r="D104" s="7" t="s">
        <v>60</v>
      </c>
      <c r="E104" s="7" t="s">
        <v>41</v>
      </c>
      <c r="F104" s="7" t="s">
        <v>53</v>
      </c>
      <c r="G104" s="7">
        <v>2</v>
      </c>
      <c r="H104" s="18">
        <v>656.21</v>
      </c>
      <c r="I104" s="22">
        <v>0.15</v>
      </c>
      <c r="J104" s="18">
        <v>1115.56</v>
      </c>
      <c r="K104" s="18">
        <v>642.08000000000004</v>
      </c>
      <c r="L104" s="18">
        <v>473.48</v>
      </c>
      <c r="M104" s="7" t="s">
        <v>57</v>
      </c>
      <c r="N104" s="7" t="s">
        <v>43</v>
      </c>
      <c r="O104" s="7" t="s">
        <v>44</v>
      </c>
      <c r="P104" s="7" t="str">
        <f t="shared" si="3"/>
        <v>Jun</v>
      </c>
      <c r="Q104" s="7">
        <f t="shared" si="4"/>
        <v>2025</v>
      </c>
      <c r="R104" s="23">
        <f t="shared" si="5"/>
        <v>0.42443257198178497</v>
      </c>
    </row>
    <row r="105" spans="1:18">
      <c r="A105" s="7" t="s">
        <v>324</v>
      </c>
      <c r="B105" s="8">
        <v>45838</v>
      </c>
      <c r="C105" s="7" t="s">
        <v>269</v>
      </c>
      <c r="D105" s="7" t="s">
        <v>32</v>
      </c>
      <c r="E105" s="7" t="s">
        <v>61</v>
      </c>
      <c r="F105" s="7" t="s">
        <v>81</v>
      </c>
      <c r="G105" s="7">
        <v>4</v>
      </c>
      <c r="H105" s="18">
        <v>658.49</v>
      </c>
      <c r="I105" s="22">
        <v>0</v>
      </c>
      <c r="J105" s="18">
        <v>2633.96</v>
      </c>
      <c r="K105" s="18">
        <v>1471.08</v>
      </c>
      <c r="L105" s="18">
        <v>1162.8800000000001</v>
      </c>
      <c r="M105" s="7" t="s">
        <v>35</v>
      </c>
      <c r="N105" s="7" t="s">
        <v>63</v>
      </c>
      <c r="O105" s="7" t="s">
        <v>44</v>
      </c>
      <c r="P105" s="7" t="str">
        <f t="shared" si="3"/>
        <v>Jun</v>
      </c>
      <c r="Q105" s="7">
        <f t="shared" si="4"/>
        <v>2025</v>
      </c>
      <c r="R105" s="23">
        <f t="shared" si="5"/>
        <v>0.44149493538246598</v>
      </c>
    </row>
    <row r="106" spans="1:18">
      <c r="A106" s="7" t="s">
        <v>525</v>
      </c>
      <c r="B106" s="8">
        <v>46202</v>
      </c>
      <c r="C106" s="7" t="s">
        <v>152</v>
      </c>
      <c r="D106" s="7" t="s">
        <v>66</v>
      </c>
      <c r="E106" s="7" t="s">
        <v>61</v>
      </c>
      <c r="F106" s="7" t="s">
        <v>81</v>
      </c>
      <c r="G106" s="7">
        <v>2</v>
      </c>
      <c r="H106" s="18">
        <v>661.53</v>
      </c>
      <c r="I106" s="22">
        <v>0.1</v>
      </c>
      <c r="J106" s="18">
        <v>1190.75</v>
      </c>
      <c r="K106" s="18">
        <v>894.01</v>
      </c>
      <c r="L106" s="18">
        <v>296.74</v>
      </c>
      <c r="M106" s="7" t="s">
        <v>35</v>
      </c>
      <c r="N106" s="7" t="s">
        <v>43</v>
      </c>
      <c r="O106" s="7" t="s">
        <v>37</v>
      </c>
      <c r="P106" s="7" t="str">
        <f t="shared" si="3"/>
        <v>Jun</v>
      </c>
      <c r="Q106" s="7">
        <f t="shared" si="4"/>
        <v>2026</v>
      </c>
      <c r="R106" s="23">
        <f t="shared" si="5"/>
        <v>0.24920428301490657</v>
      </c>
    </row>
    <row r="107" spans="1:18">
      <c r="A107" s="7" t="s">
        <v>1107</v>
      </c>
      <c r="B107" s="8">
        <v>46197</v>
      </c>
      <c r="C107" s="7" t="s">
        <v>644</v>
      </c>
      <c r="D107" s="7" t="s">
        <v>32</v>
      </c>
      <c r="E107" s="7" t="s">
        <v>48</v>
      </c>
      <c r="F107" s="7" t="s">
        <v>70</v>
      </c>
      <c r="G107" s="7">
        <v>3</v>
      </c>
      <c r="H107" s="18">
        <v>670.79</v>
      </c>
      <c r="I107" s="22">
        <v>0.1</v>
      </c>
      <c r="J107" s="18">
        <v>1811.13</v>
      </c>
      <c r="K107" s="18">
        <v>1427.46</v>
      </c>
      <c r="L107" s="18">
        <v>383.67</v>
      </c>
      <c r="M107" s="7" t="s">
        <v>57</v>
      </c>
      <c r="N107" s="7" t="s">
        <v>43</v>
      </c>
      <c r="O107" s="7" t="s">
        <v>44</v>
      </c>
      <c r="P107" s="7" t="str">
        <f t="shared" si="3"/>
        <v>Jun</v>
      </c>
      <c r="Q107" s="7">
        <f t="shared" si="4"/>
        <v>2026</v>
      </c>
      <c r="R107" s="23">
        <f t="shared" si="5"/>
        <v>0.21184012191283894</v>
      </c>
    </row>
    <row r="108" spans="1:18">
      <c r="A108" s="7" t="s">
        <v>1162</v>
      </c>
      <c r="B108" s="8">
        <v>46163</v>
      </c>
      <c r="C108" s="7" t="s">
        <v>1163</v>
      </c>
      <c r="D108" s="7" t="s">
        <v>56</v>
      </c>
      <c r="E108" s="7" t="s">
        <v>48</v>
      </c>
      <c r="F108" s="7" t="s">
        <v>113</v>
      </c>
      <c r="G108" s="7">
        <v>2</v>
      </c>
      <c r="H108" s="18">
        <v>672.36</v>
      </c>
      <c r="I108" s="22">
        <v>0.1</v>
      </c>
      <c r="J108" s="18">
        <v>1210.25</v>
      </c>
      <c r="K108" s="18">
        <v>776.56</v>
      </c>
      <c r="L108" s="18">
        <v>433.69</v>
      </c>
      <c r="M108" s="7" t="s">
        <v>35</v>
      </c>
      <c r="N108" s="7" t="s">
        <v>71</v>
      </c>
      <c r="O108" s="7" t="s">
        <v>44</v>
      </c>
      <c r="P108" s="7" t="str">
        <f t="shared" si="3"/>
        <v>May</v>
      </c>
      <c r="Q108" s="7">
        <f t="shared" si="4"/>
        <v>2026</v>
      </c>
      <c r="R108" s="23">
        <f t="shared" si="5"/>
        <v>0.35834744887419956</v>
      </c>
    </row>
    <row r="109" spans="1:18">
      <c r="A109" s="7" t="s">
        <v>160</v>
      </c>
      <c r="B109" s="8">
        <v>45733</v>
      </c>
      <c r="C109" s="7" t="s">
        <v>161</v>
      </c>
      <c r="D109" s="7" t="s">
        <v>66</v>
      </c>
      <c r="E109" s="7" t="s">
        <v>61</v>
      </c>
      <c r="F109" s="7" t="s">
        <v>62</v>
      </c>
      <c r="G109" s="7">
        <v>1</v>
      </c>
      <c r="H109" s="18">
        <v>673.16</v>
      </c>
      <c r="I109" s="22">
        <v>0.1</v>
      </c>
      <c r="J109" s="18">
        <v>605.84</v>
      </c>
      <c r="K109" s="18">
        <v>424.3</v>
      </c>
      <c r="L109" s="18">
        <v>181.54</v>
      </c>
      <c r="M109" s="7" t="s">
        <v>57</v>
      </c>
      <c r="N109" s="7" t="s">
        <v>36</v>
      </c>
      <c r="O109" s="7" t="s">
        <v>44</v>
      </c>
      <c r="P109" s="7" t="str">
        <f t="shared" si="3"/>
        <v>Mar</v>
      </c>
      <c r="Q109" s="7">
        <f t="shared" si="4"/>
        <v>2025</v>
      </c>
      <c r="R109" s="23">
        <f t="shared" si="5"/>
        <v>0.299650072626436</v>
      </c>
    </row>
    <row r="110" spans="1:18">
      <c r="A110" s="7" t="s">
        <v>1153</v>
      </c>
      <c r="B110" s="8">
        <v>45888</v>
      </c>
      <c r="C110" s="7" t="s">
        <v>672</v>
      </c>
      <c r="D110" s="7" t="s">
        <v>95</v>
      </c>
      <c r="E110" s="7" t="s">
        <v>41</v>
      </c>
      <c r="F110" s="7" t="s">
        <v>119</v>
      </c>
      <c r="G110" s="7">
        <v>3</v>
      </c>
      <c r="H110" s="18">
        <v>686.97</v>
      </c>
      <c r="I110" s="22">
        <v>0.1</v>
      </c>
      <c r="J110" s="18">
        <v>1854.82</v>
      </c>
      <c r="K110" s="18">
        <v>1442.85</v>
      </c>
      <c r="L110" s="18">
        <v>411.97</v>
      </c>
      <c r="M110" s="7" t="s">
        <v>35</v>
      </c>
      <c r="N110" s="7" t="s">
        <v>63</v>
      </c>
      <c r="O110" s="7" t="s">
        <v>44</v>
      </c>
      <c r="P110" s="7" t="str">
        <f t="shared" si="3"/>
        <v>Aug</v>
      </c>
      <c r="Q110" s="7">
        <f t="shared" si="4"/>
        <v>2025</v>
      </c>
      <c r="R110" s="23">
        <f t="shared" si="5"/>
        <v>0.22210780560916965</v>
      </c>
    </row>
    <row r="111" spans="1:18">
      <c r="A111" s="7" t="s">
        <v>238</v>
      </c>
      <c r="B111" s="8">
        <v>46217</v>
      </c>
      <c r="C111" s="7" t="s">
        <v>239</v>
      </c>
      <c r="D111" s="7" t="s">
        <v>134</v>
      </c>
      <c r="E111" s="7" t="s">
        <v>41</v>
      </c>
      <c r="F111" s="7" t="s">
        <v>153</v>
      </c>
      <c r="G111" s="7">
        <v>2</v>
      </c>
      <c r="H111" s="18">
        <v>689.85</v>
      </c>
      <c r="I111" s="22">
        <v>0.2</v>
      </c>
      <c r="J111" s="18">
        <v>1103.76</v>
      </c>
      <c r="K111" s="18">
        <v>665.26</v>
      </c>
      <c r="L111" s="18">
        <v>438.5</v>
      </c>
      <c r="M111" s="7" t="s">
        <v>35</v>
      </c>
      <c r="N111" s="7" t="s">
        <v>71</v>
      </c>
      <c r="O111" s="7" t="s">
        <v>44</v>
      </c>
      <c r="P111" s="7" t="str">
        <f t="shared" si="3"/>
        <v>Jul</v>
      </c>
      <c r="Q111" s="7">
        <f t="shared" si="4"/>
        <v>2026</v>
      </c>
      <c r="R111" s="23">
        <f t="shared" si="5"/>
        <v>0.39727839385373631</v>
      </c>
    </row>
    <row r="112" spans="1:18">
      <c r="A112" s="7" t="s">
        <v>1439</v>
      </c>
      <c r="B112" s="8">
        <v>46119</v>
      </c>
      <c r="C112" s="7" t="s">
        <v>521</v>
      </c>
      <c r="D112" s="7" t="s">
        <v>95</v>
      </c>
      <c r="E112" s="7" t="s">
        <v>41</v>
      </c>
      <c r="F112" s="7" t="s">
        <v>124</v>
      </c>
      <c r="G112" s="7">
        <v>6</v>
      </c>
      <c r="H112" s="18">
        <v>690.54</v>
      </c>
      <c r="I112" s="22">
        <v>0.05</v>
      </c>
      <c r="J112" s="18">
        <v>3936.08</v>
      </c>
      <c r="K112" s="18">
        <v>2867.28</v>
      </c>
      <c r="L112" s="18">
        <v>1068.8</v>
      </c>
      <c r="M112" s="7" t="s">
        <v>57</v>
      </c>
      <c r="N112" s="7" t="s">
        <v>36</v>
      </c>
      <c r="O112" s="7" t="s">
        <v>44</v>
      </c>
      <c r="P112" s="7" t="str">
        <f t="shared" si="3"/>
        <v>Apr</v>
      </c>
      <c r="Q112" s="7">
        <f t="shared" si="4"/>
        <v>2026</v>
      </c>
      <c r="R112" s="23">
        <f t="shared" si="5"/>
        <v>0.27153919635779761</v>
      </c>
    </row>
    <row r="113" spans="1:18">
      <c r="A113" s="7" t="s">
        <v>995</v>
      </c>
      <c r="B113" s="8">
        <v>45950</v>
      </c>
      <c r="C113" s="7" t="s">
        <v>523</v>
      </c>
      <c r="D113" s="7" t="s">
        <v>60</v>
      </c>
      <c r="E113" s="7" t="s">
        <v>33</v>
      </c>
      <c r="F113" s="7" t="s">
        <v>96</v>
      </c>
      <c r="G113" s="7">
        <v>3</v>
      </c>
      <c r="H113" s="18">
        <v>693.06</v>
      </c>
      <c r="I113" s="22">
        <v>0</v>
      </c>
      <c r="J113" s="18">
        <v>2079.1799999999998</v>
      </c>
      <c r="K113" s="18">
        <v>1224.1500000000001</v>
      </c>
      <c r="L113" s="18">
        <v>855.03</v>
      </c>
      <c r="M113" s="7" t="s">
        <v>35</v>
      </c>
      <c r="N113" s="7" t="s">
        <v>71</v>
      </c>
      <c r="O113" s="7" t="s">
        <v>44</v>
      </c>
      <c r="P113" s="7" t="str">
        <f t="shared" si="3"/>
        <v>Oct</v>
      </c>
      <c r="Q113" s="7">
        <f t="shared" si="4"/>
        <v>2025</v>
      </c>
      <c r="R113" s="23">
        <f t="shared" si="5"/>
        <v>0.41123423657403402</v>
      </c>
    </row>
    <row r="114" spans="1:18">
      <c r="A114" s="7" t="s">
        <v>1033</v>
      </c>
      <c r="B114" s="8">
        <v>46148</v>
      </c>
      <c r="C114" s="7" t="s">
        <v>1034</v>
      </c>
      <c r="D114" s="7" t="s">
        <v>40</v>
      </c>
      <c r="E114" s="7" t="s">
        <v>33</v>
      </c>
      <c r="F114" s="7" t="s">
        <v>96</v>
      </c>
      <c r="G114" s="7">
        <v>3</v>
      </c>
      <c r="H114" s="18">
        <v>695.2</v>
      </c>
      <c r="I114" s="22">
        <v>0</v>
      </c>
      <c r="J114" s="18">
        <v>2085.6</v>
      </c>
      <c r="K114" s="18">
        <v>1678.66</v>
      </c>
      <c r="L114" s="18">
        <v>406.94</v>
      </c>
      <c r="M114" s="7" t="s">
        <v>35</v>
      </c>
      <c r="N114" s="7" t="s">
        <v>63</v>
      </c>
      <c r="O114" s="7" t="s">
        <v>37</v>
      </c>
      <c r="P114" s="7" t="str">
        <f t="shared" si="3"/>
        <v>May</v>
      </c>
      <c r="Q114" s="7">
        <f t="shared" si="4"/>
        <v>2026</v>
      </c>
      <c r="R114" s="23">
        <f t="shared" si="5"/>
        <v>0.19511891062523976</v>
      </c>
    </row>
    <row r="115" spans="1:18">
      <c r="A115" s="7" t="s">
        <v>1739</v>
      </c>
      <c r="B115" s="8">
        <v>45685</v>
      </c>
      <c r="C115" s="7" t="s">
        <v>901</v>
      </c>
      <c r="D115" s="7" t="s">
        <v>32</v>
      </c>
      <c r="E115" s="7" t="s">
        <v>41</v>
      </c>
      <c r="F115" s="7" t="s">
        <v>124</v>
      </c>
      <c r="G115" s="7">
        <v>4</v>
      </c>
      <c r="H115" s="18">
        <v>696.18</v>
      </c>
      <c r="I115" s="22">
        <v>0.05</v>
      </c>
      <c r="J115" s="18">
        <v>2645.48</v>
      </c>
      <c r="K115" s="18">
        <v>1633.57</v>
      </c>
      <c r="L115" s="18">
        <v>1011.91</v>
      </c>
      <c r="M115" s="7" t="s">
        <v>57</v>
      </c>
      <c r="N115" s="7" t="s">
        <v>43</v>
      </c>
      <c r="O115" s="7" t="s">
        <v>44</v>
      </c>
      <c r="P115" s="7" t="str">
        <f t="shared" si="3"/>
        <v>Jan</v>
      </c>
      <c r="Q115" s="7">
        <f t="shared" si="4"/>
        <v>2025</v>
      </c>
      <c r="R115" s="23">
        <f t="shared" si="5"/>
        <v>0.38250525424497633</v>
      </c>
    </row>
    <row r="116" spans="1:18">
      <c r="A116" s="7" t="s">
        <v>1445</v>
      </c>
      <c r="B116" s="8">
        <v>45716</v>
      </c>
      <c r="C116" s="7" t="s">
        <v>1357</v>
      </c>
      <c r="D116" s="7" t="s">
        <v>95</v>
      </c>
      <c r="E116" s="7" t="s">
        <v>48</v>
      </c>
      <c r="F116" s="7" t="s">
        <v>99</v>
      </c>
      <c r="G116" s="7">
        <v>3</v>
      </c>
      <c r="H116" s="18">
        <v>697.01</v>
      </c>
      <c r="I116" s="22">
        <v>0.05</v>
      </c>
      <c r="J116" s="18">
        <v>1986.48</v>
      </c>
      <c r="K116" s="18">
        <v>1141.55</v>
      </c>
      <c r="L116" s="18">
        <v>844.93</v>
      </c>
      <c r="M116" s="7" t="s">
        <v>57</v>
      </c>
      <c r="N116" s="7" t="s">
        <v>71</v>
      </c>
      <c r="O116" s="7" t="s">
        <v>44</v>
      </c>
      <c r="P116" s="7" t="str">
        <f t="shared" si="3"/>
        <v>Feb</v>
      </c>
      <c r="Q116" s="7">
        <f t="shared" si="4"/>
        <v>2025</v>
      </c>
      <c r="R116" s="23">
        <f t="shared" si="5"/>
        <v>0.42534030043091292</v>
      </c>
    </row>
    <row r="117" spans="1:18">
      <c r="A117" s="7" t="s">
        <v>167</v>
      </c>
      <c r="B117" s="8">
        <v>46177</v>
      </c>
      <c r="C117" s="7" t="s">
        <v>168</v>
      </c>
      <c r="D117" s="7" t="s">
        <v>56</v>
      </c>
      <c r="E117" s="7" t="s">
        <v>48</v>
      </c>
      <c r="F117" s="7" t="s">
        <v>70</v>
      </c>
      <c r="G117" s="7">
        <v>2</v>
      </c>
      <c r="H117" s="18">
        <v>704.41</v>
      </c>
      <c r="I117" s="22">
        <v>0.05</v>
      </c>
      <c r="J117" s="18">
        <v>1338.38</v>
      </c>
      <c r="K117" s="18">
        <v>1009.79</v>
      </c>
      <c r="L117" s="18">
        <v>328.59</v>
      </c>
      <c r="M117" s="7" t="s">
        <v>57</v>
      </c>
      <c r="N117" s="7" t="s">
        <v>63</v>
      </c>
      <c r="O117" s="7" t="s">
        <v>44</v>
      </c>
      <c r="P117" s="7" t="str">
        <f t="shared" si="3"/>
        <v>Jun</v>
      </c>
      <c r="Q117" s="7">
        <f t="shared" si="4"/>
        <v>2026</v>
      </c>
      <c r="R117" s="23">
        <f t="shared" si="5"/>
        <v>0.24551323241530801</v>
      </c>
    </row>
    <row r="118" spans="1:18">
      <c r="A118" s="7" t="s">
        <v>966</v>
      </c>
      <c r="B118" s="8">
        <v>46242</v>
      </c>
      <c r="C118" s="7" t="s">
        <v>967</v>
      </c>
      <c r="D118" s="7" t="s">
        <v>74</v>
      </c>
      <c r="E118" s="7" t="s">
        <v>48</v>
      </c>
      <c r="F118" s="7" t="s">
        <v>113</v>
      </c>
      <c r="G118" s="7">
        <v>6</v>
      </c>
      <c r="H118" s="18">
        <v>711.85</v>
      </c>
      <c r="I118" s="22">
        <v>0.15</v>
      </c>
      <c r="J118" s="18">
        <v>3630.44</v>
      </c>
      <c r="K118" s="18">
        <v>2014.92</v>
      </c>
      <c r="L118" s="18">
        <v>1615.52</v>
      </c>
      <c r="M118" s="7" t="s">
        <v>35</v>
      </c>
      <c r="N118" s="7" t="s">
        <v>36</v>
      </c>
      <c r="O118" s="7" t="s">
        <v>44</v>
      </c>
      <c r="P118" s="7" t="str">
        <f t="shared" si="3"/>
        <v>Aug</v>
      </c>
      <c r="Q118" s="7">
        <f t="shared" si="4"/>
        <v>2026</v>
      </c>
      <c r="R118" s="23">
        <f t="shared" si="5"/>
        <v>0.44499289342338666</v>
      </c>
    </row>
    <row r="119" spans="1:18">
      <c r="A119" s="7" t="s">
        <v>1415</v>
      </c>
      <c r="B119" s="8">
        <v>45871</v>
      </c>
      <c r="C119" s="7" t="s">
        <v>725</v>
      </c>
      <c r="D119" s="7" t="s">
        <v>95</v>
      </c>
      <c r="E119" s="7" t="s">
        <v>33</v>
      </c>
      <c r="F119" s="7" t="s">
        <v>92</v>
      </c>
      <c r="G119" s="7">
        <v>4</v>
      </c>
      <c r="H119" s="18">
        <v>715.86</v>
      </c>
      <c r="I119" s="22">
        <v>0.15</v>
      </c>
      <c r="J119" s="18">
        <v>2433.92</v>
      </c>
      <c r="K119" s="18">
        <v>1809.64</v>
      </c>
      <c r="L119" s="18">
        <v>624.28</v>
      </c>
      <c r="M119" s="7" t="s">
        <v>57</v>
      </c>
      <c r="N119" s="7" t="s">
        <v>71</v>
      </c>
      <c r="O119" s="7" t="s">
        <v>44</v>
      </c>
      <c r="P119" s="7" t="str">
        <f t="shared" si="3"/>
        <v>Aug</v>
      </c>
      <c r="Q119" s="7">
        <f t="shared" si="4"/>
        <v>2025</v>
      </c>
      <c r="R119" s="23">
        <f t="shared" si="5"/>
        <v>0.25649158559032342</v>
      </c>
    </row>
    <row r="120" spans="1:18">
      <c r="A120" s="7" t="s">
        <v>820</v>
      </c>
      <c r="B120" s="8">
        <v>45863</v>
      </c>
      <c r="C120" s="7" t="s">
        <v>648</v>
      </c>
      <c r="D120" s="7" t="s">
        <v>32</v>
      </c>
      <c r="E120" s="7" t="s">
        <v>48</v>
      </c>
      <c r="F120" s="7" t="s">
        <v>49</v>
      </c>
      <c r="G120" s="7">
        <v>6</v>
      </c>
      <c r="H120" s="18">
        <v>729</v>
      </c>
      <c r="I120" s="22">
        <v>0</v>
      </c>
      <c r="J120" s="18">
        <v>4374</v>
      </c>
      <c r="K120" s="18">
        <v>2509</v>
      </c>
      <c r="L120" s="18">
        <v>1865</v>
      </c>
      <c r="M120" s="7" t="s">
        <v>57</v>
      </c>
      <c r="N120" s="7" t="s">
        <v>36</v>
      </c>
      <c r="O120" s="7" t="s">
        <v>44</v>
      </c>
      <c r="P120" s="7" t="str">
        <f t="shared" si="3"/>
        <v>Jul</v>
      </c>
      <c r="Q120" s="7">
        <f t="shared" si="4"/>
        <v>2025</v>
      </c>
      <c r="R120" s="23">
        <f t="shared" si="5"/>
        <v>0.42638317329675357</v>
      </c>
    </row>
    <row r="121" spans="1:18">
      <c r="A121" s="7" t="s">
        <v>1744</v>
      </c>
      <c r="B121" s="8">
        <v>45789</v>
      </c>
      <c r="C121" s="7" t="s">
        <v>138</v>
      </c>
      <c r="D121" s="7" t="s">
        <v>40</v>
      </c>
      <c r="E121" s="7" t="s">
        <v>41</v>
      </c>
      <c r="F121" s="7" t="s">
        <v>119</v>
      </c>
      <c r="G121" s="7">
        <v>4</v>
      </c>
      <c r="H121" s="18">
        <v>730.84</v>
      </c>
      <c r="I121" s="22">
        <v>0</v>
      </c>
      <c r="J121" s="18">
        <v>2923.36</v>
      </c>
      <c r="K121" s="18">
        <v>2138.41</v>
      </c>
      <c r="L121" s="18">
        <v>784.95</v>
      </c>
      <c r="M121" s="7" t="s">
        <v>35</v>
      </c>
      <c r="N121" s="7" t="s">
        <v>63</v>
      </c>
      <c r="O121" s="7" t="s">
        <v>44</v>
      </c>
      <c r="P121" s="7" t="str">
        <f t="shared" si="3"/>
        <v>May</v>
      </c>
      <c r="Q121" s="7">
        <f t="shared" si="4"/>
        <v>2025</v>
      </c>
      <c r="R121" s="23">
        <f t="shared" si="5"/>
        <v>0.26850952328827105</v>
      </c>
    </row>
    <row r="122" spans="1:18">
      <c r="A122" s="7" t="s">
        <v>687</v>
      </c>
      <c r="B122" s="8">
        <v>45858</v>
      </c>
      <c r="C122" s="7" t="s">
        <v>688</v>
      </c>
      <c r="D122" s="7" t="s">
        <v>66</v>
      </c>
      <c r="E122" s="7" t="s">
        <v>33</v>
      </c>
      <c r="F122" s="7" t="s">
        <v>96</v>
      </c>
      <c r="G122" s="7">
        <v>2</v>
      </c>
      <c r="H122" s="18">
        <v>731.31</v>
      </c>
      <c r="I122" s="22">
        <v>0.05</v>
      </c>
      <c r="J122" s="18">
        <v>1389.49</v>
      </c>
      <c r="K122" s="18">
        <v>1150.95</v>
      </c>
      <c r="L122" s="18">
        <v>238.54</v>
      </c>
      <c r="M122" s="7" t="s">
        <v>35</v>
      </c>
      <c r="N122" s="7" t="s">
        <v>63</v>
      </c>
      <c r="O122" s="7" t="s">
        <v>44</v>
      </c>
      <c r="P122" s="7" t="str">
        <f t="shared" si="3"/>
        <v>Jul</v>
      </c>
      <c r="Q122" s="7">
        <f t="shared" si="4"/>
        <v>2025</v>
      </c>
      <c r="R122" s="23">
        <f t="shared" si="5"/>
        <v>0.17167449927671302</v>
      </c>
    </row>
    <row r="123" spans="1:18">
      <c r="A123" s="7" t="s">
        <v>1682</v>
      </c>
      <c r="B123" s="8">
        <v>46137</v>
      </c>
      <c r="C123" s="7" t="s">
        <v>1267</v>
      </c>
      <c r="D123" s="7" t="s">
        <v>52</v>
      </c>
      <c r="E123" s="7" t="s">
        <v>33</v>
      </c>
      <c r="F123" s="7" t="s">
        <v>67</v>
      </c>
      <c r="G123" s="7">
        <v>5</v>
      </c>
      <c r="H123" s="18">
        <v>734.08</v>
      </c>
      <c r="I123" s="22">
        <v>0.1</v>
      </c>
      <c r="J123" s="18">
        <v>3303.36</v>
      </c>
      <c r="K123" s="18">
        <v>2497.15</v>
      </c>
      <c r="L123" s="18">
        <v>806.21</v>
      </c>
      <c r="M123" s="7" t="s">
        <v>35</v>
      </c>
      <c r="N123" s="7" t="s">
        <v>43</v>
      </c>
      <c r="O123" s="7" t="s">
        <v>44</v>
      </c>
      <c r="P123" s="7" t="str">
        <f t="shared" si="3"/>
        <v>Apr</v>
      </c>
      <c r="Q123" s="7">
        <f t="shared" si="4"/>
        <v>2026</v>
      </c>
      <c r="R123" s="23">
        <f t="shared" si="5"/>
        <v>0.24405756563014627</v>
      </c>
    </row>
    <row r="124" spans="1:18">
      <c r="A124" s="7" t="s">
        <v>1551</v>
      </c>
      <c r="B124" s="8">
        <v>46127</v>
      </c>
      <c r="C124" s="7" t="s">
        <v>144</v>
      </c>
      <c r="D124" s="7" t="s">
        <v>60</v>
      </c>
      <c r="E124" s="7" t="s">
        <v>33</v>
      </c>
      <c r="F124" s="7" t="s">
        <v>96</v>
      </c>
      <c r="G124" s="7">
        <v>1</v>
      </c>
      <c r="H124" s="18">
        <v>734.75</v>
      </c>
      <c r="I124" s="22">
        <v>0</v>
      </c>
      <c r="J124" s="18">
        <v>734.75</v>
      </c>
      <c r="K124" s="18">
        <v>444.98</v>
      </c>
      <c r="L124" s="18">
        <v>289.77</v>
      </c>
      <c r="M124" s="7" t="s">
        <v>57</v>
      </c>
      <c r="N124" s="7" t="s">
        <v>36</v>
      </c>
      <c r="O124" s="7" t="s">
        <v>44</v>
      </c>
      <c r="P124" s="7" t="str">
        <f t="shared" si="3"/>
        <v>Apr</v>
      </c>
      <c r="Q124" s="7">
        <f t="shared" si="4"/>
        <v>2026</v>
      </c>
      <c r="R124" s="23">
        <f t="shared" si="5"/>
        <v>0.39437904048996253</v>
      </c>
    </row>
    <row r="125" spans="1:18">
      <c r="A125" s="7" t="s">
        <v>1709</v>
      </c>
      <c r="B125" s="8">
        <v>45904</v>
      </c>
      <c r="C125" s="7" t="s">
        <v>1710</v>
      </c>
      <c r="D125" s="7" t="s">
        <v>47</v>
      </c>
      <c r="E125" s="7" t="s">
        <v>33</v>
      </c>
      <c r="F125" s="7" t="s">
        <v>176</v>
      </c>
      <c r="G125" s="7">
        <v>6</v>
      </c>
      <c r="H125" s="18">
        <v>736.11</v>
      </c>
      <c r="I125" s="22">
        <v>0.2</v>
      </c>
      <c r="J125" s="18">
        <v>3533.33</v>
      </c>
      <c r="K125" s="18">
        <v>2377.29</v>
      </c>
      <c r="L125" s="18">
        <v>1156.04</v>
      </c>
      <c r="M125" s="7" t="s">
        <v>57</v>
      </c>
      <c r="N125" s="7" t="s">
        <v>63</v>
      </c>
      <c r="O125" s="7" t="s">
        <v>44</v>
      </c>
      <c r="P125" s="7" t="str">
        <f t="shared" si="3"/>
        <v>Sep</v>
      </c>
      <c r="Q125" s="7">
        <f t="shared" si="4"/>
        <v>2025</v>
      </c>
      <c r="R125" s="23">
        <f t="shared" si="5"/>
        <v>0.32718144073720823</v>
      </c>
    </row>
    <row r="126" spans="1:18">
      <c r="A126" s="7" t="s">
        <v>1411</v>
      </c>
      <c r="B126" s="8">
        <v>46251</v>
      </c>
      <c r="C126" s="7" t="s">
        <v>1412</v>
      </c>
      <c r="D126" s="7" t="s">
        <v>95</v>
      </c>
      <c r="E126" s="7" t="s">
        <v>48</v>
      </c>
      <c r="F126" s="7" t="s">
        <v>113</v>
      </c>
      <c r="G126" s="7">
        <v>6</v>
      </c>
      <c r="H126" s="18">
        <v>742.42</v>
      </c>
      <c r="I126" s="22">
        <v>0.2</v>
      </c>
      <c r="J126" s="18">
        <v>3563.62</v>
      </c>
      <c r="K126" s="18">
        <v>2581.63</v>
      </c>
      <c r="L126" s="18">
        <v>981.99</v>
      </c>
      <c r="M126" s="7" t="s">
        <v>57</v>
      </c>
      <c r="N126" s="7" t="s">
        <v>71</v>
      </c>
      <c r="O126" s="7" t="s">
        <v>44</v>
      </c>
      <c r="P126" s="7" t="str">
        <f t="shared" si="3"/>
        <v>Aug</v>
      </c>
      <c r="Q126" s="7">
        <f t="shared" si="4"/>
        <v>2026</v>
      </c>
      <c r="R126" s="23">
        <f t="shared" si="5"/>
        <v>0.27555968369242512</v>
      </c>
    </row>
    <row r="127" spans="1:18">
      <c r="A127" s="7" t="s">
        <v>1442</v>
      </c>
      <c r="B127" s="8">
        <v>45692</v>
      </c>
      <c r="C127" s="7" t="s">
        <v>665</v>
      </c>
      <c r="D127" s="7" t="s">
        <v>47</v>
      </c>
      <c r="E127" s="7" t="s">
        <v>41</v>
      </c>
      <c r="F127" s="7" t="s">
        <v>119</v>
      </c>
      <c r="G127" s="7">
        <v>1</v>
      </c>
      <c r="H127" s="18">
        <v>744.93</v>
      </c>
      <c r="I127" s="22">
        <v>0.2</v>
      </c>
      <c r="J127" s="18">
        <v>595.94000000000005</v>
      </c>
      <c r="K127" s="18">
        <v>455.51</v>
      </c>
      <c r="L127" s="18">
        <v>140.43</v>
      </c>
      <c r="M127" s="7" t="s">
        <v>57</v>
      </c>
      <c r="N127" s="7" t="s">
        <v>63</v>
      </c>
      <c r="O127" s="7" t="s">
        <v>44</v>
      </c>
      <c r="P127" s="7" t="str">
        <f t="shared" si="3"/>
        <v>Feb</v>
      </c>
      <c r="Q127" s="7">
        <f t="shared" si="4"/>
        <v>2025</v>
      </c>
      <c r="R127" s="23">
        <f t="shared" si="5"/>
        <v>0.23564452797261468</v>
      </c>
    </row>
    <row r="128" spans="1:18">
      <c r="A128" s="7" t="s">
        <v>782</v>
      </c>
      <c r="B128" s="8">
        <v>46082</v>
      </c>
      <c r="C128" s="7" t="s">
        <v>628</v>
      </c>
      <c r="D128" s="7" t="s">
        <v>52</v>
      </c>
      <c r="E128" s="7" t="s">
        <v>33</v>
      </c>
      <c r="F128" s="7" t="s">
        <v>96</v>
      </c>
      <c r="G128" s="7">
        <v>3</v>
      </c>
      <c r="H128" s="18">
        <v>745.83</v>
      </c>
      <c r="I128" s="22">
        <v>0.05</v>
      </c>
      <c r="J128" s="18">
        <v>2125.62</v>
      </c>
      <c r="K128" s="18">
        <v>1243.98</v>
      </c>
      <c r="L128" s="18">
        <v>881.64</v>
      </c>
      <c r="M128" s="7" t="s">
        <v>57</v>
      </c>
      <c r="N128" s="7" t="s">
        <v>71</v>
      </c>
      <c r="O128" s="7" t="s">
        <v>44</v>
      </c>
      <c r="P128" s="7" t="str">
        <f t="shared" si="3"/>
        <v>Mar</v>
      </c>
      <c r="Q128" s="7">
        <f t="shared" si="4"/>
        <v>2026</v>
      </c>
      <c r="R128" s="23">
        <f t="shared" si="5"/>
        <v>0.41476839698535017</v>
      </c>
    </row>
    <row r="129" spans="1:18">
      <c r="A129" s="7" t="s">
        <v>1091</v>
      </c>
      <c r="B129" s="8">
        <v>45841</v>
      </c>
      <c r="C129" s="7" t="s">
        <v>646</v>
      </c>
      <c r="D129" s="7" t="s">
        <v>56</v>
      </c>
      <c r="E129" s="7" t="s">
        <v>41</v>
      </c>
      <c r="F129" s="7" t="s">
        <v>53</v>
      </c>
      <c r="G129" s="7">
        <v>6</v>
      </c>
      <c r="H129" s="18">
        <v>747.37</v>
      </c>
      <c r="I129" s="22">
        <v>0</v>
      </c>
      <c r="J129" s="18">
        <v>4484.22</v>
      </c>
      <c r="K129" s="18">
        <v>3192.1</v>
      </c>
      <c r="L129" s="18">
        <v>1292.1199999999999</v>
      </c>
      <c r="M129" s="7" t="s">
        <v>57</v>
      </c>
      <c r="N129" s="7" t="s">
        <v>71</v>
      </c>
      <c r="O129" s="7" t="s">
        <v>37</v>
      </c>
      <c r="P129" s="7" t="str">
        <f t="shared" si="3"/>
        <v>Jul</v>
      </c>
      <c r="Q129" s="7">
        <f t="shared" si="4"/>
        <v>2025</v>
      </c>
      <c r="R129" s="23">
        <f t="shared" si="5"/>
        <v>0.2881482175272399</v>
      </c>
    </row>
    <row r="130" spans="1:18">
      <c r="A130" s="7" t="s">
        <v>1118</v>
      </c>
      <c r="B130" s="8">
        <v>45973</v>
      </c>
      <c r="C130" s="7" t="s">
        <v>1060</v>
      </c>
      <c r="D130" s="7" t="s">
        <v>47</v>
      </c>
      <c r="E130" s="7" t="s">
        <v>48</v>
      </c>
      <c r="F130" s="7" t="s">
        <v>70</v>
      </c>
      <c r="G130" s="7">
        <v>1</v>
      </c>
      <c r="H130" s="18">
        <v>748.7</v>
      </c>
      <c r="I130" s="22">
        <v>0.1</v>
      </c>
      <c r="J130" s="18">
        <v>673.83</v>
      </c>
      <c r="K130" s="18">
        <v>406.57</v>
      </c>
      <c r="L130" s="18">
        <v>267.26</v>
      </c>
      <c r="M130" s="7" t="s">
        <v>35</v>
      </c>
      <c r="N130" s="7" t="s">
        <v>36</v>
      </c>
      <c r="O130" s="7" t="s">
        <v>44</v>
      </c>
      <c r="P130" s="7" t="str">
        <f t="shared" ref="P130:P193" si="6">TEXT(B130,"mmm")</f>
        <v>Nov</v>
      </c>
      <c r="Q130" s="7">
        <f t="shared" ref="Q130:Q193" si="7">YEAR(B130)</f>
        <v>2025</v>
      </c>
      <c r="R130" s="23">
        <f t="shared" ref="R130:R193" si="8">IFERROR(L130/J130,0)</f>
        <v>0.39662822967217248</v>
      </c>
    </row>
    <row r="131" spans="1:18">
      <c r="A131" s="7" t="s">
        <v>1159</v>
      </c>
      <c r="B131" s="8">
        <v>45747</v>
      </c>
      <c r="C131" s="7" t="s">
        <v>106</v>
      </c>
      <c r="D131" s="7" t="s">
        <v>60</v>
      </c>
      <c r="E131" s="7" t="s">
        <v>41</v>
      </c>
      <c r="F131" s="7" t="s">
        <v>53</v>
      </c>
      <c r="G131" s="7">
        <v>1</v>
      </c>
      <c r="H131" s="18">
        <v>749.9</v>
      </c>
      <c r="I131" s="22">
        <v>0.1</v>
      </c>
      <c r="J131" s="18">
        <v>674.91</v>
      </c>
      <c r="K131" s="18">
        <v>392.3</v>
      </c>
      <c r="L131" s="18">
        <v>282.61</v>
      </c>
      <c r="M131" s="7" t="s">
        <v>35</v>
      </c>
      <c r="N131" s="7" t="s">
        <v>43</v>
      </c>
      <c r="O131" s="7" t="s">
        <v>44</v>
      </c>
      <c r="P131" s="7" t="str">
        <f t="shared" si="6"/>
        <v>Mar</v>
      </c>
      <c r="Q131" s="7">
        <f t="shared" si="7"/>
        <v>2025</v>
      </c>
      <c r="R131" s="23">
        <f t="shared" si="8"/>
        <v>0.41873731312323126</v>
      </c>
    </row>
    <row r="132" spans="1:18">
      <c r="A132" s="7" t="s">
        <v>792</v>
      </c>
      <c r="B132" s="8">
        <v>46154</v>
      </c>
      <c r="C132" s="7" t="s">
        <v>106</v>
      </c>
      <c r="D132" s="7" t="s">
        <v>40</v>
      </c>
      <c r="E132" s="7" t="s">
        <v>33</v>
      </c>
      <c r="F132" s="7" t="s">
        <v>67</v>
      </c>
      <c r="G132" s="7">
        <v>1</v>
      </c>
      <c r="H132" s="18">
        <v>751.9</v>
      </c>
      <c r="I132" s="22">
        <v>0.15</v>
      </c>
      <c r="J132" s="18">
        <v>639.12</v>
      </c>
      <c r="K132" s="18">
        <v>422.85</v>
      </c>
      <c r="L132" s="18">
        <v>216.27</v>
      </c>
      <c r="M132" s="7" t="s">
        <v>35</v>
      </c>
      <c r="N132" s="7" t="s">
        <v>36</v>
      </c>
      <c r="O132" s="7" t="s">
        <v>44</v>
      </c>
      <c r="P132" s="7" t="str">
        <f t="shared" si="6"/>
        <v>May</v>
      </c>
      <c r="Q132" s="7">
        <f t="shared" si="7"/>
        <v>2026</v>
      </c>
      <c r="R132" s="23">
        <f t="shared" si="8"/>
        <v>0.33838715734134434</v>
      </c>
    </row>
    <row r="133" spans="1:18">
      <c r="A133" s="7" t="s">
        <v>933</v>
      </c>
      <c r="B133" s="8">
        <v>46057</v>
      </c>
      <c r="C133" s="7" t="s">
        <v>934</v>
      </c>
      <c r="D133" s="7" t="s">
        <v>60</v>
      </c>
      <c r="E133" s="7" t="s">
        <v>33</v>
      </c>
      <c r="F133" s="7" t="s">
        <v>34</v>
      </c>
      <c r="G133" s="7">
        <v>3</v>
      </c>
      <c r="H133" s="18">
        <v>752.36</v>
      </c>
      <c r="I133" s="22">
        <v>0.05</v>
      </c>
      <c r="J133" s="18">
        <v>2144.23</v>
      </c>
      <c r="K133" s="18">
        <v>1182.0899999999999</v>
      </c>
      <c r="L133" s="18">
        <v>962.14</v>
      </c>
      <c r="M133" s="7" t="s">
        <v>57</v>
      </c>
      <c r="N133" s="7" t="s">
        <v>36</v>
      </c>
      <c r="O133" s="7" t="s">
        <v>37</v>
      </c>
      <c r="P133" s="7" t="str">
        <f t="shared" si="6"/>
        <v>Feb</v>
      </c>
      <c r="Q133" s="7">
        <f t="shared" si="7"/>
        <v>2026</v>
      </c>
      <c r="R133" s="23">
        <f t="shared" si="8"/>
        <v>0.44871119236275958</v>
      </c>
    </row>
    <row r="134" spans="1:18">
      <c r="A134" s="7" t="s">
        <v>1240</v>
      </c>
      <c r="B134" s="8">
        <v>45813</v>
      </c>
      <c r="C134" s="7" t="s">
        <v>443</v>
      </c>
      <c r="D134" s="7" t="s">
        <v>74</v>
      </c>
      <c r="E134" s="7" t="s">
        <v>61</v>
      </c>
      <c r="F134" s="7" t="s">
        <v>81</v>
      </c>
      <c r="G134" s="7">
        <v>4</v>
      </c>
      <c r="H134" s="18">
        <v>755.1</v>
      </c>
      <c r="I134" s="22">
        <v>0.05</v>
      </c>
      <c r="J134" s="18">
        <v>2869.38</v>
      </c>
      <c r="K134" s="18">
        <v>2010.91</v>
      </c>
      <c r="L134" s="18">
        <v>858.47</v>
      </c>
      <c r="M134" s="7" t="s">
        <v>57</v>
      </c>
      <c r="N134" s="7" t="s">
        <v>63</v>
      </c>
      <c r="O134" s="7" t="s">
        <v>37</v>
      </c>
      <c r="P134" s="7" t="str">
        <f t="shared" si="6"/>
        <v>Jun</v>
      </c>
      <c r="Q134" s="7">
        <f t="shared" si="7"/>
        <v>2025</v>
      </c>
      <c r="R134" s="23">
        <f t="shared" si="8"/>
        <v>0.29918309878789145</v>
      </c>
    </row>
    <row r="135" spans="1:18">
      <c r="A135" s="7" t="s">
        <v>1140</v>
      </c>
      <c r="B135" s="8">
        <v>46175</v>
      </c>
      <c r="C135" s="7" t="s">
        <v>1141</v>
      </c>
      <c r="D135" s="7" t="s">
        <v>66</v>
      </c>
      <c r="E135" s="7" t="s">
        <v>41</v>
      </c>
      <c r="F135" s="7" t="s">
        <v>124</v>
      </c>
      <c r="G135" s="7">
        <v>1</v>
      </c>
      <c r="H135" s="18">
        <v>757.94</v>
      </c>
      <c r="I135" s="22">
        <v>0.1</v>
      </c>
      <c r="J135" s="18">
        <v>682.15</v>
      </c>
      <c r="K135" s="18">
        <v>393.11</v>
      </c>
      <c r="L135" s="18">
        <v>289.04000000000002</v>
      </c>
      <c r="M135" s="7" t="s">
        <v>57</v>
      </c>
      <c r="N135" s="7" t="s">
        <v>71</v>
      </c>
      <c r="O135" s="7" t="s">
        <v>44</v>
      </c>
      <c r="P135" s="7" t="str">
        <f t="shared" si="6"/>
        <v>Jun</v>
      </c>
      <c r="Q135" s="7">
        <f t="shared" si="7"/>
        <v>2026</v>
      </c>
      <c r="R135" s="23">
        <f t="shared" si="8"/>
        <v>0.42371912335996487</v>
      </c>
    </row>
    <row r="136" spans="1:18">
      <c r="A136" s="7" t="s">
        <v>1611</v>
      </c>
      <c r="B136" s="8">
        <v>45840</v>
      </c>
      <c r="C136" s="7" t="s">
        <v>401</v>
      </c>
      <c r="D136" s="7" t="s">
        <v>56</v>
      </c>
      <c r="E136" s="7" t="s">
        <v>41</v>
      </c>
      <c r="F136" s="7" t="s">
        <v>53</v>
      </c>
      <c r="G136" s="7">
        <v>6</v>
      </c>
      <c r="H136" s="18">
        <v>764.75</v>
      </c>
      <c r="I136" s="22">
        <v>0.1</v>
      </c>
      <c r="J136" s="18">
        <v>4129.6499999999996</v>
      </c>
      <c r="K136" s="18">
        <v>2998.42</v>
      </c>
      <c r="L136" s="18">
        <v>1131.23</v>
      </c>
      <c r="M136" s="7" t="s">
        <v>57</v>
      </c>
      <c r="N136" s="7" t="s">
        <v>43</v>
      </c>
      <c r="O136" s="7" t="s">
        <v>44</v>
      </c>
      <c r="P136" s="7" t="str">
        <f t="shared" si="6"/>
        <v>Jul</v>
      </c>
      <c r="Q136" s="7">
        <f t="shared" si="7"/>
        <v>2025</v>
      </c>
      <c r="R136" s="23">
        <f t="shared" si="8"/>
        <v>0.27392878331093434</v>
      </c>
    </row>
    <row r="137" spans="1:18">
      <c r="A137" s="7" t="s">
        <v>1526</v>
      </c>
      <c r="B137" s="8">
        <v>45936</v>
      </c>
      <c r="C137" s="7" t="s">
        <v>1332</v>
      </c>
      <c r="D137" s="7" t="s">
        <v>40</v>
      </c>
      <c r="E137" s="7" t="s">
        <v>48</v>
      </c>
      <c r="F137" s="7" t="s">
        <v>49</v>
      </c>
      <c r="G137" s="7">
        <v>5</v>
      </c>
      <c r="H137" s="18">
        <v>766.03</v>
      </c>
      <c r="I137" s="22">
        <v>0.2</v>
      </c>
      <c r="J137" s="18">
        <v>3064.12</v>
      </c>
      <c r="K137" s="18">
        <v>1901.86</v>
      </c>
      <c r="L137" s="18">
        <v>1162.26</v>
      </c>
      <c r="M137" s="7" t="s">
        <v>57</v>
      </c>
      <c r="N137" s="7" t="s">
        <v>63</v>
      </c>
      <c r="O137" s="7" t="s">
        <v>44</v>
      </c>
      <c r="P137" s="7" t="str">
        <f t="shared" si="6"/>
        <v>Oct</v>
      </c>
      <c r="Q137" s="7">
        <f t="shared" si="7"/>
        <v>2025</v>
      </c>
      <c r="R137" s="23">
        <f t="shared" si="8"/>
        <v>0.37931282064671096</v>
      </c>
    </row>
    <row r="138" spans="1:18">
      <c r="A138" s="7" t="s">
        <v>390</v>
      </c>
      <c r="B138" s="8">
        <v>45917</v>
      </c>
      <c r="C138" s="7" t="s">
        <v>374</v>
      </c>
      <c r="D138" s="7" t="s">
        <v>47</v>
      </c>
      <c r="E138" s="7" t="s">
        <v>33</v>
      </c>
      <c r="F138" s="7" t="s">
        <v>96</v>
      </c>
      <c r="G138" s="7">
        <v>6</v>
      </c>
      <c r="H138" s="18">
        <v>769.95</v>
      </c>
      <c r="I138" s="22">
        <v>0.1</v>
      </c>
      <c r="J138" s="18">
        <v>4157.7299999999996</v>
      </c>
      <c r="K138" s="18">
        <v>3035.38</v>
      </c>
      <c r="L138" s="18">
        <v>1122.3499999999999</v>
      </c>
      <c r="M138" s="7" t="s">
        <v>57</v>
      </c>
      <c r="N138" s="7" t="s">
        <v>36</v>
      </c>
      <c r="O138" s="7" t="s">
        <v>44</v>
      </c>
      <c r="P138" s="7" t="str">
        <f t="shared" si="6"/>
        <v>Sep</v>
      </c>
      <c r="Q138" s="7">
        <f t="shared" si="7"/>
        <v>2025</v>
      </c>
      <c r="R138" s="23">
        <f t="shared" si="8"/>
        <v>0.26994297368997028</v>
      </c>
    </row>
    <row r="139" spans="1:18">
      <c r="A139" s="7" t="s">
        <v>1037</v>
      </c>
      <c r="B139" s="8">
        <v>45767</v>
      </c>
      <c r="C139" s="7" t="s">
        <v>648</v>
      </c>
      <c r="D139" s="7" t="s">
        <v>56</v>
      </c>
      <c r="E139" s="7" t="s">
        <v>41</v>
      </c>
      <c r="F139" s="7" t="s">
        <v>42</v>
      </c>
      <c r="G139" s="7">
        <v>3</v>
      </c>
      <c r="H139" s="18">
        <v>778.03</v>
      </c>
      <c r="I139" s="22">
        <v>0.2</v>
      </c>
      <c r="J139" s="18">
        <v>1867.27</v>
      </c>
      <c r="K139" s="18">
        <v>1324.88</v>
      </c>
      <c r="L139" s="18">
        <v>542.39</v>
      </c>
      <c r="M139" s="7" t="s">
        <v>57</v>
      </c>
      <c r="N139" s="7" t="s">
        <v>63</v>
      </c>
      <c r="O139" s="7" t="s">
        <v>44</v>
      </c>
      <c r="P139" s="7" t="str">
        <f t="shared" si="6"/>
        <v>Apr</v>
      </c>
      <c r="Q139" s="7">
        <f t="shared" si="7"/>
        <v>2025</v>
      </c>
      <c r="R139" s="23">
        <f t="shared" si="8"/>
        <v>0.2904721866682376</v>
      </c>
    </row>
    <row r="140" spans="1:18">
      <c r="A140" s="7" t="s">
        <v>928</v>
      </c>
      <c r="B140" s="8">
        <v>46117</v>
      </c>
      <c r="C140" s="7" t="s">
        <v>273</v>
      </c>
      <c r="D140" s="7" t="s">
        <v>134</v>
      </c>
      <c r="E140" s="7" t="s">
        <v>61</v>
      </c>
      <c r="F140" s="7" t="s">
        <v>89</v>
      </c>
      <c r="G140" s="7">
        <v>6</v>
      </c>
      <c r="H140" s="18">
        <v>787.09</v>
      </c>
      <c r="I140" s="22">
        <v>0.1</v>
      </c>
      <c r="J140" s="18">
        <v>4250.29</v>
      </c>
      <c r="K140" s="18">
        <v>2533</v>
      </c>
      <c r="L140" s="18">
        <v>1717.29</v>
      </c>
      <c r="M140" s="7" t="s">
        <v>57</v>
      </c>
      <c r="N140" s="7" t="s">
        <v>63</v>
      </c>
      <c r="O140" s="7" t="s">
        <v>44</v>
      </c>
      <c r="P140" s="7" t="str">
        <f t="shared" si="6"/>
        <v>Apr</v>
      </c>
      <c r="Q140" s="7">
        <f t="shared" si="7"/>
        <v>2026</v>
      </c>
      <c r="R140" s="23">
        <f t="shared" si="8"/>
        <v>0.40404066546047446</v>
      </c>
    </row>
    <row r="141" spans="1:18">
      <c r="A141" s="7" t="s">
        <v>68</v>
      </c>
      <c r="B141" s="8">
        <v>45803</v>
      </c>
      <c r="C141" s="7" t="s">
        <v>69</v>
      </c>
      <c r="D141" s="7" t="s">
        <v>56</v>
      </c>
      <c r="E141" s="7" t="s">
        <v>48</v>
      </c>
      <c r="F141" s="7" t="s">
        <v>70</v>
      </c>
      <c r="G141" s="7">
        <v>5</v>
      </c>
      <c r="H141" s="18">
        <v>789.07</v>
      </c>
      <c r="I141" s="22">
        <v>0.1</v>
      </c>
      <c r="J141" s="18">
        <v>3550.82</v>
      </c>
      <c r="K141" s="18">
        <v>2348.8200000000002</v>
      </c>
      <c r="L141" s="18">
        <v>1202</v>
      </c>
      <c r="M141" s="7" t="s">
        <v>57</v>
      </c>
      <c r="N141" s="7" t="s">
        <v>71</v>
      </c>
      <c r="O141" s="7" t="s">
        <v>37</v>
      </c>
      <c r="P141" s="7" t="str">
        <f t="shared" si="6"/>
        <v>May</v>
      </c>
      <c r="Q141" s="7">
        <f t="shared" si="7"/>
        <v>2025</v>
      </c>
      <c r="R141" s="23">
        <f t="shared" si="8"/>
        <v>0.33851335747799099</v>
      </c>
    </row>
    <row r="142" spans="1:18">
      <c r="A142" s="7" t="s">
        <v>1222</v>
      </c>
      <c r="B142" s="8">
        <v>45835</v>
      </c>
      <c r="C142" s="7" t="s">
        <v>199</v>
      </c>
      <c r="D142" s="7" t="s">
        <v>60</v>
      </c>
      <c r="E142" s="7" t="s">
        <v>33</v>
      </c>
      <c r="F142" s="7" t="s">
        <v>92</v>
      </c>
      <c r="G142" s="7">
        <v>2</v>
      </c>
      <c r="H142" s="18">
        <v>794.41</v>
      </c>
      <c r="I142" s="22">
        <v>0</v>
      </c>
      <c r="J142" s="18">
        <v>1588.82</v>
      </c>
      <c r="K142" s="18">
        <v>1192.76</v>
      </c>
      <c r="L142" s="18">
        <v>396.06</v>
      </c>
      <c r="M142" s="7" t="s">
        <v>57</v>
      </c>
      <c r="N142" s="7" t="s">
        <v>43</v>
      </c>
      <c r="O142" s="7" t="s">
        <v>44</v>
      </c>
      <c r="P142" s="7" t="str">
        <f t="shared" si="6"/>
        <v>Jun</v>
      </c>
      <c r="Q142" s="7">
        <f t="shared" si="7"/>
        <v>2025</v>
      </c>
      <c r="R142" s="23">
        <f t="shared" si="8"/>
        <v>0.24927933938394534</v>
      </c>
    </row>
    <row r="143" spans="1:18">
      <c r="A143" s="7" t="s">
        <v>981</v>
      </c>
      <c r="B143" s="8">
        <v>45669</v>
      </c>
      <c r="C143" s="7" t="s">
        <v>170</v>
      </c>
      <c r="D143" s="7" t="s">
        <v>134</v>
      </c>
      <c r="E143" s="7" t="s">
        <v>61</v>
      </c>
      <c r="F143" s="7" t="s">
        <v>129</v>
      </c>
      <c r="G143" s="7">
        <v>3</v>
      </c>
      <c r="H143" s="18">
        <v>799.41</v>
      </c>
      <c r="I143" s="22">
        <v>0</v>
      </c>
      <c r="J143" s="18">
        <v>2398.23</v>
      </c>
      <c r="K143" s="18">
        <v>1370.27</v>
      </c>
      <c r="L143" s="18">
        <v>1027.96</v>
      </c>
      <c r="M143" s="7" t="s">
        <v>57</v>
      </c>
      <c r="N143" s="7" t="s">
        <v>36</v>
      </c>
      <c r="O143" s="7" t="s">
        <v>44</v>
      </c>
      <c r="P143" s="7" t="str">
        <f t="shared" si="6"/>
        <v>Jan</v>
      </c>
      <c r="Q143" s="7">
        <f t="shared" si="7"/>
        <v>2025</v>
      </c>
      <c r="R143" s="23">
        <f t="shared" si="8"/>
        <v>0.42863278334438315</v>
      </c>
    </row>
    <row r="144" spans="1:18">
      <c r="A144" s="7" t="s">
        <v>1025</v>
      </c>
      <c r="B144" s="8">
        <v>45881</v>
      </c>
      <c r="C144" s="7" t="s">
        <v>339</v>
      </c>
      <c r="D144" s="7" t="s">
        <v>47</v>
      </c>
      <c r="E144" s="7" t="s">
        <v>33</v>
      </c>
      <c r="F144" s="7" t="s">
        <v>176</v>
      </c>
      <c r="G144" s="7">
        <v>3</v>
      </c>
      <c r="H144" s="18">
        <v>803.06</v>
      </c>
      <c r="I144" s="22">
        <v>0.05</v>
      </c>
      <c r="J144" s="18">
        <v>2288.7199999999998</v>
      </c>
      <c r="K144" s="18">
        <v>1385.73</v>
      </c>
      <c r="L144" s="18">
        <v>902.99</v>
      </c>
      <c r="M144" s="7" t="s">
        <v>57</v>
      </c>
      <c r="N144" s="7" t="s">
        <v>71</v>
      </c>
      <c r="O144" s="7" t="s">
        <v>44</v>
      </c>
      <c r="P144" s="7" t="str">
        <f t="shared" si="6"/>
        <v>Aug</v>
      </c>
      <c r="Q144" s="7">
        <f t="shared" si="7"/>
        <v>2025</v>
      </c>
      <c r="R144" s="23">
        <f t="shared" si="8"/>
        <v>0.39453930581285612</v>
      </c>
    </row>
    <row r="145" spans="1:18">
      <c r="A145" s="7" t="s">
        <v>1608</v>
      </c>
      <c r="B145" s="8">
        <v>46214</v>
      </c>
      <c r="C145" s="7" t="s">
        <v>1478</v>
      </c>
      <c r="D145" s="7" t="s">
        <v>60</v>
      </c>
      <c r="E145" s="7" t="s">
        <v>41</v>
      </c>
      <c r="F145" s="7" t="s">
        <v>124</v>
      </c>
      <c r="G145" s="7">
        <v>6</v>
      </c>
      <c r="H145" s="18">
        <v>814.11</v>
      </c>
      <c r="I145" s="22">
        <v>0.15</v>
      </c>
      <c r="J145" s="18">
        <v>4151.96</v>
      </c>
      <c r="K145" s="18">
        <v>3403.9</v>
      </c>
      <c r="L145" s="18">
        <v>748.06</v>
      </c>
      <c r="M145" s="7" t="s">
        <v>57</v>
      </c>
      <c r="N145" s="7" t="s">
        <v>43</v>
      </c>
      <c r="O145" s="7" t="s">
        <v>44</v>
      </c>
      <c r="P145" s="7" t="str">
        <f t="shared" si="6"/>
        <v>Jul</v>
      </c>
      <c r="Q145" s="7">
        <f t="shared" si="7"/>
        <v>2026</v>
      </c>
      <c r="R145" s="23">
        <f t="shared" si="8"/>
        <v>0.18017032919392287</v>
      </c>
    </row>
    <row r="146" spans="1:18">
      <c r="A146" s="7" t="s">
        <v>1508</v>
      </c>
      <c r="B146" s="8">
        <v>46225</v>
      </c>
      <c r="C146" s="7" t="s">
        <v>648</v>
      </c>
      <c r="D146" s="7" t="s">
        <v>40</v>
      </c>
      <c r="E146" s="7" t="s">
        <v>48</v>
      </c>
      <c r="F146" s="7" t="s">
        <v>99</v>
      </c>
      <c r="G146" s="7">
        <v>4</v>
      </c>
      <c r="H146" s="18">
        <v>814.24</v>
      </c>
      <c r="I146" s="22">
        <v>0.1</v>
      </c>
      <c r="J146" s="18">
        <v>2931.26</v>
      </c>
      <c r="K146" s="18">
        <v>2414.09</v>
      </c>
      <c r="L146" s="18">
        <v>517.16999999999996</v>
      </c>
      <c r="M146" s="7" t="s">
        <v>57</v>
      </c>
      <c r="N146" s="7" t="s">
        <v>43</v>
      </c>
      <c r="O146" s="7" t="s">
        <v>37</v>
      </c>
      <c r="P146" s="7" t="str">
        <f t="shared" si="6"/>
        <v>Jul</v>
      </c>
      <c r="Q146" s="7">
        <f t="shared" si="7"/>
        <v>2026</v>
      </c>
      <c r="R146" s="23">
        <f t="shared" si="8"/>
        <v>0.17643266035766186</v>
      </c>
    </row>
    <row r="147" spans="1:18">
      <c r="A147" s="7" t="s">
        <v>1729</v>
      </c>
      <c r="B147" s="8">
        <v>45679</v>
      </c>
      <c r="C147" s="7" t="s">
        <v>729</v>
      </c>
      <c r="D147" s="7" t="s">
        <v>60</v>
      </c>
      <c r="E147" s="7" t="s">
        <v>61</v>
      </c>
      <c r="F147" s="7" t="s">
        <v>62</v>
      </c>
      <c r="G147" s="7">
        <v>4</v>
      </c>
      <c r="H147" s="18">
        <v>814.37</v>
      </c>
      <c r="I147" s="22">
        <v>0.15</v>
      </c>
      <c r="J147" s="18">
        <v>2768.86</v>
      </c>
      <c r="K147" s="18">
        <v>2220.39</v>
      </c>
      <c r="L147" s="18">
        <v>548.47</v>
      </c>
      <c r="M147" s="7" t="s">
        <v>35</v>
      </c>
      <c r="N147" s="7" t="s">
        <v>43</v>
      </c>
      <c r="O147" s="7" t="s">
        <v>44</v>
      </c>
      <c r="P147" s="7" t="str">
        <f t="shared" si="6"/>
        <v>Jan</v>
      </c>
      <c r="Q147" s="7">
        <f t="shared" si="7"/>
        <v>2025</v>
      </c>
      <c r="R147" s="23">
        <f t="shared" si="8"/>
        <v>0.19808513250940821</v>
      </c>
    </row>
    <row r="148" spans="1:18">
      <c r="A148" s="7" t="s">
        <v>317</v>
      </c>
      <c r="B148" s="8">
        <v>45956</v>
      </c>
      <c r="C148" s="7" t="s">
        <v>318</v>
      </c>
      <c r="D148" s="7" t="s">
        <v>74</v>
      </c>
      <c r="E148" s="7" t="s">
        <v>41</v>
      </c>
      <c r="F148" s="7" t="s">
        <v>42</v>
      </c>
      <c r="G148" s="7">
        <v>4</v>
      </c>
      <c r="H148" s="18">
        <v>821.69</v>
      </c>
      <c r="I148" s="22">
        <v>0</v>
      </c>
      <c r="J148" s="18">
        <v>3286.76</v>
      </c>
      <c r="K148" s="18">
        <v>2298.71</v>
      </c>
      <c r="L148" s="18">
        <v>988.05</v>
      </c>
      <c r="M148" s="7" t="s">
        <v>35</v>
      </c>
      <c r="N148" s="7" t="s">
        <v>63</v>
      </c>
      <c r="O148" s="7" t="s">
        <v>44</v>
      </c>
      <c r="P148" s="7" t="str">
        <f t="shared" si="6"/>
        <v>Oct</v>
      </c>
      <c r="Q148" s="7">
        <f t="shared" si="7"/>
        <v>2025</v>
      </c>
      <c r="R148" s="23">
        <f t="shared" si="8"/>
        <v>0.3006151955116893</v>
      </c>
    </row>
    <row r="149" spans="1:18">
      <c r="A149" s="7" t="s">
        <v>85</v>
      </c>
      <c r="B149" s="8">
        <v>46227</v>
      </c>
      <c r="C149" s="7" t="s">
        <v>86</v>
      </c>
      <c r="D149" s="7" t="s">
        <v>74</v>
      </c>
      <c r="E149" s="7" t="s">
        <v>61</v>
      </c>
      <c r="F149" s="7" t="s">
        <v>62</v>
      </c>
      <c r="G149" s="7">
        <v>5</v>
      </c>
      <c r="H149" s="18">
        <v>826.11</v>
      </c>
      <c r="I149" s="22">
        <v>0.15</v>
      </c>
      <c r="J149" s="18">
        <v>3510.97</v>
      </c>
      <c r="K149" s="18">
        <v>2116.2399999999998</v>
      </c>
      <c r="L149" s="18">
        <v>1394.73</v>
      </c>
      <c r="M149" s="7" t="s">
        <v>35</v>
      </c>
      <c r="N149" s="7" t="s">
        <v>63</v>
      </c>
      <c r="O149" s="7" t="s">
        <v>44</v>
      </c>
      <c r="P149" s="7" t="str">
        <f t="shared" si="6"/>
        <v>Jul</v>
      </c>
      <c r="Q149" s="7">
        <f t="shared" si="7"/>
        <v>2026</v>
      </c>
      <c r="R149" s="23">
        <f t="shared" si="8"/>
        <v>0.39724919324289304</v>
      </c>
    </row>
    <row r="150" spans="1:18">
      <c r="A150" s="7" t="s">
        <v>200</v>
      </c>
      <c r="B150" s="8">
        <v>45892</v>
      </c>
      <c r="C150" s="7" t="s">
        <v>201</v>
      </c>
      <c r="D150" s="7" t="s">
        <v>32</v>
      </c>
      <c r="E150" s="7" t="s">
        <v>61</v>
      </c>
      <c r="F150" s="7" t="s">
        <v>84</v>
      </c>
      <c r="G150" s="7">
        <v>2</v>
      </c>
      <c r="H150" s="18">
        <v>827.83</v>
      </c>
      <c r="I150" s="22">
        <v>0.1</v>
      </c>
      <c r="J150" s="18">
        <v>1490.09</v>
      </c>
      <c r="K150" s="18">
        <v>1105.53</v>
      </c>
      <c r="L150" s="18">
        <v>384.56</v>
      </c>
      <c r="M150" s="7" t="s">
        <v>35</v>
      </c>
      <c r="N150" s="7" t="s">
        <v>36</v>
      </c>
      <c r="O150" s="7" t="s">
        <v>44</v>
      </c>
      <c r="P150" s="7" t="str">
        <f t="shared" si="6"/>
        <v>Aug</v>
      </c>
      <c r="Q150" s="7">
        <f t="shared" si="7"/>
        <v>2025</v>
      </c>
      <c r="R150" s="23">
        <f t="shared" si="8"/>
        <v>0.25807837110510107</v>
      </c>
    </row>
    <row r="151" spans="1:18">
      <c r="A151" s="7" t="s">
        <v>514</v>
      </c>
      <c r="B151" s="8">
        <v>45924</v>
      </c>
      <c r="C151" s="7" t="s">
        <v>515</v>
      </c>
      <c r="D151" s="7" t="s">
        <v>95</v>
      </c>
      <c r="E151" s="7" t="s">
        <v>41</v>
      </c>
      <c r="F151" s="7" t="s">
        <v>42</v>
      </c>
      <c r="G151" s="7">
        <v>3</v>
      </c>
      <c r="H151" s="18">
        <v>831.92</v>
      </c>
      <c r="I151" s="22">
        <v>0</v>
      </c>
      <c r="J151" s="18">
        <v>2495.7600000000002</v>
      </c>
      <c r="K151" s="18">
        <v>1502.36</v>
      </c>
      <c r="L151" s="18">
        <v>993.4</v>
      </c>
      <c r="M151" s="7" t="s">
        <v>57</v>
      </c>
      <c r="N151" s="7" t="s">
        <v>63</v>
      </c>
      <c r="O151" s="7" t="s">
        <v>44</v>
      </c>
      <c r="P151" s="7" t="str">
        <f t="shared" si="6"/>
        <v>Sep</v>
      </c>
      <c r="Q151" s="7">
        <f t="shared" si="7"/>
        <v>2025</v>
      </c>
      <c r="R151" s="23">
        <f t="shared" si="8"/>
        <v>0.39803506747443662</v>
      </c>
    </row>
    <row r="152" spans="1:18">
      <c r="A152" s="7" t="s">
        <v>755</v>
      </c>
      <c r="B152" s="8">
        <v>46025</v>
      </c>
      <c r="C152" s="7" t="s">
        <v>756</v>
      </c>
      <c r="D152" s="7" t="s">
        <v>95</v>
      </c>
      <c r="E152" s="7" t="s">
        <v>41</v>
      </c>
      <c r="F152" s="7" t="s">
        <v>119</v>
      </c>
      <c r="G152" s="7">
        <v>6</v>
      </c>
      <c r="H152" s="18">
        <v>833.83</v>
      </c>
      <c r="I152" s="22">
        <v>0</v>
      </c>
      <c r="J152" s="18">
        <v>5002.9799999999996</v>
      </c>
      <c r="K152" s="18">
        <v>3787.91</v>
      </c>
      <c r="L152" s="18">
        <v>1215.07</v>
      </c>
      <c r="M152" s="7" t="s">
        <v>35</v>
      </c>
      <c r="N152" s="7" t="s">
        <v>36</v>
      </c>
      <c r="O152" s="7" t="s">
        <v>44</v>
      </c>
      <c r="P152" s="7" t="str">
        <f t="shared" si="6"/>
        <v>Jan</v>
      </c>
      <c r="Q152" s="7">
        <f t="shared" si="7"/>
        <v>2026</v>
      </c>
      <c r="R152" s="23">
        <f t="shared" si="8"/>
        <v>0.24286924992704348</v>
      </c>
    </row>
    <row r="153" spans="1:18">
      <c r="A153" s="7" t="s">
        <v>1723</v>
      </c>
      <c r="B153" s="8">
        <v>46165</v>
      </c>
      <c r="C153" s="7" t="s">
        <v>1389</v>
      </c>
      <c r="D153" s="7" t="s">
        <v>66</v>
      </c>
      <c r="E153" s="7" t="s">
        <v>48</v>
      </c>
      <c r="F153" s="7" t="s">
        <v>49</v>
      </c>
      <c r="G153" s="7">
        <v>4</v>
      </c>
      <c r="H153" s="18">
        <v>835.75</v>
      </c>
      <c r="I153" s="22">
        <v>0.1</v>
      </c>
      <c r="J153" s="18">
        <v>3008.7</v>
      </c>
      <c r="K153" s="18">
        <v>1777.33</v>
      </c>
      <c r="L153" s="18">
        <v>1231.3699999999999</v>
      </c>
      <c r="M153" s="7" t="s">
        <v>57</v>
      </c>
      <c r="N153" s="7" t="s">
        <v>36</v>
      </c>
      <c r="O153" s="7" t="s">
        <v>44</v>
      </c>
      <c r="P153" s="7" t="str">
        <f t="shared" si="6"/>
        <v>May</v>
      </c>
      <c r="Q153" s="7">
        <f t="shared" si="7"/>
        <v>2026</v>
      </c>
      <c r="R153" s="23">
        <f t="shared" si="8"/>
        <v>0.40926978429221922</v>
      </c>
    </row>
    <row r="154" spans="1:18">
      <c r="A154" s="7" t="s">
        <v>1645</v>
      </c>
      <c r="B154" s="8">
        <v>45923</v>
      </c>
      <c r="C154" s="7" t="s">
        <v>466</v>
      </c>
      <c r="D154" s="7" t="s">
        <v>134</v>
      </c>
      <c r="E154" s="7" t="s">
        <v>41</v>
      </c>
      <c r="F154" s="7" t="s">
        <v>53</v>
      </c>
      <c r="G154" s="7">
        <v>6</v>
      </c>
      <c r="H154" s="18">
        <v>845.89</v>
      </c>
      <c r="I154" s="22">
        <v>0</v>
      </c>
      <c r="J154" s="18">
        <v>5075.34</v>
      </c>
      <c r="K154" s="18">
        <v>3924.11</v>
      </c>
      <c r="L154" s="18">
        <v>1151.23</v>
      </c>
      <c r="M154" s="7" t="s">
        <v>57</v>
      </c>
      <c r="N154" s="7" t="s">
        <v>43</v>
      </c>
      <c r="O154" s="7" t="s">
        <v>44</v>
      </c>
      <c r="P154" s="7" t="str">
        <f t="shared" si="6"/>
        <v>Sep</v>
      </c>
      <c r="Q154" s="7">
        <f t="shared" si="7"/>
        <v>2025</v>
      </c>
      <c r="R154" s="23">
        <f t="shared" si="8"/>
        <v>0.22682815338479786</v>
      </c>
    </row>
    <row r="155" spans="1:18">
      <c r="A155" s="7" t="s">
        <v>1036</v>
      </c>
      <c r="B155" s="8">
        <v>46072</v>
      </c>
      <c r="C155" s="7" t="s">
        <v>288</v>
      </c>
      <c r="D155" s="7" t="s">
        <v>47</v>
      </c>
      <c r="E155" s="7" t="s">
        <v>61</v>
      </c>
      <c r="F155" s="7" t="s">
        <v>84</v>
      </c>
      <c r="G155" s="7">
        <v>3</v>
      </c>
      <c r="H155" s="18">
        <v>848.96</v>
      </c>
      <c r="I155" s="22">
        <v>0.15</v>
      </c>
      <c r="J155" s="18">
        <v>2164.85</v>
      </c>
      <c r="K155" s="18">
        <v>1497.13</v>
      </c>
      <c r="L155" s="18">
        <v>667.72</v>
      </c>
      <c r="M155" s="7" t="s">
        <v>35</v>
      </c>
      <c r="N155" s="7" t="s">
        <v>71</v>
      </c>
      <c r="O155" s="7" t="s">
        <v>37</v>
      </c>
      <c r="P155" s="7" t="str">
        <f t="shared" si="6"/>
        <v>Feb</v>
      </c>
      <c r="Q155" s="7">
        <f t="shared" si="7"/>
        <v>2026</v>
      </c>
      <c r="R155" s="23">
        <f t="shared" si="8"/>
        <v>0.30843707416218219</v>
      </c>
    </row>
    <row r="156" spans="1:18">
      <c r="A156" s="7" t="s">
        <v>779</v>
      </c>
      <c r="B156" s="8">
        <v>45847</v>
      </c>
      <c r="C156" s="7" t="s">
        <v>449</v>
      </c>
      <c r="D156" s="7" t="s">
        <v>40</v>
      </c>
      <c r="E156" s="7" t="s">
        <v>61</v>
      </c>
      <c r="F156" s="7" t="s">
        <v>62</v>
      </c>
      <c r="G156" s="7">
        <v>1</v>
      </c>
      <c r="H156" s="18">
        <v>849.83</v>
      </c>
      <c r="I156" s="22">
        <v>0.2</v>
      </c>
      <c r="J156" s="18">
        <v>679.86</v>
      </c>
      <c r="K156" s="18">
        <v>535.64</v>
      </c>
      <c r="L156" s="18">
        <v>144.22</v>
      </c>
      <c r="M156" s="7" t="s">
        <v>57</v>
      </c>
      <c r="N156" s="7" t="s">
        <v>43</v>
      </c>
      <c r="O156" s="7" t="s">
        <v>37</v>
      </c>
      <c r="P156" s="7" t="str">
        <f t="shared" si="6"/>
        <v>Jul</v>
      </c>
      <c r="Q156" s="7">
        <f t="shared" si="7"/>
        <v>2025</v>
      </c>
      <c r="R156" s="23">
        <f t="shared" si="8"/>
        <v>0.21213190951078162</v>
      </c>
    </row>
    <row r="157" spans="1:18">
      <c r="A157" s="7" t="s">
        <v>1245</v>
      </c>
      <c r="B157" s="8">
        <v>45867</v>
      </c>
      <c r="C157" s="7" t="s">
        <v>837</v>
      </c>
      <c r="D157" s="7" t="s">
        <v>74</v>
      </c>
      <c r="E157" s="7" t="s">
        <v>61</v>
      </c>
      <c r="F157" s="7" t="s">
        <v>129</v>
      </c>
      <c r="G157" s="7">
        <v>6</v>
      </c>
      <c r="H157" s="18">
        <v>852.56</v>
      </c>
      <c r="I157" s="22">
        <v>0.05</v>
      </c>
      <c r="J157" s="18">
        <v>4859.59</v>
      </c>
      <c r="K157" s="18">
        <v>3002.34</v>
      </c>
      <c r="L157" s="18">
        <v>1857.25</v>
      </c>
      <c r="M157" s="7" t="s">
        <v>57</v>
      </c>
      <c r="N157" s="7" t="s">
        <v>63</v>
      </c>
      <c r="O157" s="7" t="s">
        <v>44</v>
      </c>
      <c r="P157" s="7" t="str">
        <f t="shared" si="6"/>
        <v>Jul</v>
      </c>
      <c r="Q157" s="7">
        <f t="shared" si="7"/>
        <v>2025</v>
      </c>
      <c r="R157" s="23">
        <f t="shared" si="8"/>
        <v>0.38218244749042612</v>
      </c>
    </row>
    <row r="158" spans="1:18">
      <c r="A158" s="7" t="s">
        <v>319</v>
      </c>
      <c r="B158" s="8">
        <v>45679</v>
      </c>
      <c r="C158" s="7" t="s">
        <v>320</v>
      </c>
      <c r="D158" s="7" t="s">
        <v>60</v>
      </c>
      <c r="E158" s="7" t="s">
        <v>48</v>
      </c>
      <c r="F158" s="7" t="s">
        <v>102</v>
      </c>
      <c r="G158" s="7">
        <v>2</v>
      </c>
      <c r="H158" s="18">
        <v>853.98</v>
      </c>
      <c r="I158" s="22">
        <v>0</v>
      </c>
      <c r="J158" s="18">
        <v>1707.96</v>
      </c>
      <c r="K158" s="18">
        <v>1238.69</v>
      </c>
      <c r="L158" s="18">
        <v>469.27</v>
      </c>
      <c r="M158" s="7" t="s">
        <v>57</v>
      </c>
      <c r="N158" s="7" t="s">
        <v>36</v>
      </c>
      <c r="O158" s="7" t="s">
        <v>37</v>
      </c>
      <c r="P158" s="7" t="str">
        <f t="shared" si="6"/>
        <v>Jan</v>
      </c>
      <c r="Q158" s="7">
        <f t="shared" si="7"/>
        <v>2025</v>
      </c>
      <c r="R158" s="23">
        <f t="shared" si="8"/>
        <v>0.27475467809550574</v>
      </c>
    </row>
    <row r="159" spans="1:18">
      <c r="A159" s="7" t="s">
        <v>797</v>
      </c>
      <c r="B159" s="8">
        <v>45950</v>
      </c>
      <c r="C159" s="7" t="s">
        <v>271</v>
      </c>
      <c r="D159" s="7" t="s">
        <v>1758</v>
      </c>
      <c r="E159" s="7" t="s">
        <v>48</v>
      </c>
      <c r="F159" s="7" t="s">
        <v>49</v>
      </c>
      <c r="G159" s="7">
        <v>2</v>
      </c>
      <c r="H159" s="18">
        <v>856.02</v>
      </c>
      <c r="I159" s="22">
        <v>0.15</v>
      </c>
      <c r="J159" s="18">
        <v>1455.23</v>
      </c>
      <c r="K159" s="18">
        <v>1065.2</v>
      </c>
      <c r="L159" s="18">
        <v>390.03</v>
      </c>
      <c r="M159" s="7" t="s">
        <v>35</v>
      </c>
      <c r="N159" s="7" t="s">
        <v>43</v>
      </c>
      <c r="O159" s="7" t="s">
        <v>44</v>
      </c>
      <c r="P159" s="7" t="str">
        <f t="shared" si="6"/>
        <v>Oct</v>
      </c>
      <c r="Q159" s="7">
        <f t="shared" si="7"/>
        <v>2025</v>
      </c>
      <c r="R159" s="23">
        <f t="shared" si="8"/>
        <v>0.26801948832830547</v>
      </c>
    </row>
    <row r="160" spans="1:18">
      <c r="A160" s="7" t="s">
        <v>1382</v>
      </c>
      <c r="B160" s="8">
        <v>45772</v>
      </c>
      <c r="C160" s="7" t="s">
        <v>1383</v>
      </c>
      <c r="D160" s="7" t="s">
        <v>52</v>
      </c>
      <c r="E160" s="7" t="s">
        <v>41</v>
      </c>
      <c r="F160" s="7" t="s">
        <v>42</v>
      </c>
      <c r="G160" s="7">
        <v>6</v>
      </c>
      <c r="H160" s="18">
        <v>857.83</v>
      </c>
      <c r="I160" s="22">
        <v>0</v>
      </c>
      <c r="J160" s="18">
        <v>5146.9799999999996</v>
      </c>
      <c r="K160" s="18">
        <v>3395.13</v>
      </c>
      <c r="L160" s="18">
        <v>1751.85</v>
      </c>
      <c r="M160" s="7" t="s">
        <v>57</v>
      </c>
      <c r="N160" s="7" t="s">
        <v>43</v>
      </c>
      <c r="O160" s="7" t="s">
        <v>44</v>
      </c>
      <c r="P160" s="7" t="str">
        <f t="shared" si="6"/>
        <v>Apr</v>
      </c>
      <c r="Q160" s="7">
        <f t="shared" si="7"/>
        <v>2025</v>
      </c>
      <c r="R160" s="23">
        <f t="shared" si="8"/>
        <v>0.34036464101278807</v>
      </c>
    </row>
    <row r="161" spans="1:18">
      <c r="A161" s="7" t="s">
        <v>1156</v>
      </c>
      <c r="B161" s="8">
        <v>46053</v>
      </c>
      <c r="C161" s="7" t="s">
        <v>1157</v>
      </c>
      <c r="D161" s="7" t="s">
        <v>74</v>
      </c>
      <c r="E161" s="7" t="s">
        <v>48</v>
      </c>
      <c r="F161" s="7" t="s">
        <v>70</v>
      </c>
      <c r="G161" s="7">
        <v>5</v>
      </c>
      <c r="H161" s="18">
        <v>861.32</v>
      </c>
      <c r="I161" s="22">
        <v>0.05</v>
      </c>
      <c r="J161" s="18">
        <v>4091.27</v>
      </c>
      <c r="K161" s="18">
        <v>2581.4499999999998</v>
      </c>
      <c r="L161" s="18">
        <v>1509.82</v>
      </c>
      <c r="M161" s="7" t="s">
        <v>35</v>
      </c>
      <c r="N161" s="7" t="s">
        <v>36</v>
      </c>
      <c r="O161" s="7" t="s">
        <v>37</v>
      </c>
      <c r="P161" s="7" t="str">
        <f t="shared" si="6"/>
        <v>Jan</v>
      </c>
      <c r="Q161" s="7">
        <f t="shared" si="7"/>
        <v>2026</v>
      </c>
      <c r="R161" s="23">
        <f t="shared" si="8"/>
        <v>0.36903455406267488</v>
      </c>
    </row>
    <row r="162" spans="1:18">
      <c r="A162" s="7" t="s">
        <v>1596</v>
      </c>
      <c r="B162" s="8">
        <v>45749</v>
      </c>
      <c r="C162" s="7" t="s">
        <v>1501</v>
      </c>
      <c r="D162" s="7" t="s">
        <v>66</v>
      </c>
      <c r="E162" s="7" t="s">
        <v>33</v>
      </c>
      <c r="F162" s="7" t="s">
        <v>67</v>
      </c>
      <c r="G162" s="7">
        <v>2</v>
      </c>
      <c r="H162" s="18">
        <v>878.86</v>
      </c>
      <c r="I162" s="22">
        <v>0.1</v>
      </c>
      <c r="J162" s="18">
        <v>1581.95</v>
      </c>
      <c r="K162" s="18">
        <v>1243.6500000000001</v>
      </c>
      <c r="L162" s="18">
        <v>338.3</v>
      </c>
      <c r="M162" s="7" t="s">
        <v>35</v>
      </c>
      <c r="N162" s="7" t="s">
        <v>36</v>
      </c>
      <c r="O162" s="7" t="s">
        <v>44</v>
      </c>
      <c r="P162" s="7" t="str">
        <f t="shared" si="6"/>
        <v>Apr</v>
      </c>
      <c r="Q162" s="7">
        <f t="shared" si="7"/>
        <v>2025</v>
      </c>
      <c r="R162" s="23">
        <f t="shared" si="8"/>
        <v>0.21384999525901577</v>
      </c>
    </row>
    <row r="163" spans="1:18">
      <c r="A163" s="7" t="s">
        <v>865</v>
      </c>
      <c r="B163" s="8">
        <v>46016</v>
      </c>
      <c r="C163" s="7" t="s">
        <v>600</v>
      </c>
      <c r="D163" s="7" t="s">
        <v>60</v>
      </c>
      <c r="E163" s="7" t="s">
        <v>41</v>
      </c>
      <c r="F163" s="7" t="s">
        <v>53</v>
      </c>
      <c r="G163" s="7">
        <v>6</v>
      </c>
      <c r="H163" s="18">
        <v>884.67</v>
      </c>
      <c r="I163" s="22">
        <v>0.05</v>
      </c>
      <c r="J163" s="18">
        <v>5042.62</v>
      </c>
      <c r="K163" s="18">
        <v>3281.41</v>
      </c>
      <c r="L163" s="18">
        <v>1761.21</v>
      </c>
      <c r="M163" s="7" t="s">
        <v>57</v>
      </c>
      <c r="N163" s="7" t="s">
        <v>36</v>
      </c>
      <c r="O163" s="7" t="s">
        <v>44</v>
      </c>
      <c r="P163" s="7" t="str">
        <f t="shared" si="6"/>
        <v>Dec</v>
      </c>
      <c r="Q163" s="7">
        <f t="shared" si="7"/>
        <v>2025</v>
      </c>
      <c r="R163" s="23">
        <f t="shared" si="8"/>
        <v>0.34926486627983072</v>
      </c>
    </row>
    <row r="164" spans="1:18">
      <c r="A164" s="7" t="s">
        <v>886</v>
      </c>
      <c r="B164" s="8">
        <v>45803</v>
      </c>
      <c r="C164" s="7" t="s">
        <v>808</v>
      </c>
      <c r="D164" s="7" t="s">
        <v>40</v>
      </c>
      <c r="E164" s="7" t="s">
        <v>41</v>
      </c>
      <c r="F164" s="7" t="s">
        <v>119</v>
      </c>
      <c r="G164" s="7">
        <v>5</v>
      </c>
      <c r="H164" s="18">
        <v>886.88</v>
      </c>
      <c r="I164" s="22">
        <v>0.2</v>
      </c>
      <c r="J164" s="18">
        <v>3547.52</v>
      </c>
      <c r="K164" s="18">
        <v>2837.62</v>
      </c>
      <c r="L164" s="18">
        <v>709.9</v>
      </c>
      <c r="M164" s="7" t="s">
        <v>57</v>
      </c>
      <c r="N164" s="7" t="s">
        <v>36</v>
      </c>
      <c r="O164" s="7" t="s">
        <v>44</v>
      </c>
      <c r="P164" s="7" t="str">
        <f t="shared" si="6"/>
        <v>May</v>
      </c>
      <c r="Q164" s="7">
        <f t="shared" si="7"/>
        <v>2025</v>
      </c>
      <c r="R164" s="23">
        <f t="shared" si="8"/>
        <v>0.20011162727764747</v>
      </c>
    </row>
    <row r="165" spans="1:18">
      <c r="A165" s="7" t="s">
        <v>198</v>
      </c>
      <c r="B165" s="8">
        <v>45918</v>
      </c>
      <c r="C165" s="7" t="s">
        <v>199</v>
      </c>
      <c r="D165" s="7" t="s">
        <v>60</v>
      </c>
      <c r="E165" s="7" t="s">
        <v>41</v>
      </c>
      <c r="F165" s="7" t="s">
        <v>124</v>
      </c>
      <c r="G165" s="7">
        <v>6</v>
      </c>
      <c r="H165" s="18">
        <v>892.28</v>
      </c>
      <c r="I165" s="22">
        <v>0.15</v>
      </c>
      <c r="J165" s="18">
        <v>4550.63</v>
      </c>
      <c r="K165" s="18">
        <v>3820.24</v>
      </c>
      <c r="L165" s="18">
        <v>730.39</v>
      </c>
      <c r="M165" s="7" t="s">
        <v>35</v>
      </c>
      <c r="N165" s="7" t="s">
        <v>63</v>
      </c>
      <c r="O165" s="7" t="s">
        <v>44</v>
      </c>
      <c r="P165" s="7" t="str">
        <f t="shared" si="6"/>
        <v>Sep</v>
      </c>
      <c r="Q165" s="7">
        <f t="shared" si="7"/>
        <v>2025</v>
      </c>
      <c r="R165" s="23">
        <f t="shared" si="8"/>
        <v>0.16050305122587422</v>
      </c>
    </row>
    <row r="166" spans="1:18">
      <c r="A166" s="7" t="s">
        <v>1434</v>
      </c>
      <c r="B166" s="8">
        <v>46054</v>
      </c>
      <c r="C166" s="7" t="s">
        <v>545</v>
      </c>
      <c r="D166" s="7" t="s">
        <v>56</v>
      </c>
      <c r="E166" s="7" t="s">
        <v>41</v>
      </c>
      <c r="F166" s="7" t="s">
        <v>124</v>
      </c>
      <c r="G166" s="7">
        <v>4</v>
      </c>
      <c r="H166" s="18">
        <v>900.93</v>
      </c>
      <c r="I166" s="22">
        <v>0.15</v>
      </c>
      <c r="J166" s="18">
        <v>3063.16</v>
      </c>
      <c r="K166" s="18">
        <v>2309.96</v>
      </c>
      <c r="L166" s="18">
        <v>753.2</v>
      </c>
      <c r="M166" s="7" t="s">
        <v>35</v>
      </c>
      <c r="N166" s="7" t="s">
        <v>36</v>
      </c>
      <c r="O166" s="7" t="s">
        <v>44</v>
      </c>
      <c r="P166" s="7" t="str">
        <f t="shared" si="6"/>
        <v>Feb</v>
      </c>
      <c r="Q166" s="7">
        <f t="shared" si="7"/>
        <v>2026</v>
      </c>
      <c r="R166" s="23">
        <f t="shared" si="8"/>
        <v>0.24588986536779014</v>
      </c>
    </row>
    <row r="167" spans="1:18">
      <c r="A167" s="7" t="s">
        <v>383</v>
      </c>
      <c r="B167" s="8">
        <v>45725</v>
      </c>
      <c r="C167" s="7" t="s">
        <v>112</v>
      </c>
      <c r="D167" s="7" t="s">
        <v>52</v>
      </c>
      <c r="E167" s="7" t="s">
        <v>33</v>
      </c>
      <c r="F167" s="7" t="s">
        <v>67</v>
      </c>
      <c r="G167" s="7">
        <v>6</v>
      </c>
      <c r="H167" s="18">
        <v>907.35</v>
      </c>
      <c r="I167" s="22">
        <v>0.05</v>
      </c>
      <c r="J167" s="18">
        <v>5171.8999999999996</v>
      </c>
      <c r="K167" s="18">
        <v>3585.25</v>
      </c>
      <c r="L167" s="18">
        <v>1586.65</v>
      </c>
      <c r="M167" s="7" t="s">
        <v>57</v>
      </c>
      <c r="N167" s="7" t="s">
        <v>71</v>
      </c>
      <c r="O167" s="7" t="s">
        <v>44</v>
      </c>
      <c r="P167" s="7" t="str">
        <f t="shared" si="6"/>
        <v>Mar</v>
      </c>
      <c r="Q167" s="7">
        <f t="shared" si="7"/>
        <v>2025</v>
      </c>
      <c r="R167" s="23">
        <f t="shared" si="8"/>
        <v>0.30678280709217121</v>
      </c>
    </row>
    <row r="168" spans="1:18">
      <c r="A168" s="7" t="s">
        <v>122</v>
      </c>
      <c r="B168" s="8">
        <v>45677</v>
      </c>
      <c r="C168" s="7" t="s">
        <v>123</v>
      </c>
      <c r="D168" s="7" t="s">
        <v>52</v>
      </c>
      <c r="E168" s="7" t="s">
        <v>41</v>
      </c>
      <c r="F168" s="7" t="s">
        <v>124</v>
      </c>
      <c r="G168" s="7">
        <v>3</v>
      </c>
      <c r="H168" s="18">
        <v>907.79</v>
      </c>
      <c r="I168" s="22">
        <v>0</v>
      </c>
      <c r="J168" s="18">
        <v>2723.37</v>
      </c>
      <c r="K168" s="18">
        <v>1908.82</v>
      </c>
      <c r="L168" s="18">
        <v>814.55</v>
      </c>
      <c r="M168" s="7" t="s">
        <v>35</v>
      </c>
      <c r="N168" s="7" t="s">
        <v>71</v>
      </c>
      <c r="O168" s="7" t="s">
        <v>37</v>
      </c>
      <c r="P168" s="7" t="str">
        <f t="shared" si="6"/>
        <v>Jan</v>
      </c>
      <c r="Q168" s="7">
        <f t="shared" si="7"/>
        <v>2025</v>
      </c>
      <c r="R168" s="23">
        <f t="shared" si="8"/>
        <v>0.299096340196154</v>
      </c>
    </row>
    <row r="169" spans="1:18">
      <c r="A169" s="7" t="s">
        <v>1044</v>
      </c>
      <c r="B169" s="8">
        <v>45714</v>
      </c>
      <c r="C169" s="7" t="s">
        <v>670</v>
      </c>
      <c r="D169" s="7" t="s">
        <v>1045</v>
      </c>
      <c r="E169" s="7" t="s">
        <v>48</v>
      </c>
      <c r="F169" s="7" t="s">
        <v>102</v>
      </c>
      <c r="G169" s="7">
        <v>4</v>
      </c>
      <c r="H169" s="18">
        <v>911.41</v>
      </c>
      <c r="I169" s="22">
        <v>0.2</v>
      </c>
      <c r="J169" s="18">
        <v>2916.51</v>
      </c>
      <c r="K169" s="18">
        <v>1889.82</v>
      </c>
      <c r="L169" s="18">
        <v>1026.69</v>
      </c>
      <c r="M169" s="7" t="s">
        <v>57</v>
      </c>
      <c r="N169" s="7" t="s">
        <v>36</v>
      </c>
      <c r="O169" s="7" t="s">
        <v>44</v>
      </c>
      <c r="P169" s="7" t="str">
        <f t="shared" si="6"/>
        <v>Feb</v>
      </c>
      <c r="Q169" s="7">
        <f t="shared" si="7"/>
        <v>2025</v>
      </c>
      <c r="R169" s="23">
        <f t="shared" si="8"/>
        <v>0.35202690887396237</v>
      </c>
    </row>
    <row r="170" spans="1:18">
      <c r="A170" s="7" t="s">
        <v>704</v>
      </c>
      <c r="B170" s="8">
        <v>45926</v>
      </c>
      <c r="C170" s="7" t="s">
        <v>600</v>
      </c>
      <c r="D170" s="7" t="s">
        <v>95</v>
      </c>
      <c r="E170" s="7" t="s">
        <v>33</v>
      </c>
      <c r="F170" s="7" t="s">
        <v>92</v>
      </c>
      <c r="G170" s="7">
        <v>5</v>
      </c>
      <c r="H170" s="18">
        <v>912.43</v>
      </c>
      <c r="I170" s="22">
        <v>0.1</v>
      </c>
      <c r="J170" s="18">
        <v>4105.93</v>
      </c>
      <c r="K170" s="18">
        <v>2574.62</v>
      </c>
      <c r="L170" s="18">
        <v>1531.31</v>
      </c>
      <c r="M170" s="7" t="s">
        <v>57</v>
      </c>
      <c r="N170" s="7" t="s">
        <v>36</v>
      </c>
      <c r="O170" s="7" t="s">
        <v>44</v>
      </c>
      <c r="P170" s="7" t="str">
        <f t="shared" si="6"/>
        <v>Sep</v>
      </c>
      <c r="Q170" s="7">
        <f t="shared" si="7"/>
        <v>2025</v>
      </c>
      <c r="R170" s="23">
        <f t="shared" si="8"/>
        <v>0.37295082965369597</v>
      </c>
    </row>
    <row r="171" spans="1:18">
      <c r="A171" s="7" t="s">
        <v>1617</v>
      </c>
      <c r="B171" s="8">
        <v>46260</v>
      </c>
      <c r="C171" s="7" t="s">
        <v>1071</v>
      </c>
      <c r="D171" s="7" t="s">
        <v>66</v>
      </c>
      <c r="E171" s="7" t="s">
        <v>33</v>
      </c>
      <c r="F171" s="7" t="s">
        <v>92</v>
      </c>
      <c r="G171" s="7">
        <v>4</v>
      </c>
      <c r="H171" s="18">
        <v>915.14</v>
      </c>
      <c r="I171" s="22">
        <v>0.2</v>
      </c>
      <c r="J171" s="18">
        <v>2928.45</v>
      </c>
      <c r="K171" s="18">
        <v>1812.85</v>
      </c>
      <c r="L171" s="18">
        <v>1115.5999999999999</v>
      </c>
      <c r="M171" s="7" t="s">
        <v>57</v>
      </c>
      <c r="N171" s="7" t="s">
        <v>36</v>
      </c>
      <c r="O171" s="7" t="s">
        <v>44</v>
      </c>
      <c r="P171" s="7" t="str">
        <f t="shared" si="6"/>
        <v>Aug</v>
      </c>
      <c r="Q171" s="7">
        <f t="shared" si="7"/>
        <v>2026</v>
      </c>
      <c r="R171" s="23">
        <f t="shared" si="8"/>
        <v>0.38095238095238093</v>
      </c>
    </row>
    <row r="172" spans="1:18">
      <c r="A172" s="7" t="s">
        <v>1720</v>
      </c>
      <c r="B172" s="8">
        <v>46205</v>
      </c>
      <c r="C172" s="7" t="s">
        <v>502</v>
      </c>
      <c r="D172" s="7" t="s">
        <v>95</v>
      </c>
      <c r="E172" s="7" t="s">
        <v>61</v>
      </c>
      <c r="F172" s="7" t="s">
        <v>84</v>
      </c>
      <c r="G172" s="7">
        <v>6</v>
      </c>
      <c r="H172" s="18">
        <v>918.1</v>
      </c>
      <c r="I172" s="22">
        <v>0</v>
      </c>
      <c r="J172" s="18">
        <v>5508.6</v>
      </c>
      <c r="K172" s="18">
        <v>3399.79</v>
      </c>
      <c r="L172" s="18">
        <v>2108.81</v>
      </c>
      <c r="M172" s="7" t="s">
        <v>35</v>
      </c>
      <c r="N172" s="7" t="s">
        <v>36</v>
      </c>
      <c r="O172" s="7" t="s">
        <v>37</v>
      </c>
      <c r="P172" s="7" t="str">
        <f t="shared" si="6"/>
        <v>Jul</v>
      </c>
      <c r="Q172" s="7">
        <f t="shared" si="7"/>
        <v>2026</v>
      </c>
      <c r="R172" s="23">
        <f t="shared" si="8"/>
        <v>0.38282140652797442</v>
      </c>
    </row>
    <row r="173" spans="1:18">
      <c r="A173" s="7" t="s">
        <v>1215</v>
      </c>
      <c r="B173" s="8">
        <v>45807</v>
      </c>
      <c r="C173" s="7" t="s">
        <v>791</v>
      </c>
      <c r="D173" s="7" t="s">
        <v>134</v>
      </c>
      <c r="E173" s="7" t="s">
        <v>41</v>
      </c>
      <c r="F173" s="7" t="s">
        <v>119</v>
      </c>
      <c r="G173" s="7">
        <v>2</v>
      </c>
      <c r="H173" s="18">
        <v>923.29</v>
      </c>
      <c r="I173" s="22">
        <v>0.1</v>
      </c>
      <c r="J173" s="18">
        <v>1661.92</v>
      </c>
      <c r="K173" s="18">
        <v>1374.57</v>
      </c>
      <c r="L173" s="18">
        <v>287.35000000000002</v>
      </c>
      <c r="M173" s="7" t="s">
        <v>57</v>
      </c>
      <c r="N173" s="7" t="s">
        <v>36</v>
      </c>
      <c r="O173" s="7" t="s">
        <v>37</v>
      </c>
      <c r="P173" s="7" t="str">
        <f t="shared" si="6"/>
        <v>May</v>
      </c>
      <c r="Q173" s="7">
        <f t="shared" si="7"/>
        <v>2025</v>
      </c>
      <c r="R173" s="23">
        <f t="shared" si="8"/>
        <v>0.17290242610956003</v>
      </c>
    </row>
    <row r="174" spans="1:18">
      <c r="A174" s="7" t="s">
        <v>524</v>
      </c>
      <c r="B174" s="8">
        <v>46235</v>
      </c>
      <c r="C174" s="7" t="s">
        <v>472</v>
      </c>
      <c r="D174" s="7" t="s">
        <v>47</v>
      </c>
      <c r="E174" s="7" t="s">
        <v>33</v>
      </c>
      <c r="F174" s="7" t="s">
        <v>67</v>
      </c>
      <c r="G174" s="7">
        <v>3</v>
      </c>
      <c r="H174" s="18">
        <v>927.18</v>
      </c>
      <c r="I174" s="22">
        <v>0</v>
      </c>
      <c r="J174" s="18">
        <v>2781.54</v>
      </c>
      <c r="K174" s="18">
        <v>2170.36</v>
      </c>
      <c r="L174" s="18">
        <v>611.17999999999995</v>
      </c>
      <c r="M174" s="7" t="s">
        <v>57</v>
      </c>
      <c r="N174" s="7" t="s">
        <v>63</v>
      </c>
      <c r="O174" s="7" t="s">
        <v>37</v>
      </c>
      <c r="P174" s="7" t="str">
        <f t="shared" si="6"/>
        <v>Aug</v>
      </c>
      <c r="Q174" s="7">
        <f t="shared" si="7"/>
        <v>2026</v>
      </c>
      <c r="R174" s="23">
        <f t="shared" si="8"/>
        <v>0.21972720147831776</v>
      </c>
    </row>
    <row r="175" spans="1:18">
      <c r="A175" s="7" t="s">
        <v>1252</v>
      </c>
      <c r="B175" s="8">
        <v>46253</v>
      </c>
      <c r="C175" s="7" t="s">
        <v>679</v>
      </c>
      <c r="D175" s="7" t="s">
        <v>40</v>
      </c>
      <c r="E175" s="7" t="s">
        <v>41</v>
      </c>
      <c r="F175" s="7" t="s">
        <v>53</v>
      </c>
      <c r="G175" s="7">
        <v>2</v>
      </c>
      <c r="H175" s="18">
        <v>937.99</v>
      </c>
      <c r="I175" s="22">
        <v>0.1</v>
      </c>
      <c r="J175" s="18">
        <v>1688.38</v>
      </c>
      <c r="K175" s="18">
        <v>1208.21</v>
      </c>
      <c r="L175" s="18">
        <v>480.17</v>
      </c>
      <c r="M175" s="7" t="s">
        <v>35</v>
      </c>
      <c r="N175" s="7" t="s">
        <v>36</v>
      </c>
      <c r="O175" s="7" t="s">
        <v>44</v>
      </c>
      <c r="P175" s="7" t="str">
        <f t="shared" si="6"/>
        <v>Aug</v>
      </c>
      <c r="Q175" s="7">
        <f t="shared" si="7"/>
        <v>2026</v>
      </c>
      <c r="R175" s="23">
        <f t="shared" si="8"/>
        <v>0.2843968774801881</v>
      </c>
    </row>
    <row r="176" spans="1:18">
      <c r="A176" s="7" t="s">
        <v>1575</v>
      </c>
      <c r="B176" s="8">
        <v>46171</v>
      </c>
      <c r="C176" s="7" t="s">
        <v>269</v>
      </c>
      <c r="D176" s="7" t="s">
        <v>95</v>
      </c>
      <c r="E176" s="7" t="s">
        <v>41</v>
      </c>
      <c r="F176" s="7" t="s">
        <v>124</v>
      </c>
      <c r="G176" s="7">
        <v>3</v>
      </c>
      <c r="H176" s="18">
        <v>943.88</v>
      </c>
      <c r="I176" s="22">
        <v>0.05</v>
      </c>
      <c r="J176" s="18">
        <v>2690.06</v>
      </c>
      <c r="K176" s="18">
        <v>1666.34</v>
      </c>
      <c r="L176" s="18">
        <v>1023.72</v>
      </c>
      <c r="M176" s="7" t="s">
        <v>57</v>
      </c>
      <c r="N176" s="7" t="s">
        <v>36</v>
      </c>
      <c r="O176" s="7" t="s">
        <v>44</v>
      </c>
      <c r="P176" s="7" t="str">
        <f t="shared" si="6"/>
        <v>May</v>
      </c>
      <c r="Q176" s="7">
        <f t="shared" si="7"/>
        <v>2026</v>
      </c>
      <c r="R176" s="23">
        <f t="shared" si="8"/>
        <v>0.38055656751150535</v>
      </c>
    </row>
    <row r="177" spans="1:18">
      <c r="A177" s="7" t="s">
        <v>1306</v>
      </c>
      <c r="B177" s="8">
        <v>45675</v>
      </c>
      <c r="C177" s="7" t="s">
        <v>1307</v>
      </c>
      <c r="D177" s="7" t="s">
        <v>134</v>
      </c>
      <c r="E177" s="7" t="s">
        <v>48</v>
      </c>
      <c r="F177" s="7" t="s">
        <v>99</v>
      </c>
      <c r="G177" s="7">
        <v>5</v>
      </c>
      <c r="H177" s="18">
        <v>948.14</v>
      </c>
      <c r="I177" s="22">
        <v>0</v>
      </c>
      <c r="J177" s="18">
        <v>4740.7</v>
      </c>
      <c r="K177" s="18">
        <v>3469.9</v>
      </c>
      <c r="L177" s="18">
        <v>1270.8</v>
      </c>
      <c r="M177" s="7" t="s">
        <v>35</v>
      </c>
      <c r="N177" s="7" t="s">
        <v>71</v>
      </c>
      <c r="O177" s="7" t="s">
        <v>44</v>
      </c>
      <c r="P177" s="7" t="str">
        <f t="shared" si="6"/>
        <v>Jan</v>
      </c>
      <c r="Q177" s="7">
        <f t="shared" si="7"/>
        <v>2025</v>
      </c>
      <c r="R177" s="23">
        <f t="shared" si="8"/>
        <v>0.26806167865505093</v>
      </c>
    </row>
    <row r="178" spans="1:18">
      <c r="A178" s="7" t="s">
        <v>863</v>
      </c>
      <c r="B178" s="8">
        <v>46163</v>
      </c>
      <c r="C178" s="7" t="s">
        <v>864</v>
      </c>
      <c r="D178" s="7" t="s">
        <v>60</v>
      </c>
      <c r="E178" s="7" t="s">
        <v>33</v>
      </c>
      <c r="F178" s="7" t="s">
        <v>67</v>
      </c>
      <c r="G178" s="7">
        <v>1</v>
      </c>
      <c r="H178" s="18">
        <v>957.58</v>
      </c>
      <c r="I178" s="22">
        <v>0</v>
      </c>
      <c r="J178" s="18">
        <v>957.58</v>
      </c>
      <c r="K178" s="18">
        <v>799.09</v>
      </c>
      <c r="L178" s="18">
        <v>158.49</v>
      </c>
      <c r="M178" s="7" t="s">
        <v>35</v>
      </c>
      <c r="N178" s="7" t="s">
        <v>71</v>
      </c>
      <c r="O178" s="7" t="s">
        <v>44</v>
      </c>
      <c r="P178" s="7" t="str">
        <f t="shared" si="6"/>
        <v>May</v>
      </c>
      <c r="Q178" s="7">
        <f t="shared" si="7"/>
        <v>2026</v>
      </c>
      <c r="R178" s="23">
        <f t="shared" si="8"/>
        <v>0.16551097558428537</v>
      </c>
    </row>
    <row r="179" spans="1:18">
      <c r="A179" s="7" t="s">
        <v>834</v>
      </c>
      <c r="B179" s="8">
        <v>46225</v>
      </c>
      <c r="C179" s="7" t="s">
        <v>835</v>
      </c>
      <c r="D179" s="7" t="s">
        <v>134</v>
      </c>
      <c r="E179" s="7" t="s">
        <v>61</v>
      </c>
      <c r="F179" s="7" t="s">
        <v>81</v>
      </c>
      <c r="G179" s="7">
        <v>5</v>
      </c>
      <c r="H179" s="18">
        <v>961.12</v>
      </c>
      <c r="I179" s="22">
        <v>0.2</v>
      </c>
      <c r="J179" s="18">
        <v>3844.48</v>
      </c>
      <c r="K179" s="18">
        <v>2562.06</v>
      </c>
      <c r="L179" s="18">
        <v>1282.42</v>
      </c>
      <c r="M179" s="7" t="s">
        <v>35</v>
      </c>
      <c r="N179" s="7" t="s">
        <v>36</v>
      </c>
      <c r="O179" s="7" t="s">
        <v>44</v>
      </c>
      <c r="P179" s="7" t="str">
        <f t="shared" si="6"/>
        <v>Jul</v>
      </c>
      <c r="Q179" s="7">
        <f t="shared" si="7"/>
        <v>2026</v>
      </c>
      <c r="R179" s="23">
        <f t="shared" si="8"/>
        <v>0.33357437156650577</v>
      </c>
    </row>
    <row r="180" spans="1:18">
      <c r="A180" s="7" t="s">
        <v>992</v>
      </c>
      <c r="B180" s="8">
        <v>45720</v>
      </c>
      <c r="C180" s="7" t="s">
        <v>768</v>
      </c>
      <c r="D180" s="7" t="s">
        <v>40</v>
      </c>
      <c r="E180" s="7" t="s">
        <v>33</v>
      </c>
      <c r="F180" s="7" t="s">
        <v>96</v>
      </c>
      <c r="G180" s="7">
        <v>2</v>
      </c>
      <c r="H180" s="18">
        <v>968.57</v>
      </c>
      <c r="I180" s="22">
        <v>0.2</v>
      </c>
      <c r="J180" s="18">
        <v>1549.71</v>
      </c>
      <c r="K180" s="18">
        <v>1001.06</v>
      </c>
      <c r="L180" s="18">
        <v>548.65</v>
      </c>
      <c r="M180" s="7" t="s">
        <v>35</v>
      </c>
      <c r="N180" s="7" t="s">
        <v>71</v>
      </c>
      <c r="O180" s="7" t="s">
        <v>44</v>
      </c>
      <c r="P180" s="7" t="str">
        <f t="shared" si="6"/>
        <v>Mar</v>
      </c>
      <c r="Q180" s="7">
        <f t="shared" si="7"/>
        <v>2025</v>
      </c>
      <c r="R180" s="23">
        <f t="shared" si="8"/>
        <v>0.35403398055119989</v>
      </c>
    </row>
    <row r="181" spans="1:18">
      <c r="A181" s="7" t="s">
        <v>1473</v>
      </c>
      <c r="B181" s="8">
        <v>45687</v>
      </c>
      <c r="C181" s="7" t="s">
        <v>354</v>
      </c>
      <c r="D181" s="7" t="s">
        <v>56</v>
      </c>
      <c r="E181" s="7" t="s">
        <v>33</v>
      </c>
      <c r="F181" s="7" t="s">
        <v>34</v>
      </c>
      <c r="G181" s="7">
        <v>3</v>
      </c>
      <c r="H181" s="18">
        <v>971.1</v>
      </c>
      <c r="I181" s="22">
        <v>0.15</v>
      </c>
      <c r="J181" s="18">
        <v>2476.31</v>
      </c>
      <c r="K181" s="18">
        <v>1917.84</v>
      </c>
      <c r="L181" s="18">
        <v>558.47</v>
      </c>
      <c r="M181" s="7" t="s">
        <v>35</v>
      </c>
      <c r="N181" s="7" t="s">
        <v>43</v>
      </c>
      <c r="O181" s="7" t="s">
        <v>44</v>
      </c>
      <c r="P181" s="7" t="str">
        <f t="shared" si="6"/>
        <v>Jan</v>
      </c>
      <c r="Q181" s="7">
        <f t="shared" si="7"/>
        <v>2025</v>
      </c>
      <c r="R181" s="23">
        <f t="shared" si="8"/>
        <v>0.22552507561654236</v>
      </c>
    </row>
    <row r="182" spans="1:18">
      <c r="A182" s="7" t="s">
        <v>997</v>
      </c>
      <c r="B182" s="8">
        <v>46095</v>
      </c>
      <c r="C182" s="7" t="s">
        <v>998</v>
      </c>
      <c r="D182" s="7" t="s">
        <v>40</v>
      </c>
      <c r="E182" s="7" t="s">
        <v>48</v>
      </c>
      <c r="F182" s="7" t="s">
        <v>70</v>
      </c>
      <c r="G182" s="7">
        <v>1</v>
      </c>
      <c r="H182" s="18">
        <v>985.67</v>
      </c>
      <c r="I182" s="22">
        <v>0.15</v>
      </c>
      <c r="J182" s="18">
        <v>837.82</v>
      </c>
      <c r="K182" s="18">
        <v>703.78</v>
      </c>
      <c r="L182" s="18">
        <v>134.04</v>
      </c>
      <c r="M182" s="7" t="s">
        <v>57</v>
      </c>
      <c r="N182" s="7" t="s">
        <v>36</v>
      </c>
      <c r="O182" s="7" t="s">
        <v>44</v>
      </c>
      <c r="P182" s="7" t="str">
        <f t="shared" si="6"/>
        <v>Mar</v>
      </c>
      <c r="Q182" s="7">
        <f t="shared" si="7"/>
        <v>2026</v>
      </c>
      <c r="R182" s="23">
        <f t="shared" si="8"/>
        <v>0.15998663197345489</v>
      </c>
    </row>
    <row r="183" spans="1:18">
      <c r="A183" s="7" t="s">
        <v>1659</v>
      </c>
      <c r="B183" s="8">
        <v>46158</v>
      </c>
      <c r="C183" s="7" t="s">
        <v>1660</v>
      </c>
      <c r="D183" s="7" t="s">
        <v>52</v>
      </c>
      <c r="E183" s="7" t="s">
        <v>33</v>
      </c>
      <c r="F183" s="7" t="s">
        <v>67</v>
      </c>
      <c r="G183" s="7">
        <v>1</v>
      </c>
      <c r="H183" s="18">
        <v>987.2</v>
      </c>
      <c r="I183" s="22">
        <v>0</v>
      </c>
      <c r="J183" s="18">
        <v>987.2</v>
      </c>
      <c r="K183" s="18">
        <v>636.72</v>
      </c>
      <c r="L183" s="18">
        <v>350.48</v>
      </c>
      <c r="M183" s="7" t="s">
        <v>35</v>
      </c>
      <c r="N183" s="7" t="s">
        <v>36</v>
      </c>
      <c r="O183" s="7" t="s">
        <v>44</v>
      </c>
      <c r="P183" s="7" t="str">
        <f t="shared" si="6"/>
        <v>May</v>
      </c>
      <c r="Q183" s="7">
        <f t="shared" si="7"/>
        <v>2026</v>
      </c>
      <c r="R183" s="23">
        <f t="shared" si="8"/>
        <v>0.35502431118314426</v>
      </c>
    </row>
    <row r="184" spans="1:18">
      <c r="A184" s="7" t="s">
        <v>1581</v>
      </c>
      <c r="B184" s="8">
        <v>46150</v>
      </c>
      <c r="C184" s="7" t="s">
        <v>1069</v>
      </c>
      <c r="D184" s="7" t="s">
        <v>74</v>
      </c>
      <c r="E184" s="7" t="s">
        <v>33</v>
      </c>
      <c r="F184" s="7" t="s">
        <v>92</v>
      </c>
      <c r="G184" s="7">
        <v>5</v>
      </c>
      <c r="H184" s="18">
        <v>995.44</v>
      </c>
      <c r="I184" s="22">
        <v>0.2</v>
      </c>
      <c r="J184" s="18">
        <v>3981.76</v>
      </c>
      <c r="K184" s="18">
        <v>3016.76</v>
      </c>
      <c r="L184" s="18">
        <v>965</v>
      </c>
      <c r="M184" s="7" t="s">
        <v>35</v>
      </c>
      <c r="N184" s="7" t="s">
        <v>63</v>
      </c>
      <c r="O184" s="7" t="s">
        <v>44</v>
      </c>
      <c r="P184" s="7" t="str">
        <f t="shared" si="6"/>
        <v>May</v>
      </c>
      <c r="Q184" s="7">
        <f t="shared" si="7"/>
        <v>2026</v>
      </c>
      <c r="R184" s="23">
        <f t="shared" si="8"/>
        <v>0.24235513943582737</v>
      </c>
    </row>
    <row r="185" spans="1:18">
      <c r="A185" s="7" t="s">
        <v>1463</v>
      </c>
      <c r="B185" s="8">
        <v>45681</v>
      </c>
      <c r="C185" s="7" t="s">
        <v>1464</v>
      </c>
      <c r="D185" s="7" t="s">
        <v>52</v>
      </c>
      <c r="E185" s="7" t="s">
        <v>33</v>
      </c>
      <c r="F185" s="7" t="s">
        <v>67</v>
      </c>
      <c r="G185" s="7">
        <v>6</v>
      </c>
      <c r="H185" s="18">
        <v>996.75</v>
      </c>
      <c r="I185" s="22">
        <v>0.1</v>
      </c>
      <c r="J185" s="18">
        <v>5382.45</v>
      </c>
      <c r="K185" s="18">
        <v>4045.62</v>
      </c>
      <c r="L185" s="18">
        <v>1336.83</v>
      </c>
      <c r="M185" s="7" t="s">
        <v>57</v>
      </c>
      <c r="N185" s="7" t="s">
        <v>63</v>
      </c>
      <c r="O185" s="7" t="s">
        <v>37</v>
      </c>
      <c r="P185" s="7" t="str">
        <f t="shared" si="6"/>
        <v>Jan</v>
      </c>
      <c r="Q185" s="7">
        <f t="shared" si="7"/>
        <v>2025</v>
      </c>
      <c r="R185" s="23">
        <f t="shared" si="8"/>
        <v>0.24836830811247665</v>
      </c>
    </row>
    <row r="186" spans="1:18">
      <c r="A186" s="7" t="s">
        <v>626</v>
      </c>
      <c r="B186" s="8">
        <v>45687</v>
      </c>
      <c r="C186" s="7" t="s">
        <v>437</v>
      </c>
      <c r="D186" s="7" t="s">
        <v>52</v>
      </c>
      <c r="E186" s="7" t="s">
        <v>33</v>
      </c>
      <c r="F186" s="7" t="s">
        <v>67</v>
      </c>
      <c r="G186" s="7">
        <v>5</v>
      </c>
      <c r="H186" s="18">
        <v>1002.25</v>
      </c>
      <c r="I186" s="22">
        <v>0.15</v>
      </c>
      <c r="J186" s="18">
        <v>4259.5600000000004</v>
      </c>
      <c r="K186" s="18">
        <v>2782.99</v>
      </c>
      <c r="L186" s="18">
        <v>1476.57</v>
      </c>
      <c r="M186" s="7" t="s">
        <v>57</v>
      </c>
      <c r="N186" s="7" t="s">
        <v>63</v>
      </c>
      <c r="O186" s="7" t="s">
        <v>44</v>
      </c>
      <c r="P186" s="7" t="str">
        <f t="shared" si="6"/>
        <v>Jan</v>
      </c>
      <c r="Q186" s="7">
        <f t="shared" si="7"/>
        <v>2025</v>
      </c>
      <c r="R186" s="23">
        <f t="shared" si="8"/>
        <v>0.34664848012470767</v>
      </c>
    </row>
    <row r="187" spans="1:18">
      <c r="A187" s="7" t="s">
        <v>1123</v>
      </c>
      <c r="B187" s="8">
        <v>46120</v>
      </c>
      <c r="C187" s="7" t="s">
        <v>55</v>
      </c>
      <c r="D187" s="7" t="s">
        <v>56</v>
      </c>
      <c r="E187" s="7" t="s">
        <v>48</v>
      </c>
      <c r="F187" s="7" t="s">
        <v>99</v>
      </c>
      <c r="G187" s="7">
        <v>1</v>
      </c>
      <c r="H187" s="18">
        <v>1002.37</v>
      </c>
      <c r="I187" s="22">
        <v>0.15</v>
      </c>
      <c r="J187" s="18">
        <v>852.01</v>
      </c>
      <c r="K187" s="18">
        <v>527.76</v>
      </c>
      <c r="L187" s="18">
        <v>324.25</v>
      </c>
      <c r="M187" s="7" t="s">
        <v>35</v>
      </c>
      <c r="N187" s="7" t="s">
        <v>43</v>
      </c>
      <c r="O187" s="7" t="s">
        <v>44</v>
      </c>
      <c r="P187" s="7" t="str">
        <f t="shared" si="6"/>
        <v>Apr</v>
      </c>
      <c r="Q187" s="7">
        <f t="shared" si="7"/>
        <v>2026</v>
      </c>
      <c r="R187" s="23">
        <f t="shared" si="8"/>
        <v>0.38057065057921857</v>
      </c>
    </row>
    <row r="188" spans="1:18">
      <c r="A188" s="7" t="s">
        <v>1385</v>
      </c>
      <c r="B188" s="8">
        <v>45659</v>
      </c>
      <c r="C188" s="7" t="s">
        <v>304</v>
      </c>
      <c r="D188" s="7" t="s">
        <v>95</v>
      </c>
      <c r="E188" s="7" t="s">
        <v>61</v>
      </c>
      <c r="F188" s="7" t="s">
        <v>81</v>
      </c>
      <c r="G188" s="7">
        <v>6</v>
      </c>
      <c r="H188" s="18">
        <v>1013.92</v>
      </c>
      <c r="I188" s="22">
        <v>0.05</v>
      </c>
      <c r="J188" s="18">
        <v>5779.34</v>
      </c>
      <c r="K188" s="18">
        <v>4205.3</v>
      </c>
      <c r="L188" s="18">
        <v>1574.04</v>
      </c>
      <c r="M188" s="7" t="s">
        <v>57</v>
      </c>
      <c r="N188" s="7" t="s">
        <v>36</v>
      </c>
      <c r="O188" s="7" t="s">
        <v>44</v>
      </c>
      <c r="P188" s="7" t="str">
        <f t="shared" si="6"/>
        <v>Jan</v>
      </c>
      <c r="Q188" s="7">
        <f t="shared" si="7"/>
        <v>2025</v>
      </c>
      <c r="R188" s="23">
        <f t="shared" si="8"/>
        <v>0.27235635903061595</v>
      </c>
    </row>
    <row r="189" spans="1:18">
      <c r="A189" s="7" t="s">
        <v>1345</v>
      </c>
      <c r="B189" s="8">
        <v>46220</v>
      </c>
      <c r="C189" s="7" t="s">
        <v>1000</v>
      </c>
      <c r="D189" s="7" t="s">
        <v>95</v>
      </c>
      <c r="E189" s="7" t="s">
        <v>48</v>
      </c>
      <c r="F189" s="7" t="s">
        <v>113</v>
      </c>
      <c r="G189" s="7">
        <v>4</v>
      </c>
      <c r="H189" s="18">
        <v>1015.18</v>
      </c>
      <c r="I189" s="22">
        <v>0.15</v>
      </c>
      <c r="J189" s="18">
        <v>3451.61</v>
      </c>
      <c r="K189" s="18">
        <v>2176.31</v>
      </c>
      <c r="L189" s="18">
        <v>1275.3</v>
      </c>
      <c r="M189" s="7" t="s">
        <v>57</v>
      </c>
      <c r="N189" s="7" t="s">
        <v>63</v>
      </c>
      <c r="O189" s="7" t="s">
        <v>44</v>
      </c>
      <c r="P189" s="7" t="str">
        <f t="shared" si="6"/>
        <v>Jul</v>
      </c>
      <c r="Q189" s="7">
        <f t="shared" si="7"/>
        <v>2026</v>
      </c>
      <c r="R189" s="23">
        <f t="shared" si="8"/>
        <v>0.36947975002969624</v>
      </c>
    </row>
    <row r="190" spans="1:18">
      <c r="A190" s="7" t="s">
        <v>1113</v>
      </c>
      <c r="B190" s="8">
        <v>46263</v>
      </c>
      <c r="C190" s="7" t="s">
        <v>550</v>
      </c>
      <c r="D190" s="7" t="s">
        <v>32</v>
      </c>
      <c r="E190" s="7" t="s">
        <v>41</v>
      </c>
      <c r="F190" s="7" t="s">
        <v>124</v>
      </c>
      <c r="G190" s="7">
        <v>5</v>
      </c>
      <c r="H190" s="18">
        <v>1016.29</v>
      </c>
      <c r="I190" s="22">
        <v>0</v>
      </c>
      <c r="J190" s="18">
        <v>5081.45</v>
      </c>
      <c r="K190" s="18">
        <v>3200.46</v>
      </c>
      <c r="L190" s="18">
        <v>1880.99</v>
      </c>
      <c r="M190" s="7" t="s">
        <v>57</v>
      </c>
      <c r="N190" s="7" t="s">
        <v>71</v>
      </c>
      <c r="O190" s="7" t="s">
        <v>37</v>
      </c>
      <c r="P190" s="7" t="str">
        <f t="shared" si="6"/>
        <v>Aug</v>
      </c>
      <c r="Q190" s="7">
        <f t="shared" si="7"/>
        <v>2026</v>
      </c>
      <c r="R190" s="23">
        <f t="shared" si="8"/>
        <v>0.37016796386858081</v>
      </c>
    </row>
    <row r="191" spans="1:18">
      <c r="A191" s="7" t="s">
        <v>1745</v>
      </c>
      <c r="B191" s="8">
        <v>46076</v>
      </c>
      <c r="C191" s="7" t="s">
        <v>1187</v>
      </c>
      <c r="D191" s="7" t="s">
        <v>95</v>
      </c>
      <c r="E191" s="7" t="s">
        <v>33</v>
      </c>
      <c r="F191" s="7" t="s">
        <v>96</v>
      </c>
      <c r="G191" s="7">
        <v>1</v>
      </c>
      <c r="H191" s="18">
        <v>1017.77</v>
      </c>
      <c r="I191" s="22">
        <v>0.1</v>
      </c>
      <c r="J191" s="18">
        <v>915.99</v>
      </c>
      <c r="K191" s="18">
        <v>505.31</v>
      </c>
      <c r="L191" s="18">
        <v>410.68</v>
      </c>
      <c r="M191" s="7" t="s">
        <v>35</v>
      </c>
      <c r="N191" s="7" t="s">
        <v>36</v>
      </c>
      <c r="O191" s="7" t="s">
        <v>44</v>
      </c>
      <c r="P191" s="7" t="str">
        <f t="shared" si="6"/>
        <v>Feb</v>
      </c>
      <c r="Q191" s="7">
        <f t="shared" si="7"/>
        <v>2026</v>
      </c>
      <c r="R191" s="23">
        <f t="shared" si="8"/>
        <v>0.4483455059553052</v>
      </c>
    </row>
    <row r="192" spans="1:18">
      <c r="A192" s="7" t="s">
        <v>338</v>
      </c>
      <c r="B192" s="8">
        <v>45796</v>
      </c>
      <c r="C192" s="7" t="s">
        <v>339</v>
      </c>
      <c r="D192" s="7" t="s">
        <v>66</v>
      </c>
      <c r="E192" s="7" t="s">
        <v>33</v>
      </c>
      <c r="F192" s="7" t="s">
        <v>34</v>
      </c>
      <c r="G192" s="7">
        <v>1</v>
      </c>
      <c r="H192" s="18">
        <v>1023.75</v>
      </c>
      <c r="I192" s="22">
        <v>0.15</v>
      </c>
      <c r="J192" s="18">
        <v>870.19</v>
      </c>
      <c r="K192" s="18">
        <v>586.96</v>
      </c>
      <c r="L192" s="18">
        <v>283.23</v>
      </c>
      <c r="M192" s="7" t="s">
        <v>35</v>
      </c>
      <c r="N192" s="7" t="s">
        <v>71</v>
      </c>
      <c r="O192" s="7" t="s">
        <v>37</v>
      </c>
      <c r="P192" s="7" t="str">
        <f t="shared" si="6"/>
        <v>May</v>
      </c>
      <c r="Q192" s="7">
        <f t="shared" si="7"/>
        <v>2025</v>
      </c>
      <c r="R192" s="23">
        <f t="shared" si="8"/>
        <v>0.32548064215860906</v>
      </c>
    </row>
    <row r="193" spans="1:18">
      <c r="A193" s="7" t="s">
        <v>952</v>
      </c>
      <c r="B193" s="8">
        <v>45705</v>
      </c>
      <c r="C193" s="7" t="s">
        <v>815</v>
      </c>
      <c r="D193" s="7" t="s">
        <v>56</v>
      </c>
      <c r="E193" s="7" t="s">
        <v>33</v>
      </c>
      <c r="F193" s="7" t="s">
        <v>67</v>
      </c>
      <c r="G193" s="7">
        <v>1</v>
      </c>
      <c r="H193" s="18">
        <v>1034.3900000000001</v>
      </c>
      <c r="I193" s="22">
        <v>0</v>
      </c>
      <c r="J193" s="18">
        <v>1034.3900000000001</v>
      </c>
      <c r="K193" s="18">
        <v>872.19</v>
      </c>
      <c r="L193" s="18">
        <v>162.19999999999999</v>
      </c>
      <c r="M193" s="7" t="s">
        <v>35</v>
      </c>
      <c r="N193" s="7" t="s">
        <v>36</v>
      </c>
      <c r="O193" s="7" t="s">
        <v>37</v>
      </c>
      <c r="P193" s="7" t="str">
        <f t="shared" si="6"/>
        <v>Feb</v>
      </c>
      <c r="Q193" s="7">
        <f t="shared" si="7"/>
        <v>2025</v>
      </c>
      <c r="R193" s="23">
        <f t="shared" si="8"/>
        <v>0.15680739372963773</v>
      </c>
    </row>
    <row r="194" spans="1:18">
      <c r="A194" s="7" t="s">
        <v>1371</v>
      </c>
      <c r="B194" s="8">
        <v>45762</v>
      </c>
      <c r="C194" s="7" t="s">
        <v>962</v>
      </c>
      <c r="D194" s="7" t="s">
        <v>66</v>
      </c>
      <c r="E194" s="7" t="s">
        <v>33</v>
      </c>
      <c r="F194" s="7" t="s">
        <v>34</v>
      </c>
      <c r="G194" s="7">
        <v>1</v>
      </c>
      <c r="H194" s="18">
        <v>1039.32</v>
      </c>
      <c r="I194" s="22">
        <v>0.05</v>
      </c>
      <c r="J194" s="18">
        <v>987.35</v>
      </c>
      <c r="K194" s="18">
        <v>823.75</v>
      </c>
      <c r="L194" s="18">
        <v>163.6</v>
      </c>
      <c r="M194" s="7" t="s">
        <v>35</v>
      </c>
      <c r="N194" s="7" t="s">
        <v>43</v>
      </c>
      <c r="O194" s="7" t="s">
        <v>44</v>
      </c>
      <c r="P194" s="7" t="str">
        <f t="shared" ref="P194:P257" si="9">TEXT(B194,"mmm")</f>
        <v>Apr</v>
      </c>
      <c r="Q194" s="7">
        <f t="shared" ref="Q194:Q257" si="10">YEAR(B194)</f>
        <v>2025</v>
      </c>
      <c r="R194" s="23">
        <f t="shared" ref="R194:R257" si="11">IFERROR(L194/J194,0)</f>
        <v>0.16569605509697674</v>
      </c>
    </row>
    <row r="195" spans="1:18">
      <c r="A195" s="7" t="s">
        <v>874</v>
      </c>
      <c r="B195" s="8">
        <v>45730</v>
      </c>
      <c r="C195" s="7" t="s">
        <v>497</v>
      </c>
      <c r="D195" s="7" t="s">
        <v>60</v>
      </c>
      <c r="E195" s="7" t="s">
        <v>41</v>
      </c>
      <c r="F195" s="7" t="s">
        <v>119</v>
      </c>
      <c r="G195" s="7">
        <v>2</v>
      </c>
      <c r="H195" s="18">
        <v>1049.3499999999999</v>
      </c>
      <c r="I195" s="22">
        <v>0.1</v>
      </c>
      <c r="J195" s="18">
        <v>1888.83</v>
      </c>
      <c r="K195" s="18">
        <v>1147.4000000000001</v>
      </c>
      <c r="L195" s="18">
        <v>741.43</v>
      </c>
      <c r="M195" s="7" t="s">
        <v>57</v>
      </c>
      <c r="N195" s="7" t="s">
        <v>63</v>
      </c>
      <c r="O195" s="7" t="s">
        <v>37</v>
      </c>
      <c r="P195" s="7" t="str">
        <f t="shared" si="9"/>
        <v>Mar</v>
      </c>
      <c r="Q195" s="7">
        <f t="shared" si="10"/>
        <v>2025</v>
      </c>
      <c r="R195" s="23">
        <f t="shared" si="11"/>
        <v>0.39253400253066711</v>
      </c>
    </row>
    <row r="196" spans="1:18">
      <c r="A196" s="7" t="s">
        <v>1255</v>
      </c>
      <c r="B196" s="8">
        <v>45772</v>
      </c>
      <c r="C196" s="7" t="s">
        <v>1214</v>
      </c>
      <c r="D196" s="7" t="s">
        <v>60</v>
      </c>
      <c r="E196" s="7" t="s">
        <v>41</v>
      </c>
      <c r="F196" s="7" t="s">
        <v>153</v>
      </c>
      <c r="G196" s="7">
        <v>5</v>
      </c>
      <c r="H196" s="18">
        <v>1053.9000000000001</v>
      </c>
      <c r="I196" s="22">
        <v>0.2</v>
      </c>
      <c r="J196" s="18">
        <v>4215.6000000000004</v>
      </c>
      <c r="K196" s="18">
        <v>2827.22</v>
      </c>
      <c r="L196" s="18">
        <v>1388.38</v>
      </c>
      <c r="M196" s="7" t="s">
        <v>35</v>
      </c>
      <c r="N196" s="7" t="s">
        <v>71</v>
      </c>
      <c r="O196" s="7" t="s">
        <v>44</v>
      </c>
      <c r="P196" s="7" t="str">
        <f t="shared" si="9"/>
        <v>Apr</v>
      </c>
      <c r="Q196" s="7">
        <f t="shared" si="10"/>
        <v>2025</v>
      </c>
      <c r="R196" s="23">
        <f t="shared" si="11"/>
        <v>0.32934339121358763</v>
      </c>
    </row>
    <row r="197" spans="1:18">
      <c r="A197" s="7" t="s">
        <v>242</v>
      </c>
      <c r="B197" s="8">
        <v>45987</v>
      </c>
      <c r="C197" s="7" t="s">
        <v>243</v>
      </c>
      <c r="D197" s="7" t="s">
        <v>32</v>
      </c>
      <c r="E197" s="7" t="s">
        <v>41</v>
      </c>
      <c r="F197" s="7" t="s">
        <v>119</v>
      </c>
      <c r="G197" s="7">
        <v>3</v>
      </c>
      <c r="H197" s="18">
        <v>1056.52</v>
      </c>
      <c r="I197" s="22">
        <v>0.05</v>
      </c>
      <c r="J197" s="18">
        <v>3011.08</v>
      </c>
      <c r="K197" s="18">
        <v>2180.41</v>
      </c>
      <c r="L197" s="18">
        <v>830.67</v>
      </c>
      <c r="M197" s="7" t="s">
        <v>57</v>
      </c>
      <c r="N197" s="7" t="s">
        <v>36</v>
      </c>
      <c r="O197" s="7" t="s">
        <v>44</v>
      </c>
      <c r="P197" s="7" t="str">
        <f t="shared" si="9"/>
        <v>Nov</v>
      </c>
      <c r="Q197" s="7">
        <f t="shared" si="10"/>
        <v>2025</v>
      </c>
      <c r="R197" s="23">
        <f t="shared" si="11"/>
        <v>0.27587111601153075</v>
      </c>
    </row>
    <row r="198" spans="1:18">
      <c r="A198" s="7" t="s">
        <v>720</v>
      </c>
      <c r="B198" s="8">
        <v>45786</v>
      </c>
      <c r="C198" s="7" t="s">
        <v>106</v>
      </c>
      <c r="D198" s="7" t="s">
        <v>56</v>
      </c>
      <c r="E198" s="7" t="s">
        <v>48</v>
      </c>
      <c r="F198" s="7" t="s">
        <v>49</v>
      </c>
      <c r="G198" s="7">
        <v>3</v>
      </c>
      <c r="H198" s="18">
        <v>1058.8</v>
      </c>
      <c r="I198" s="22">
        <v>0</v>
      </c>
      <c r="J198" s="18">
        <v>3176.4</v>
      </c>
      <c r="K198" s="18">
        <v>1825.41</v>
      </c>
      <c r="L198" s="18">
        <v>1350.99</v>
      </c>
      <c r="M198" s="7" t="s">
        <v>57</v>
      </c>
      <c r="N198" s="7" t="s">
        <v>71</v>
      </c>
      <c r="O198" s="7" t="s">
        <v>44</v>
      </c>
      <c r="P198" s="7" t="str">
        <f t="shared" si="9"/>
        <v>May</v>
      </c>
      <c r="Q198" s="7">
        <f t="shared" si="10"/>
        <v>2025</v>
      </c>
      <c r="R198" s="23">
        <f t="shared" si="11"/>
        <v>0.42532111824707214</v>
      </c>
    </row>
    <row r="199" spans="1:18">
      <c r="A199" s="7" t="s">
        <v>361</v>
      </c>
      <c r="B199" s="8">
        <v>45759</v>
      </c>
      <c r="C199" s="7" t="s">
        <v>209</v>
      </c>
      <c r="D199" s="7" t="s">
        <v>74</v>
      </c>
      <c r="E199" s="7" t="s">
        <v>48</v>
      </c>
      <c r="F199" s="7" t="s">
        <v>99</v>
      </c>
      <c r="G199" s="7">
        <v>4</v>
      </c>
      <c r="H199" s="18">
        <v>1060.43</v>
      </c>
      <c r="I199" s="22">
        <v>0.2</v>
      </c>
      <c r="J199" s="18">
        <v>3393.38</v>
      </c>
      <c r="K199" s="18">
        <v>2036.51</v>
      </c>
      <c r="L199" s="18">
        <v>1356.87</v>
      </c>
      <c r="M199" s="7" t="s">
        <v>57</v>
      </c>
      <c r="N199" s="7" t="s">
        <v>71</v>
      </c>
      <c r="O199" s="7" t="s">
        <v>44</v>
      </c>
      <c r="P199" s="7" t="str">
        <f t="shared" si="9"/>
        <v>Apr</v>
      </c>
      <c r="Q199" s="7">
        <f t="shared" si="10"/>
        <v>2025</v>
      </c>
      <c r="R199" s="23">
        <f t="shared" si="11"/>
        <v>0.39985795873141228</v>
      </c>
    </row>
    <row r="200" spans="1:18">
      <c r="A200" s="7" t="s">
        <v>666</v>
      </c>
      <c r="B200" s="8">
        <v>45694</v>
      </c>
      <c r="C200" s="7" t="s">
        <v>667</v>
      </c>
      <c r="D200" s="7" t="s">
        <v>134</v>
      </c>
      <c r="E200" s="7" t="s">
        <v>61</v>
      </c>
      <c r="F200" s="7" t="s">
        <v>89</v>
      </c>
      <c r="G200" s="7">
        <v>3</v>
      </c>
      <c r="H200" s="18">
        <v>1082.6300000000001</v>
      </c>
      <c r="I200" s="22">
        <v>0.1</v>
      </c>
      <c r="J200" s="18">
        <v>2923.1</v>
      </c>
      <c r="K200" s="18">
        <v>1828.33</v>
      </c>
      <c r="L200" s="18">
        <v>1094.77</v>
      </c>
      <c r="M200" s="7" t="s">
        <v>57</v>
      </c>
      <c r="N200" s="7" t="s">
        <v>43</v>
      </c>
      <c r="O200" s="7" t="s">
        <v>44</v>
      </c>
      <c r="P200" s="7" t="str">
        <f t="shared" si="9"/>
        <v>Feb</v>
      </c>
      <c r="Q200" s="7">
        <f t="shared" si="10"/>
        <v>2025</v>
      </c>
      <c r="R200" s="23">
        <f t="shared" si="11"/>
        <v>0.37452362218193014</v>
      </c>
    </row>
    <row r="201" spans="1:18">
      <c r="A201" s="7" t="s">
        <v>1515</v>
      </c>
      <c r="B201" s="8">
        <v>46188</v>
      </c>
      <c r="C201" s="7" t="s">
        <v>437</v>
      </c>
      <c r="D201" s="7" t="s">
        <v>60</v>
      </c>
      <c r="E201" s="7" t="s">
        <v>61</v>
      </c>
      <c r="F201" s="7" t="s">
        <v>62</v>
      </c>
      <c r="G201" s="7">
        <v>5</v>
      </c>
      <c r="H201" s="18">
        <v>1085.3599999999999</v>
      </c>
      <c r="I201" s="22">
        <v>0.15</v>
      </c>
      <c r="J201" s="18">
        <v>4612.78</v>
      </c>
      <c r="K201" s="18">
        <v>3198.35</v>
      </c>
      <c r="L201" s="18">
        <v>1414.43</v>
      </c>
      <c r="M201" s="7" t="s">
        <v>57</v>
      </c>
      <c r="N201" s="7" t="s">
        <v>63</v>
      </c>
      <c r="O201" s="7" t="s">
        <v>44</v>
      </c>
      <c r="P201" s="7" t="str">
        <f t="shared" si="9"/>
        <v>Jun</v>
      </c>
      <c r="Q201" s="7">
        <f t="shared" si="10"/>
        <v>2026</v>
      </c>
      <c r="R201" s="23">
        <f t="shared" si="11"/>
        <v>0.30663287648663068</v>
      </c>
    </row>
    <row r="202" spans="1:18">
      <c r="A202" s="7" t="s">
        <v>965</v>
      </c>
      <c r="B202" s="8">
        <v>46223</v>
      </c>
      <c r="C202" s="7" t="s">
        <v>328</v>
      </c>
      <c r="D202" s="7" t="s">
        <v>66</v>
      </c>
      <c r="E202" s="7" t="s">
        <v>48</v>
      </c>
      <c r="F202" s="7" t="s">
        <v>49</v>
      </c>
      <c r="G202" s="7">
        <v>4</v>
      </c>
      <c r="H202" s="18">
        <v>1088.71</v>
      </c>
      <c r="I202" s="22">
        <v>0</v>
      </c>
      <c r="J202" s="18">
        <v>4354.84</v>
      </c>
      <c r="K202" s="18">
        <v>3474.32</v>
      </c>
      <c r="L202" s="18">
        <v>880.52</v>
      </c>
      <c r="M202" s="7" t="s">
        <v>57</v>
      </c>
      <c r="N202" s="7" t="s">
        <v>36</v>
      </c>
      <c r="O202" s="7" t="s">
        <v>44</v>
      </c>
      <c r="P202" s="7" t="str">
        <f t="shared" si="9"/>
        <v>Jul</v>
      </c>
      <c r="Q202" s="7">
        <f t="shared" si="10"/>
        <v>2026</v>
      </c>
      <c r="R202" s="23">
        <f t="shared" si="11"/>
        <v>0.20219342157231951</v>
      </c>
    </row>
    <row r="203" spans="1:18">
      <c r="A203" s="7" t="s">
        <v>1183</v>
      </c>
      <c r="B203" s="8">
        <v>45705</v>
      </c>
      <c r="C203" s="7" t="s">
        <v>1184</v>
      </c>
      <c r="D203" s="7" t="s">
        <v>40</v>
      </c>
      <c r="E203" s="7" t="s">
        <v>33</v>
      </c>
      <c r="F203" s="7" t="s">
        <v>34</v>
      </c>
      <c r="G203" s="7">
        <v>2</v>
      </c>
      <c r="H203" s="18">
        <v>1089.05</v>
      </c>
      <c r="I203" s="22">
        <v>0.05</v>
      </c>
      <c r="J203" s="18">
        <v>2069.19</v>
      </c>
      <c r="K203" s="18">
        <v>1686.33</v>
      </c>
      <c r="L203" s="18">
        <v>382.86</v>
      </c>
      <c r="M203" s="7" t="s">
        <v>57</v>
      </c>
      <c r="N203" s="7" t="s">
        <v>36</v>
      </c>
      <c r="O203" s="7" t="s">
        <v>37</v>
      </c>
      <c r="P203" s="7" t="str">
        <f t="shared" si="9"/>
        <v>Feb</v>
      </c>
      <c r="Q203" s="7">
        <f t="shared" si="10"/>
        <v>2025</v>
      </c>
      <c r="R203" s="23">
        <f t="shared" si="11"/>
        <v>0.18502892436170676</v>
      </c>
    </row>
    <row r="204" spans="1:18">
      <c r="A204" s="7" t="s">
        <v>425</v>
      </c>
      <c r="B204" s="8">
        <v>46227</v>
      </c>
      <c r="C204" s="7" t="s">
        <v>140</v>
      </c>
      <c r="D204" s="7" t="s">
        <v>66</v>
      </c>
      <c r="E204" s="7" t="s">
        <v>33</v>
      </c>
      <c r="F204" s="7" t="s">
        <v>96</v>
      </c>
      <c r="G204" s="7">
        <v>5</v>
      </c>
      <c r="H204" s="18">
        <v>1095.69</v>
      </c>
      <c r="I204" s="22">
        <v>0.1</v>
      </c>
      <c r="J204" s="18">
        <v>4930.6099999999997</v>
      </c>
      <c r="K204" s="18">
        <v>2958.87</v>
      </c>
      <c r="L204" s="18">
        <v>1971.74</v>
      </c>
      <c r="M204" s="7" t="s">
        <v>35</v>
      </c>
      <c r="N204" s="7" t="s">
        <v>43</v>
      </c>
      <c r="O204" s="7" t="s">
        <v>44</v>
      </c>
      <c r="P204" s="7" t="str">
        <f t="shared" si="9"/>
        <v>Jul</v>
      </c>
      <c r="Q204" s="7">
        <f t="shared" si="10"/>
        <v>2026</v>
      </c>
      <c r="R204" s="23">
        <f t="shared" si="11"/>
        <v>0.39989778141041377</v>
      </c>
    </row>
    <row r="205" spans="1:18">
      <c r="A205" s="7" t="s">
        <v>759</v>
      </c>
      <c r="B205" s="8">
        <v>46195</v>
      </c>
      <c r="C205" s="7" t="s">
        <v>613</v>
      </c>
      <c r="D205" s="7" t="s">
        <v>60</v>
      </c>
      <c r="E205" s="7" t="s">
        <v>41</v>
      </c>
      <c r="F205" s="7" t="s">
        <v>53</v>
      </c>
      <c r="G205" s="7">
        <v>3</v>
      </c>
      <c r="H205" s="18">
        <v>1096.58</v>
      </c>
      <c r="I205" s="22">
        <v>0</v>
      </c>
      <c r="J205" s="18">
        <v>3289.74</v>
      </c>
      <c r="K205" s="18">
        <v>1917.71</v>
      </c>
      <c r="L205" s="18">
        <v>1372.03</v>
      </c>
      <c r="M205" s="7" t="s">
        <v>35</v>
      </c>
      <c r="N205" s="7" t="s">
        <v>63</v>
      </c>
      <c r="O205" s="7" t="s">
        <v>44</v>
      </c>
      <c r="P205" s="7" t="str">
        <f t="shared" si="9"/>
        <v>Jun</v>
      </c>
      <c r="Q205" s="7">
        <f t="shared" si="10"/>
        <v>2026</v>
      </c>
      <c r="R205" s="23">
        <f t="shared" si="11"/>
        <v>0.41706335455081561</v>
      </c>
    </row>
    <row r="206" spans="1:18">
      <c r="A206" s="7" t="s">
        <v>1514</v>
      </c>
      <c r="B206" s="8">
        <v>45978</v>
      </c>
      <c r="C206" s="7" t="s">
        <v>515</v>
      </c>
      <c r="D206" s="7" t="s">
        <v>47</v>
      </c>
      <c r="E206" s="7" t="s">
        <v>48</v>
      </c>
      <c r="F206" s="7" t="s">
        <v>99</v>
      </c>
      <c r="G206" s="7">
        <v>5</v>
      </c>
      <c r="H206" s="18">
        <v>1097.22</v>
      </c>
      <c r="I206" s="22">
        <v>0</v>
      </c>
      <c r="J206" s="18">
        <v>5486.1</v>
      </c>
      <c r="K206" s="18">
        <v>3677.05</v>
      </c>
      <c r="L206" s="18">
        <v>1809.05</v>
      </c>
      <c r="M206" s="7" t="s">
        <v>57</v>
      </c>
      <c r="N206" s="7" t="s">
        <v>36</v>
      </c>
      <c r="O206" s="7" t="s">
        <v>37</v>
      </c>
      <c r="P206" s="7" t="str">
        <f t="shared" si="9"/>
        <v>Nov</v>
      </c>
      <c r="Q206" s="7">
        <f t="shared" si="10"/>
        <v>2025</v>
      </c>
      <c r="R206" s="23">
        <f t="shared" si="11"/>
        <v>0.32975155392719779</v>
      </c>
    </row>
    <row r="207" spans="1:18">
      <c r="A207" s="7" t="s">
        <v>263</v>
      </c>
      <c r="B207" s="8">
        <v>45931</v>
      </c>
      <c r="C207" s="7" t="s">
        <v>264</v>
      </c>
      <c r="D207" s="7" t="s">
        <v>265</v>
      </c>
      <c r="E207" s="7" t="s">
        <v>48</v>
      </c>
      <c r="F207" s="7" t="s">
        <v>102</v>
      </c>
      <c r="G207" s="7">
        <v>3</v>
      </c>
      <c r="H207" s="18">
        <v>1098.8499999999999</v>
      </c>
      <c r="I207" s="22">
        <v>0.05</v>
      </c>
      <c r="J207" s="18">
        <v>3131.72</v>
      </c>
      <c r="K207" s="18">
        <v>2655.78</v>
      </c>
      <c r="L207" s="18">
        <v>475.94</v>
      </c>
      <c r="M207" s="7" t="s">
        <v>35</v>
      </c>
      <c r="N207" s="7" t="s">
        <v>71</v>
      </c>
      <c r="O207" s="7" t="s">
        <v>44</v>
      </c>
      <c r="P207" s="7" t="str">
        <f t="shared" si="9"/>
        <v>Oct</v>
      </c>
      <c r="Q207" s="7">
        <f t="shared" si="10"/>
        <v>2025</v>
      </c>
      <c r="R207" s="23">
        <f t="shared" si="11"/>
        <v>0.15197399512089205</v>
      </c>
    </row>
    <row r="208" spans="1:18">
      <c r="A208" s="7" t="s">
        <v>1510</v>
      </c>
      <c r="B208" s="8">
        <v>46086</v>
      </c>
      <c r="C208" s="7" t="s">
        <v>1250</v>
      </c>
      <c r="D208" s="7" t="s">
        <v>40</v>
      </c>
      <c r="E208" s="7" t="s">
        <v>48</v>
      </c>
      <c r="F208" s="7" t="s">
        <v>70</v>
      </c>
      <c r="G208" s="7">
        <v>3</v>
      </c>
      <c r="H208" s="18">
        <v>1100.67</v>
      </c>
      <c r="I208" s="22">
        <v>0</v>
      </c>
      <c r="J208" s="18">
        <v>3302.01</v>
      </c>
      <c r="K208" s="18">
        <v>2684.03</v>
      </c>
      <c r="L208" s="18">
        <v>617.98</v>
      </c>
      <c r="M208" s="7" t="s">
        <v>35</v>
      </c>
      <c r="N208" s="7" t="s">
        <v>36</v>
      </c>
      <c r="O208" s="7" t="s">
        <v>37</v>
      </c>
      <c r="P208" s="7" t="str">
        <f t="shared" si="9"/>
        <v>Mar</v>
      </c>
      <c r="Q208" s="7">
        <f t="shared" si="10"/>
        <v>2026</v>
      </c>
      <c r="R208" s="23">
        <f t="shared" si="11"/>
        <v>0.18715267367451946</v>
      </c>
    </row>
    <row r="209" spans="1:18">
      <c r="A209" s="7" t="s">
        <v>1404</v>
      </c>
      <c r="B209" s="8">
        <v>46086</v>
      </c>
      <c r="C209" s="7" t="s">
        <v>511</v>
      </c>
      <c r="D209" s="7" t="s">
        <v>66</v>
      </c>
      <c r="E209" s="7" t="s">
        <v>61</v>
      </c>
      <c r="F209" s="7" t="s">
        <v>62</v>
      </c>
      <c r="G209" s="7">
        <v>5</v>
      </c>
      <c r="H209" s="18">
        <v>1101.92</v>
      </c>
      <c r="I209" s="22">
        <v>0</v>
      </c>
      <c r="J209" s="18">
        <v>5509.6</v>
      </c>
      <c r="K209" s="18">
        <v>3276.67</v>
      </c>
      <c r="L209" s="18">
        <v>2232.9299999999998</v>
      </c>
      <c r="M209" s="7" t="s">
        <v>35</v>
      </c>
      <c r="N209" s="7" t="s">
        <v>43</v>
      </c>
      <c r="O209" s="7" t="s">
        <v>44</v>
      </c>
      <c r="P209" s="7" t="str">
        <f t="shared" si="9"/>
        <v>Mar</v>
      </c>
      <c r="Q209" s="7">
        <f t="shared" si="10"/>
        <v>2026</v>
      </c>
      <c r="R209" s="23">
        <f t="shared" si="11"/>
        <v>0.40527987512705088</v>
      </c>
    </row>
    <row r="210" spans="1:18">
      <c r="A210" s="7" t="s">
        <v>615</v>
      </c>
      <c r="B210" s="8">
        <v>45991</v>
      </c>
      <c r="C210" s="7" t="s">
        <v>616</v>
      </c>
      <c r="D210" s="7" t="s">
        <v>47</v>
      </c>
      <c r="E210" s="7" t="s">
        <v>33</v>
      </c>
      <c r="F210" s="7" t="s">
        <v>67</v>
      </c>
      <c r="G210" s="7">
        <v>6</v>
      </c>
      <c r="H210" s="18">
        <v>1104.44</v>
      </c>
      <c r="I210" s="22">
        <v>0.15</v>
      </c>
      <c r="J210" s="18">
        <v>5632.64</v>
      </c>
      <c r="K210" s="18">
        <v>3237.52</v>
      </c>
      <c r="L210" s="18">
        <v>2395.12</v>
      </c>
      <c r="M210" s="7" t="s">
        <v>57</v>
      </c>
      <c r="N210" s="7" t="s">
        <v>71</v>
      </c>
      <c r="O210" s="7" t="s">
        <v>44</v>
      </c>
      <c r="P210" s="7" t="str">
        <f t="shared" si="9"/>
        <v>Nov</v>
      </c>
      <c r="Q210" s="7">
        <f t="shared" si="10"/>
        <v>2025</v>
      </c>
      <c r="R210" s="23">
        <f t="shared" si="11"/>
        <v>0.42522156573116687</v>
      </c>
    </row>
    <row r="211" spans="1:18">
      <c r="A211" s="7" t="s">
        <v>450</v>
      </c>
      <c r="B211" s="8">
        <v>45846</v>
      </c>
      <c r="C211" s="7" t="s">
        <v>422</v>
      </c>
      <c r="D211" s="7" t="s">
        <v>40</v>
      </c>
      <c r="E211" s="7" t="s">
        <v>41</v>
      </c>
      <c r="F211" s="7" t="s">
        <v>53</v>
      </c>
      <c r="G211" s="7">
        <v>4</v>
      </c>
      <c r="H211" s="18">
        <v>1106.24</v>
      </c>
      <c r="I211" s="22">
        <v>0.1</v>
      </c>
      <c r="J211" s="18">
        <v>3982.46</v>
      </c>
      <c r="K211" s="18">
        <v>2904.5</v>
      </c>
      <c r="L211" s="18">
        <v>1077.96</v>
      </c>
      <c r="M211" s="7" t="s">
        <v>57</v>
      </c>
      <c r="N211" s="7" t="s">
        <v>36</v>
      </c>
      <c r="O211" s="7" t="s">
        <v>44</v>
      </c>
      <c r="P211" s="7" t="str">
        <f t="shared" si="9"/>
        <v>Jul</v>
      </c>
      <c r="Q211" s="7">
        <f t="shared" si="10"/>
        <v>2025</v>
      </c>
      <c r="R211" s="23">
        <f t="shared" si="11"/>
        <v>0.27067691828668711</v>
      </c>
    </row>
    <row r="212" spans="1:18">
      <c r="A212" s="7" t="s">
        <v>1525</v>
      </c>
      <c r="B212" s="8">
        <v>46223</v>
      </c>
      <c r="C212" s="7" t="s">
        <v>401</v>
      </c>
      <c r="D212" s="7" t="s">
        <v>95</v>
      </c>
      <c r="E212" s="7" t="s">
        <v>33</v>
      </c>
      <c r="F212" s="7" t="s">
        <v>67</v>
      </c>
      <c r="G212" s="7">
        <v>2</v>
      </c>
      <c r="H212" s="18">
        <v>1106.95</v>
      </c>
      <c r="I212" s="22">
        <v>0.05</v>
      </c>
      <c r="J212" s="18">
        <v>2103.1999999999998</v>
      </c>
      <c r="K212" s="18">
        <v>1181.51</v>
      </c>
      <c r="L212" s="18">
        <v>921.69</v>
      </c>
      <c r="M212" s="7" t="s">
        <v>57</v>
      </c>
      <c r="N212" s="7" t="s">
        <v>71</v>
      </c>
      <c r="O212" s="7" t="s">
        <v>37</v>
      </c>
      <c r="P212" s="7" t="str">
        <f t="shared" si="9"/>
        <v>Jul</v>
      </c>
      <c r="Q212" s="7">
        <f t="shared" si="10"/>
        <v>2026</v>
      </c>
      <c r="R212" s="23">
        <f t="shared" si="11"/>
        <v>0.43823221757322184</v>
      </c>
    </row>
    <row r="213" spans="1:18">
      <c r="A213" s="7" t="s">
        <v>1005</v>
      </c>
      <c r="B213" s="8">
        <v>45945</v>
      </c>
      <c r="C213" s="7" t="s">
        <v>267</v>
      </c>
      <c r="D213" s="7" t="s">
        <v>74</v>
      </c>
      <c r="E213" s="7" t="s">
        <v>48</v>
      </c>
      <c r="F213" s="7" t="s">
        <v>99</v>
      </c>
      <c r="G213" s="7">
        <v>4</v>
      </c>
      <c r="H213" s="18">
        <v>1122.32</v>
      </c>
      <c r="I213" s="22">
        <v>0.05</v>
      </c>
      <c r="J213" s="18">
        <v>4264.82</v>
      </c>
      <c r="K213" s="18">
        <v>3102.57</v>
      </c>
      <c r="L213" s="18">
        <v>1162.25</v>
      </c>
      <c r="M213" s="7" t="s">
        <v>57</v>
      </c>
      <c r="N213" s="7" t="s">
        <v>71</v>
      </c>
      <c r="O213" s="7" t="s">
        <v>37</v>
      </c>
      <c r="P213" s="7" t="str">
        <f t="shared" si="9"/>
        <v>Oct</v>
      </c>
      <c r="Q213" s="7">
        <f t="shared" si="10"/>
        <v>2025</v>
      </c>
      <c r="R213" s="23">
        <f t="shared" si="11"/>
        <v>0.27252029393972083</v>
      </c>
    </row>
    <row r="214" spans="1:18">
      <c r="A214" s="7" t="s">
        <v>1244</v>
      </c>
      <c r="B214" s="8">
        <v>45906</v>
      </c>
      <c r="C214" s="7" t="s">
        <v>625</v>
      </c>
      <c r="D214" s="7" t="s">
        <v>40</v>
      </c>
      <c r="E214" s="7" t="s">
        <v>48</v>
      </c>
      <c r="F214" s="7" t="s">
        <v>70</v>
      </c>
      <c r="G214" s="7">
        <v>6</v>
      </c>
      <c r="H214" s="18">
        <v>1123.08</v>
      </c>
      <c r="I214" s="22">
        <v>0.1</v>
      </c>
      <c r="J214" s="18">
        <v>6064.63</v>
      </c>
      <c r="K214" s="18">
        <v>3793.15</v>
      </c>
      <c r="L214" s="18">
        <v>2271.48</v>
      </c>
      <c r="M214" s="7" t="s">
        <v>57</v>
      </c>
      <c r="N214" s="7" t="s">
        <v>36</v>
      </c>
      <c r="O214" s="7" t="s">
        <v>37</v>
      </c>
      <c r="P214" s="7" t="str">
        <f t="shared" si="9"/>
        <v>Sep</v>
      </c>
      <c r="Q214" s="7">
        <f t="shared" si="10"/>
        <v>2025</v>
      </c>
      <c r="R214" s="23">
        <f t="shared" si="11"/>
        <v>0.3745455205016629</v>
      </c>
    </row>
    <row r="215" spans="1:18">
      <c r="A215" s="7" t="s">
        <v>1626</v>
      </c>
      <c r="B215" s="8">
        <v>46106</v>
      </c>
      <c r="C215" s="7" t="s">
        <v>859</v>
      </c>
      <c r="D215" s="7" t="s">
        <v>47</v>
      </c>
      <c r="E215" s="7" t="s">
        <v>61</v>
      </c>
      <c r="F215" s="7" t="s">
        <v>62</v>
      </c>
      <c r="G215" s="7">
        <v>4</v>
      </c>
      <c r="H215" s="18">
        <v>1124.25</v>
      </c>
      <c r="I215" s="22">
        <v>0.15</v>
      </c>
      <c r="J215" s="18">
        <v>3822.45</v>
      </c>
      <c r="K215" s="18">
        <v>2571.2600000000002</v>
      </c>
      <c r="L215" s="18">
        <v>1251.19</v>
      </c>
      <c r="M215" s="7" t="s">
        <v>35</v>
      </c>
      <c r="N215" s="7" t="s">
        <v>63</v>
      </c>
      <c r="O215" s="7" t="s">
        <v>44</v>
      </c>
      <c r="P215" s="7" t="str">
        <f t="shared" si="9"/>
        <v>Mar</v>
      </c>
      <c r="Q215" s="7">
        <f t="shared" si="10"/>
        <v>2026</v>
      </c>
      <c r="R215" s="23">
        <f t="shared" si="11"/>
        <v>0.32732671454172063</v>
      </c>
    </row>
    <row r="216" spans="1:18">
      <c r="A216" s="7" t="s">
        <v>379</v>
      </c>
      <c r="B216" s="8">
        <v>45666</v>
      </c>
      <c r="C216" s="7" t="s">
        <v>376</v>
      </c>
      <c r="D216" s="7" t="s">
        <v>95</v>
      </c>
      <c r="E216" s="7" t="s">
        <v>33</v>
      </c>
      <c r="F216" s="7" t="s">
        <v>92</v>
      </c>
      <c r="G216" s="7">
        <v>1</v>
      </c>
      <c r="H216" s="18">
        <v>1140.78</v>
      </c>
      <c r="I216" s="22">
        <v>0.05</v>
      </c>
      <c r="J216" s="18">
        <v>1083.74</v>
      </c>
      <c r="K216" s="18">
        <v>769.91</v>
      </c>
      <c r="L216" s="18">
        <v>313.83</v>
      </c>
      <c r="M216" s="7" t="s">
        <v>35</v>
      </c>
      <c r="N216" s="7" t="s">
        <v>63</v>
      </c>
      <c r="O216" s="7" t="s">
        <v>44</v>
      </c>
      <c r="P216" s="7" t="str">
        <f t="shared" si="9"/>
        <v>Jan</v>
      </c>
      <c r="Q216" s="7">
        <f t="shared" si="10"/>
        <v>2025</v>
      </c>
      <c r="R216" s="23">
        <f t="shared" si="11"/>
        <v>0.28958052669459461</v>
      </c>
    </row>
    <row r="217" spans="1:18">
      <c r="A217" s="7" t="s">
        <v>873</v>
      </c>
      <c r="B217" s="8">
        <v>45721</v>
      </c>
      <c r="C217" s="7" t="s">
        <v>435</v>
      </c>
      <c r="D217" s="7" t="s">
        <v>74</v>
      </c>
      <c r="E217" s="7" t="s">
        <v>61</v>
      </c>
      <c r="F217" s="7" t="s">
        <v>81</v>
      </c>
      <c r="G217" s="7">
        <v>2</v>
      </c>
      <c r="H217" s="18">
        <v>1154.03</v>
      </c>
      <c r="I217" s="22">
        <v>0.15</v>
      </c>
      <c r="J217" s="18">
        <v>1961.85</v>
      </c>
      <c r="K217" s="18">
        <v>1437.6</v>
      </c>
      <c r="L217" s="18">
        <v>524.25</v>
      </c>
      <c r="M217" s="7" t="s">
        <v>35</v>
      </c>
      <c r="N217" s="7" t="s">
        <v>71</v>
      </c>
      <c r="O217" s="7" t="s">
        <v>44</v>
      </c>
      <c r="P217" s="7" t="str">
        <f t="shared" si="9"/>
        <v>Mar</v>
      </c>
      <c r="Q217" s="7">
        <f t="shared" si="10"/>
        <v>2025</v>
      </c>
      <c r="R217" s="23">
        <f t="shared" si="11"/>
        <v>0.26722226469913601</v>
      </c>
    </row>
    <row r="218" spans="1:18">
      <c r="A218" s="7" t="s">
        <v>920</v>
      </c>
      <c r="B218" s="8">
        <v>45956</v>
      </c>
      <c r="C218" s="7" t="s">
        <v>304</v>
      </c>
      <c r="D218" s="7" t="s">
        <v>60</v>
      </c>
      <c r="E218" s="7" t="s">
        <v>61</v>
      </c>
      <c r="F218" s="7" t="s">
        <v>81</v>
      </c>
      <c r="G218" s="7">
        <v>3</v>
      </c>
      <c r="H218" s="18">
        <v>1154.3699999999999</v>
      </c>
      <c r="I218" s="22">
        <v>0.2</v>
      </c>
      <c r="J218" s="18">
        <v>2770.49</v>
      </c>
      <c r="K218" s="18">
        <v>2230.4499999999998</v>
      </c>
      <c r="L218" s="18">
        <v>540.04</v>
      </c>
      <c r="M218" s="7" t="s">
        <v>35</v>
      </c>
      <c r="N218" s="7" t="s">
        <v>63</v>
      </c>
      <c r="O218" s="7" t="s">
        <v>37</v>
      </c>
      <c r="P218" s="7" t="str">
        <f t="shared" si="9"/>
        <v>Oct</v>
      </c>
      <c r="Q218" s="7">
        <f t="shared" si="10"/>
        <v>2025</v>
      </c>
      <c r="R218" s="23">
        <f t="shared" si="11"/>
        <v>0.19492580734815862</v>
      </c>
    </row>
    <row r="219" spans="1:18">
      <c r="A219" s="7" t="s">
        <v>1171</v>
      </c>
      <c r="B219" s="8">
        <v>46213</v>
      </c>
      <c r="C219" s="7" t="s">
        <v>1083</v>
      </c>
      <c r="D219" s="7" t="s">
        <v>40</v>
      </c>
      <c r="E219" s="7" t="s">
        <v>41</v>
      </c>
      <c r="F219" s="7" t="s">
        <v>53</v>
      </c>
      <c r="G219" s="7">
        <v>3</v>
      </c>
      <c r="H219" s="18">
        <v>1155.8</v>
      </c>
      <c r="I219" s="22">
        <v>0.2</v>
      </c>
      <c r="J219" s="18">
        <v>2773.92</v>
      </c>
      <c r="K219" s="18">
        <v>1696.58</v>
      </c>
      <c r="L219" s="18">
        <v>1077.3399999999999</v>
      </c>
      <c r="M219" s="7" t="s">
        <v>35</v>
      </c>
      <c r="N219" s="7" t="s">
        <v>36</v>
      </c>
      <c r="O219" s="7" t="s">
        <v>44</v>
      </c>
      <c r="P219" s="7" t="str">
        <f t="shared" si="9"/>
        <v>Jul</v>
      </c>
      <c r="Q219" s="7">
        <f t="shared" si="10"/>
        <v>2026</v>
      </c>
      <c r="R219" s="23">
        <f t="shared" si="11"/>
        <v>0.38838178462248368</v>
      </c>
    </row>
    <row r="220" spans="1:18">
      <c r="A220" s="7" t="s">
        <v>1428</v>
      </c>
      <c r="B220" s="8">
        <v>45852</v>
      </c>
      <c r="C220" s="7" t="s">
        <v>1421</v>
      </c>
      <c r="D220" s="7" t="s">
        <v>74</v>
      </c>
      <c r="E220" s="7" t="s">
        <v>61</v>
      </c>
      <c r="F220" s="7" t="s">
        <v>129</v>
      </c>
      <c r="G220" s="7">
        <v>6</v>
      </c>
      <c r="H220" s="18">
        <v>1159.07</v>
      </c>
      <c r="I220" s="22">
        <v>0.1</v>
      </c>
      <c r="J220" s="18">
        <v>6258.98</v>
      </c>
      <c r="K220" s="18">
        <v>4944.1000000000004</v>
      </c>
      <c r="L220" s="18">
        <v>1314.88</v>
      </c>
      <c r="M220" s="7" t="s">
        <v>35</v>
      </c>
      <c r="N220" s="7" t="s">
        <v>36</v>
      </c>
      <c r="O220" s="7" t="s">
        <v>37</v>
      </c>
      <c r="P220" s="7" t="str">
        <f t="shared" si="9"/>
        <v>Jul</v>
      </c>
      <c r="Q220" s="7">
        <f t="shared" si="10"/>
        <v>2025</v>
      </c>
      <c r="R220" s="23">
        <f t="shared" si="11"/>
        <v>0.21007895855235201</v>
      </c>
    </row>
    <row r="221" spans="1:18">
      <c r="A221" s="7" t="s">
        <v>126</v>
      </c>
      <c r="B221" s="8">
        <v>45983</v>
      </c>
      <c r="C221" s="7" t="s">
        <v>127</v>
      </c>
      <c r="D221" s="7" t="s">
        <v>47</v>
      </c>
      <c r="E221" s="7" t="s">
        <v>61</v>
      </c>
      <c r="F221" s="7" t="s">
        <v>89</v>
      </c>
      <c r="G221" s="7">
        <v>4</v>
      </c>
      <c r="H221" s="18">
        <v>1176.53</v>
      </c>
      <c r="I221" s="22">
        <v>0.2</v>
      </c>
      <c r="J221" s="18">
        <v>3764.9</v>
      </c>
      <c r="K221" s="18">
        <v>2573.9499999999998</v>
      </c>
      <c r="L221" s="18">
        <v>1190.95</v>
      </c>
      <c r="M221" s="7" t="s">
        <v>57</v>
      </c>
      <c r="N221" s="7" t="s">
        <v>71</v>
      </c>
      <c r="O221" s="7" t="s">
        <v>44</v>
      </c>
      <c r="P221" s="7" t="str">
        <f t="shared" si="9"/>
        <v>Nov</v>
      </c>
      <c r="Q221" s="7">
        <f t="shared" si="10"/>
        <v>2025</v>
      </c>
      <c r="R221" s="23">
        <f t="shared" si="11"/>
        <v>0.3163297829955643</v>
      </c>
    </row>
    <row r="222" spans="1:18">
      <c r="A222" s="7" t="s">
        <v>1026</v>
      </c>
      <c r="B222" s="8">
        <v>46080</v>
      </c>
      <c r="C222" s="7" t="s">
        <v>243</v>
      </c>
      <c r="D222" s="7" t="s">
        <v>56</v>
      </c>
      <c r="E222" s="7" t="s">
        <v>33</v>
      </c>
      <c r="F222" s="7" t="s">
        <v>67</v>
      </c>
      <c r="G222" s="7">
        <v>4</v>
      </c>
      <c r="H222" s="18">
        <v>1185.51</v>
      </c>
      <c r="I222" s="22">
        <v>0</v>
      </c>
      <c r="J222" s="18">
        <v>4742.04</v>
      </c>
      <c r="K222" s="18">
        <v>3007.87</v>
      </c>
      <c r="L222" s="18">
        <v>1734.17</v>
      </c>
      <c r="M222" s="7" t="s">
        <v>35</v>
      </c>
      <c r="N222" s="7" t="s">
        <v>71</v>
      </c>
      <c r="O222" s="7" t="s">
        <v>44</v>
      </c>
      <c r="P222" s="7" t="str">
        <f t="shared" si="9"/>
        <v>Feb</v>
      </c>
      <c r="Q222" s="7">
        <f t="shared" si="10"/>
        <v>2026</v>
      </c>
      <c r="R222" s="23">
        <f t="shared" si="11"/>
        <v>0.36570125937360293</v>
      </c>
    </row>
    <row r="223" spans="1:18">
      <c r="A223" s="7" t="s">
        <v>1467</v>
      </c>
      <c r="B223" s="8">
        <v>46011</v>
      </c>
      <c r="C223" s="7" t="s">
        <v>824</v>
      </c>
      <c r="D223" s="7" t="s">
        <v>66</v>
      </c>
      <c r="E223" s="7" t="s">
        <v>61</v>
      </c>
      <c r="F223" s="7" t="s">
        <v>129</v>
      </c>
      <c r="G223" s="7">
        <v>1</v>
      </c>
      <c r="H223" s="18">
        <v>1190.17</v>
      </c>
      <c r="I223" s="22">
        <v>0.15</v>
      </c>
      <c r="J223" s="18">
        <v>1011.64</v>
      </c>
      <c r="K223" s="18">
        <v>620.03</v>
      </c>
      <c r="L223" s="18">
        <v>391.61</v>
      </c>
      <c r="M223" s="7" t="s">
        <v>35</v>
      </c>
      <c r="N223" s="7" t="s">
        <v>63</v>
      </c>
      <c r="O223" s="7" t="s">
        <v>44</v>
      </c>
      <c r="P223" s="7" t="str">
        <f t="shared" si="9"/>
        <v>Dec</v>
      </c>
      <c r="Q223" s="7">
        <f t="shared" si="10"/>
        <v>2025</v>
      </c>
      <c r="R223" s="23">
        <f t="shared" si="11"/>
        <v>0.38710410818077579</v>
      </c>
    </row>
    <row r="224" spans="1:18">
      <c r="A224" s="7" t="s">
        <v>1333</v>
      </c>
      <c r="B224" s="8">
        <v>45990</v>
      </c>
      <c r="C224" s="7" t="s">
        <v>1334</v>
      </c>
      <c r="D224" s="7" t="s">
        <v>74</v>
      </c>
      <c r="E224" s="7" t="s">
        <v>61</v>
      </c>
      <c r="F224" s="7" t="s">
        <v>81</v>
      </c>
      <c r="G224" s="7">
        <v>4</v>
      </c>
      <c r="H224" s="18">
        <v>1196.32</v>
      </c>
      <c r="I224" s="22">
        <v>0.2</v>
      </c>
      <c r="J224" s="18">
        <v>3828.22</v>
      </c>
      <c r="K224" s="18">
        <v>3001.08</v>
      </c>
      <c r="L224" s="18">
        <v>827.14</v>
      </c>
      <c r="M224" s="7" t="s">
        <v>57</v>
      </c>
      <c r="N224" s="7" t="s">
        <v>43</v>
      </c>
      <c r="O224" s="7" t="s">
        <v>44</v>
      </c>
      <c r="P224" s="7" t="str">
        <f t="shared" si="9"/>
        <v>Nov</v>
      </c>
      <c r="Q224" s="7">
        <f t="shared" si="10"/>
        <v>2025</v>
      </c>
      <c r="R224" s="23">
        <f t="shared" si="11"/>
        <v>0.21606386257843072</v>
      </c>
    </row>
    <row r="225" spans="1:18">
      <c r="A225" s="7" t="s">
        <v>724</v>
      </c>
      <c r="B225" s="8">
        <v>46260</v>
      </c>
      <c r="C225" s="7" t="s">
        <v>725</v>
      </c>
      <c r="D225" s="7" t="s">
        <v>52</v>
      </c>
      <c r="E225" s="7" t="s">
        <v>48</v>
      </c>
      <c r="F225" s="7" t="s">
        <v>102</v>
      </c>
      <c r="G225" s="7">
        <v>5</v>
      </c>
      <c r="H225" s="18">
        <v>1200.31</v>
      </c>
      <c r="I225" s="22">
        <v>0</v>
      </c>
      <c r="J225" s="18">
        <v>6001.55</v>
      </c>
      <c r="K225" s="18">
        <v>4478.75</v>
      </c>
      <c r="L225" s="18">
        <v>1522.8</v>
      </c>
      <c r="M225" s="7" t="s">
        <v>35</v>
      </c>
      <c r="N225" s="7" t="s">
        <v>43</v>
      </c>
      <c r="O225" s="7" t="s">
        <v>37</v>
      </c>
      <c r="P225" s="7" t="str">
        <f t="shared" si="9"/>
        <v>Aug</v>
      </c>
      <c r="Q225" s="7">
        <f t="shared" si="10"/>
        <v>2026</v>
      </c>
      <c r="R225" s="23">
        <f t="shared" si="11"/>
        <v>0.25373445193325056</v>
      </c>
    </row>
    <row r="226" spans="1:18">
      <c r="A226" s="7" t="s">
        <v>1493</v>
      </c>
      <c r="B226" s="8">
        <v>45732</v>
      </c>
      <c r="C226" s="7" t="s">
        <v>1494</v>
      </c>
      <c r="D226" s="7" t="s">
        <v>52</v>
      </c>
      <c r="E226" s="7" t="s">
        <v>48</v>
      </c>
      <c r="F226" s="7" t="s">
        <v>102</v>
      </c>
      <c r="G226" s="7">
        <v>4</v>
      </c>
      <c r="H226" s="18">
        <v>1200.42</v>
      </c>
      <c r="I226" s="22">
        <v>0.2</v>
      </c>
      <c r="J226" s="18">
        <v>3841.34</v>
      </c>
      <c r="K226" s="18">
        <v>3238.78</v>
      </c>
      <c r="L226" s="18">
        <v>602.55999999999995</v>
      </c>
      <c r="M226" s="7" t="s">
        <v>57</v>
      </c>
      <c r="N226" s="7" t="s">
        <v>43</v>
      </c>
      <c r="O226" s="7" t="s">
        <v>44</v>
      </c>
      <c r="P226" s="7" t="str">
        <f t="shared" si="9"/>
        <v>Mar</v>
      </c>
      <c r="Q226" s="7">
        <f t="shared" si="10"/>
        <v>2025</v>
      </c>
      <c r="R226" s="23">
        <f t="shared" si="11"/>
        <v>0.15686192838957236</v>
      </c>
    </row>
    <row r="227" spans="1:18">
      <c r="A227" s="7" t="s">
        <v>1563</v>
      </c>
      <c r="B227" s="8">
        <v>45839</v>
      </c>
      <c r="C227" s="7" t="s">
        <v>486</v>
      </c>
      <c r="D227" s="7" t="s">
        <v>66</v>
      </c>
      <c r="E227" s="7" t="s">
        <v>61</v>
      </c>
      <c r="F227" s="7" t="s">
        <v>89</v>
      </c>
      <c r="G227" s="7">
        <v>5</v>
      </c>
      <c r="H227" s="18">
        <v>1226.72</v>
      </c>
      <c r="I227" s="22">
        <v>0.05</v>
      </c>
      <c r="J227" s="18">
        <v>5826.92</v>
      </c>
      <c r="K227" s="18">
        <v>3543.94</v>
      </c>
      <c r="L227" s="18">
        <v>2282.98</v>
      </c>
      <c r="M227" s="7" t="s">
        <v>57</v>
      </c>
      <c r="N227" s="7" t="s">
        <v>63</v>
      </c>
      <c r="O227" s="7" t="s">
        <v>44</v>
      </c>
      <c r="P227" s="7" t="str">
        <f t="shared" si="9"/>
        <v>Jul</v>
      </c>
      <c r="Q227" s="7">
        <f t="shared" si="10"/>
        <v>2025</v>
      </c>
      <c r="R227" s="23">
        <f t="shared" si="11"/>
        <v>0.39179875474521703</v>
      </c>
    </row>
    <row r="228" spans="1:18">
      <c r="A228" s="7" t="s">
        <v>1263</v>
      </c>
      <c r="B228" s="8">
        <v>46234</v>
      </c>
      <c r="C228" s="7" t="s">
        <v>756</v>
      </c>
      <c r="D228" s="7" t="s">
        <v>74</v>
      </c>
      <c r="E228" s="7" t="s">
        <v>48</v>
      </c>
      <c r="F228" s="7" t="s">
        <v>49</v>
      </c>
      <c r="G228" s="7">
        <v>4</v>
      </c>
      <c r="H228" s="18">
        <v>1239.5</v>
      </c>
      <c r="I228" s="22">
        <v>0.1</v>
      </c>
      <c r="J228" s="18">
        <v>4462.2</v>
      </c>
      <c r="K228" s="18">
        <v>2965.43</v>
      </c>
      <c r="L228" s="18">
        <v>1496.77</v>
      </c>
      <c r="M228" s="7" t="s">
        <v>35</v>
      </c>
      <c r="N228" s="7" t="s">
        <v>63</v>
      </c>
      <c r="O228" s="7" t="s">
        <v>44</v>
      </c>
      <c r="P228" s="7" t="str">
        <f t="shared" si="9"/>
        <v>Jul</v>
      </c>
      <c r="Q228" s="7">
        <f t="shared" si="10"/>
        <v>2026</v>
      </c>
      <c r="R228" s="23">
        <f t="shared" si="11"/>
        <v>0.33543319438841829</v>
      </c>
    </row>
    <row r="229" spans="1:18">
      <c r="A229" s="7" t="s">
        <v>620</v>
      </c>
      <c r="B229" s="8">
        <v>46015</v>
      </c>
      <c r="C229" s="7" t="s">
        <v>621</v>
      </c>
      <c r="D229" s="7" t="s">
        <v>60</v>
      </c>
      <c r="E229" s="7" t="s">
        <v>41</v>
      </c>
      <c r="F229" s="7" t="s">
        <v>124</v>
      </c>
      <c r="G229" s="7">
        <v>5</v>
      </c>
      <c r="H229" s="18">
        <v>1241.75</v>
      </c>
      <c r="I229" s="22">
        <v>0.15</v>
      </c>
      <c r="J229" s="18">
        <v>5277.44</v>
      </c>
      <c r="K229" s="18">
        <v>3692.46</v>
      </c>
      <c r="L229" s="18">
        <v>1584.98</v>
      </c>
      <c r="M229" s="7" t="s">
        <v>35</v>
      </c>
      <c r="N229" s="7" t="s">
        <v>71</v>
      </c>
      <c r="O229" s="7" t="s">
        <v>44</v>
      </c>
      <c r="P229" s="7" t="str">
        <f t="shared" si="9"/>
        <v>Dec</v>
      </c>
      <c r="Q229" s="7">
        <f t="shared" si="10"/>
        <v>2025</v>
      </c>
      <c r="R229" s="23">
        <f t="shared" si="11"/>
        <v>0.30033122119815669</v>
      </c>
    </row>
    <row r="230" spans="1:18">
      <c r="A230" s="7" t="s">
        <v>968</v>
      </c>
      <c r="B230" s="8">
        <v>45685</v>
      </c>
      <c r="C230" s="7" t="s">
        <v>138</v>
      </c>
      <c r="D230" s="7" t="s">
        <v>60</v>
      </c>
      <c r="E230" s="7" t="s">
        <v>33</v>
      </c>
      <c r="F230" s="7" t="s">
        <v>96</v>
      </c>
      <c r="G230" s="7">
        <v>6</v>
      </c>
      <c r="H230" s="18">
        <v>1244.97</v>
      </c>
      <c r="I230" s="22">
        <v>0</v>
      </c>
      <c r="J230" s="18">
        <v>7469.82</v>
      </c>
      <c r="K230" s="18">
        <v>5862.54</v>
      </c>
      <c r="L230" s="18">
        <v>1607.28</v>
      </c>
      <c r="M230" s="7" t="s">
        <v>35</v>
      </c>
      <c r="N230" s="7" t="s">
        <v>71</v>
      </c>
      <c r="O230" s="7" t="s">
        <v>44</v>
      </c>
      <c r="P230" s="7" t="str">
        <f t="shared" si="9"/>
        <v>Jan</v>
      </c>
      <c r="Q230" s="7">
        <f t="shared" si="10"/>
        <v>2025</v>
      </c>
      <c r="R230" s="23">
        <f t="shared" si="11"/>
        <v>0.21516984345004297</v>
      </c>
    </row>
    <row r="231" spans="1:18">
      <c r="A231" s="7" t="s">
        <v>202</v>
      </c>
      <c r="B231" s="8">
        <v>46016</v>
      </c>
      <c r="C231" s="7" t="s">
        <v>203</v>
      </c>
      <c r="D231" s="7" t="s">
        <v>32</v>
      </c>
      <c r="E231" s="7" t="s">
        <v>48</v>
      </c>
      <c r="F231" s="7" t="s">
        <v>113</v>
      </c>
      <c r="G231" s="7">
        <v>2</v>
      </c>
      <c r="H231" s="18">
        <v>1245.23</v>
      </c>
      <c r="I231" s="22">
        <v>0</v>
      </c>
      <c r="J231" s="18">
        <v>2490.46</v>
      </c>
      <c r="K231" s="18">
        <v>1582.83</v>
      </c>
      <c r="L231" s="18">
        <v>907.63</v>
      </c>
      <c r="M231" s="7" t="s">
        <v>57</v>
      </c>
      <c r="N231" s="7" t="s">
        <v>36</v>
      </c>
      <c r="O231" s="7" t="s">
        <v>44</v>
      </c>
      <c r="P231" s="7" t="str">
        <f t="shared" si="9"/>
        <v>Dec</v>
      </c>
      <c r="Q231" s="7">
        <f t="shared" si="10"/>
        <v>2025</v>
      </c>
      <c r="R231" s="23">
        <f t="shared" si="11"/>
        <v>0.36444271339431267</v>
      </c>
    </row>
    <row r="232" spans="1:18">
      <c r="A232" s="7" t="s">
        <v>1294</v>
      </c>
      <c r="B232" s="8">
        <v>45683</v>
      </c>
      <c r="C232" s="7" t="s">
        <v>466</v>
      </c>
      <c r="D232" s="7" t="s">
        <v>74</v>
      </c>
      <c r="E232" s="7" t="s">
        <v>48</v>
      </c>
      <c r="F232" s="7" t="s">
        <v>102</v>
      </c>
      <c r="G232" s="7">
        <v>6</v>
      </c>
      <c r="H232" s="18">
        <v>1251.3</v>
      </c>
      <c r="I232" s="22">
        <v>0.1</v>
      </c>
      <c r="J232" s="18">
        <v>6757.02</v>
      </c>
      <c r="K232" s="18">
        <v>3865.24</v>
      </c>
      <c r="L232" s="18">
        <v>2891.78</v>
      </c>
      <c r="M232" s="7" t="s">
        <v>57</v>
      </c>
      <c r="N232" s="7" t="s">
        <v>63</v>
      </c>
      <c r="O232" s="7" t="s">
        <v>44</v>
      </c>
      <c r="P232" s="7" t="str">
        <f t="shared" si="9"/>
        <v>Jan</v>
      </c>
      <c r="Q232" s="7">
        <f t="shared" si="10"/>
        <v>2025</v>
      </c>
      <c r="R232" s="23">
        <f t="shared" si="11"/>
        <v>0.42796676641478049</v>
      </c>
    </row>
    <row r="233" spans="1:18">
      <c r="A233" s="7" t="s">
        <v>1691</v>
      </c>
      <c r="B233" s="8">
        <v>45932</v>
      </c>
      <c r="C233" s="7" t="s">
        <v>967</v>
      </c>
      <c r="D233" s="7" t="s">
        <v>40</v>
      </c>
      <c r="E233" s="7" t="s">
        <v>33</v>
      </c>
      <c r="F233" s="7" t="s">
        <v>176</v>
      </c>
      <c r="G233" s="7">
        <v>1</v>
      </c>
      <c r="H233" s="18">
        <v>1253.29</v>
      </c>
      <c r="I233" s="22">
        <v>0.2</v>
      </c>
      <c r="J233" s="18">
        <v>1002.63</v>
      </c>
      <c r="K233" s="18">
        <v>818.74</v>
      </c>
      <c r="L233" s="18">
        <v>183.89</v>
      </c>
      <c r="M233" s="7" t="s">
        <v>35</v>
      </c>
      <c r="N233" s="7" t="s">
        <v>43</v>
      </c>
      <c r="O233" s="7" t="s">
        <v>37</v>
      </c>
      <c r="P233" s="7" t="str">
        <f t="shared" si="9"/>
        <v>Oct</v>
      </c>
      <c r="Q233" s="7">
        <f t="shared" si="10"/>
        <v>2025</v>
      </c>
      <c r="R233" s="23">
        <f t="shared" si="11"/>
        <v>0.18340763791229067</v>
      </c>
    </row>
    <row r="234" spans="1:18">
      <c r="A234" s="7" t="s">
        <v>969</v>
      </c>
      <c r="B234" s="8">
        <v>46164</v>
      </c>
      <c r="C234" s="7" t="s">
        <v>970</v>
      </c>
      <c r="D234" s="7" t="s">
        <v>52</v>
      </c>
      <c r="E234" s="7" t="s">
        <v>33</v>
      </c>
      <c r="F234" s="7" t="s">
        <v>92</v>
      </c>
      <c r="G234" s="7">
        <v>5</v>
      </c>
      <c r="H234" s="18">
        <v>1258.53</v>
      </c>
      <c r="I234" s="22">
        <v>0</v>
      </c>
      <c r="J234" s="18">
        <v>6292.65</v>
      </c>
      <c r="K234" s="18">
        <v>4625.0600000000004</v>
      </c>
      <c r="L234" s="18">
        <v>1667.59</v>
      </c>
      <c r="M234" s="7" t="s">
        <v>57</v>
      </c>
      <c r="N234" s="7" t="s">
        <v>71</v>
      </c>
      <c r="O234" s="7" t="s">
        <v>44</v>
      </c>
      <c r="P234" s="7" t="str">
        <f t="shared" si="9"/>
        <v>May</v>
      </c>
      <c r="Q234" s="7">
        <f t="shared" si="10"/>
        <v>2026</v>
      </c>
      <c r="R234" s="23">
        <f t="shared" si="11"/>
        <v>0.26500599906239819</v>
      </c>
    </row>
    <row r="235" spans="1:18">
      <c r="A235" s="7" t="s">
        <v>982</v>
      </c>
      <c r="B235" s="8">
        <v>45718</v>
      </c>
      <c r="C235" s="7" t="s">
        <v>533</v>
      </c>
      <c r="D235" s="7" t="s">
        <v>47</v>
      </c>
      <c r="E235" s="7" t="s">
        <v>41</v>
      </c>
      <c r="F235" s="7" t="s">
        <v>53</v>
      </c>
      <c r="G235" s="7">
        <v>3</v>
      </c>
      <c r="H235" s="18">
        <v>1259.3599999999999</v>
      </c>
      <c r="I235" s="22">
        <v>0.2</v>
      </c>
      <c r="J235" s="18">
        <v>3022.46</v>
      </c>
      <c r="K235" s="18">
        <v>1905.5</v>
      </c>
      <c r="L235" s="18">
        <v>1116.96</v>
      </c>
      <c r="M235" s="7" t="s">
        <v>35</v>
      </c>
      <c r="N235" s="7" t="s">
        <v>63</v>
      </c>
      <c r="O235" s="7" t="s">
        <v>44</v>
      </c>
      <c r="P235" s="7" t="str">
        <f t="shared" si="9"/>
        <v>Mar</v>
      </c>
      <c r="Q235" s="7">
        <f t="shared" si="10"/>
        <v>2025</v>
      </c>
      <c r="R235" s="23">
        <f t="shared" si="11"/>
        <v>0.36955327779358538</v>
      </c>
    </row>
    <row r="236" spans="1:18">
      <c r="A236" s="7" t="s">
        <v>1015</v>
      </c>
      <c r="B236" s="8">
        <v>45672</v>
      </c>
      <c r="C236" s="7" t="s">
        <v>1016</v>
      </c>
      <c r="D236" s="7" t="s">
        <v>56</v>
      </c>
      <c r="E236" s="7" t="s">
        <v>48</v>
      </c>
      <c r="F236" s="7" t="s">
        <v>99</v>
      </c>
      <c r="G236" s="7">
        <v>1</v>
      </c>
      <c r="H236" s="18">
        <v>1260.23</v>
      </c>
      <c r="I236" s="22">
        <v>0.05</v>
      </c>
      <c r="J236" s="18">
        <v>1197.22</v>
      </c>
      <c r="K236" s="18">
        <v>1015.11</v>
      </c>
      <c r="L236" s="18">
        <v>182.11</v>
      </c>
      <c r="M236" s="7" t="s">
        <v>35</v>
      </c>
      <c r="N236" s="7" t="s">
        <v>71</v>
      </c>
      <c r="O236" s="7" t="s">
        <v>44</v>
      </c>
      <c r="P236" s="7" t="str">
        <f t="shared" si="9"/>
        <v>Jan</v>
      </c>
      <c r="Q236" s="7">
        <f t="shared" si="10"/>
        <v>2025</v>
      </c>
      <c r="R236" s="23">
        <f t="shared" si="11"/>
        <v>0.15211072317535626</v>
      </c>
    </row>
    <row r="237" spans="1:18">
      <c r="A237" s="7" t="s">
        <v>1335</v>
      </c>
      <c r="B237" s="8">
        <v>45728</v>
      </c>
      <c r="C237" s="7" t="s">
        <v>998</v>
      </c>
      <c r="D237" s="7" t="s">
        <v>66</v>
      </c>
      <c r="E237" s="7" t="s">
        <v>48</v>
      </c>
      <c r="F237" s="7" t="s">
        <v>49</v>
      </c>
      <c r="G237" s="7">
        <v>6</v>
      </c>
      <c r="H237" s="18">
        <v>1261.48</v>
      </c>
      <c r="I237" s="22">
        <v>0</v>
      </c>
      <c r="J237" s="18">
        <v>7568.88</v>
      </c>
      <c r="K237" s="18">
        <v>6044.59</v>
      </c>
      <c r="L237" s="18">
        <v>1524.29</v>
      </c>
      <c r="M237" s="7" t="s">
        <v>35</v>
      </c>
      <c r="N237" s="7" t="s">
        <v>43</v>
      </c>
      <c r="O237" s="7" t="s">
        <v>37</v>
      </c>
      <c r="P237" s="7" t="str">
        <f t="shared" si="9"/>
        <v>Mar</v>
      </c>
      <c r="Q237" s="7">
        <f t="shared" si="10"/>
        <v>2025</v>
      </c>
      <c r="R237" s="23">
        <f t="shared" si="11"/>
        <v>0.20138910908879518</v>
      </c>
    </row>
    <row r="238" spans="1:18">
      <c r="A238" s="7" t="s">
        <v>1260</v>
      </c>
      <c r="B238" s="8">
        <v>46155</v>
      </c>
      <c r="C238" s="7" t="s">
        <v>888</v>
      </c>
      <c r="D238" s="7" t="s">
        <v>56</v>
      </c>
      <c r="E238" s="7" t="s">
        <v>41</v>
      </c>
      <c r="F238" s="7" t="s">
        <v>153</v>
      </c>
      <c r="G238" s="7">
        <v>4</v>
      </c>
      <c r="H238" s="18">
        <v>1261.6600000000001</v>
      </c>
      <c r="I238" s="22">
        <v>0.1</v>
      </c>
      <c r="J238" s="18">
        <v>4541.9799999999996</v>
      </c>
      <c r="K238" s="18">
        <v>3508.68</v>
      </c>
      <c r="L238" s="18">
        <v>1033.3</v>
      </c>
      <c r="M238" s="7" t="s">
        <v>35</v>
      </c>
      <c r="N238" s="7" t="s">
        <v>63</v>
      </c>
      <c r="O238" s="7" t="s">
        <v>44</v>
      </c>
      <c r="P238" s="7" t="str">
        <f t="shared" si="9"/>
        <v>May</v>
      </c>
      <c r="Q238" s="7">
        <f t="shared" si="10"/>
        <v>2026</v>
      </c>
      <c r="R238" s="23">
        <f t="shared" si="11"/>
        <v>0.22749990092426653</v>
      </c>
    </row>
    <row r="239" spans="1:18">
      <c r="A239" s="7" t="s">
        <v>1559</v>
      </c>
      <c r="B239" s="8">
        <v>46068</v>
      </c>
      <c r="C239" s="7" t="s">
        <v>962</v>
      </c>
      <c r="D239" s="7" t="s">
        <v>134</v>
      </c>
      <c r="E239" s="7" t="s">
        <v>41</v>
      </c>
      <c r="F239" s="7" t="s">
        <v>124</v>
      </c>
      <c r="G239" s="7">
        <v>2</v>
      </c>
      <c r="H239" s="18">
        <v>1261.71</v>
      </c>
      <c r="I239" s="22">
        <v>0.2</v>
      </c>
      <c r="J239" s="18">
        <v>2018.74</v>
      </c>
      <c r="K239" s="18">
        <v>1698.52</v>
      </c>
      <c r="L239" s="18">
        <v>320.22000000000003</v>
      </c>
      <c r="M239" s="7" t="s">
        <v>35</v>
      </c>
      <c r="N239" s="7" t="s">
        <v>36</v>
      </c>
      <c r="O239" s="7" t="s">
        <v>44</v>
      </c>
      <c r="P239" s="7" t="str">
        <f t="shared" si="9"/>
        <v>Feb</v>
      </c>
      <c r="Q239" s="7">
        <f t="shared" si="10"/>
        <v>2026</v>
      </c>
      <c r="R239" s="23">
        <f t="shared" si="11"/>
        <v>0.15862369596877263</v>
      </c>
    </row>
    <row r="240" spans="1:18">
      <c r="A240" s="7" t="s">
        <v>1448</v>
      </c>
      <c r="B240" s="8">
        <v>45998</v>
      </c>
      <c r="C240" s="7" t="s">
        <v>1071</v>
      </c>
      <c r="D240" s="7" t="s">
        <v>66</v>
      </c>
      <c r="E240" s="7" t="s">
        <v>33</v>
      </c>
      <c r="F240" s="7" t="s">
        <v>67</v>
      </c>
      <c r="G240" s="7">
        <v>2</v>
      </c>
      <c r="H240" s="18">
        <v>1280.76</v>
      </c>
      <c r="I240" s="22">
        <v>0</v>
      </c>
      <c r="J240" s="18">
        <v>2561.52</v>
      </c>
      <c r="K240" s="18">
        <v>1683.01</v>
      </c>
      <c r="L240" s="18">
        <v>878.51</v>
      </c>
      <c r="M240" s="7" t="s">
        <v>35</v>
      </c>
      <c r="N240" s="7" t="s">
        <v>43</v>
      </c>
      <c r="O240" s="7" t="s">
        <v>37</v>
      </c>
      <c r="P240" s="7" t="str">
        <f t="shared" si="9"/>
        <v>Dec</v>
      </c>
      <c r="Q240" s="7">
        <f t="shared" si="10"/>
        <v>2025</v>
      </c>
      <c r="R240" s="23">
        <f t="shared" si="11"/>
        <v>0.34296433367687934</v>
      </c>
    </row>
    <row r="241" spans="1:18">
      <c r="A241" s="7" t="s">
        <v>1078</v>
      </c>
      <c r="B241" s="8">
        <v>45739</v>
      </c>
      <c r="C241" s="7" t="s">
        <v>454</v>
      </c>
      <c r="D241" s="7" t="s">
        <v>40</v>
      </c>
      <c r="E241" s="7" t="s">
        <v>61</v>
      </c>
      <c r="F241" s="7" t="s">
        <v>62</v>
      </c>
      <c r="G241" s="7">
        <v>5</v>
      </c>
      <c r="H241" s="18">
        <v>1281.83</v>
      </c>
      <c r="I241" s="22">
        <v>0.15</v>
      </c>
      <c r="J241" s="18">
        <v>5447.78</v>
      </c>
      <c r="K241" s="18">
        <v>3916.38</v>
      </c>
      <c r="L241" s="18">
        <v>1531.4</v>
      </c>
      <c r="M241" s="7" t="s">
        <v>35</v>
      </c>
      <c r="N241" s="7" t="s">
        <v>71</v>
      </c>
      <c r="O241" s="7" t="s">
        <v>44</v>
      </c>
      <c r="P241" s="7" t="str">
        <f t="shared" si="9"/>
        <v>Mar</v>
      </c>
      <c r="Q241" s="7">
        <f t="shared" si="10"/>
        <v>2025</v>
      </c>
      <c r="R241" s="23">
        <f t="shared" si="11"/>
        <v>0.28110533097885748</v>
      </c>
    </row>
    <row r="242" spans="1:18">
      <c r="A242" s="7" t="s">
        <v>984</v>
      </c>
      <c r="B242" s="8">
        <v>46156</v>
      </c>
      <c r="C242" s="7" t="s">
        <v>284</v>
      </c>
      <c r="D242" s="7" t="s">
        <v>40</v>
      </c>
      <c r="E242" s="7" t="s">
        <v>41</v>
      </c>
      <c r="F242" s="7" t="s">
        <v>42</v>
      </c>
      <c r="G242" s="7">
        <v>3</v>
      </c>
      <c r="H242" s="18">
        <v>1282.05</v>
      </c>
      <c r="I242" s="22">
        <v>0.2</v>
      </c>
      <c r="J242" s="18">
        <v>3076.92</v>
      </c>
      <c r="K242" s="18">
        <v>1869.49</v>
      </c>
      <c r="L242" s="18">
        <v>1207.43</v>
      </c>
      <c r="M242" s="7" t="s">
        <v>57</v>
      </c>
      <c r="N242" s="7" t="s">
        <v>36</v>
      </c>
      <c r="O242" s="7" t="s">
        <v>37</v>
      </c>
      <c r="P242" s="7" t="str">
        <f t="shared" si="9"/>
        <v>May</v>
      </c>
      <c r="Q242" s="7">
        <f t="shared" si="10"/>
        <v>2026</v>
      </c>
      <c r="R242" s="23">
        <f t="shared" si="11"/>
        <v>0.39241514241514242</v>
      </c>
    </row>
    <row r="243" spans="1:18">
      <c r="A243" s="7" t="s">
        <v>1504</v>
      </c>
      <c r="B243" s="8">
        <v>46246</v>
      </c>
      <c r="C243" s="7" t="s">
        <v>727</v>
      </c>
      <c r="D243" s="7" t="s">
        <v>40</v>
      </c>
      <c r="E243" s="7" t="s">
        <v>61</v>
      </c>
      <c r="F243" s="7" t="s">
        <v>84</v>
      </c>
      <c r="G243" s="7">
        <v>5</v>
      </c>
      <c r="H243" s="18">
        <v>1283.54</v>
      </c>
      <c r="I243" s="22">
        <v>0.1</v>
      </c>
      <c r="J243" s="18">
        <v>5775.93</v>
      </c>
      <c r="K243" s="18">
        <v>4267.6000000000004</v>
      </c>
      <c r="L243" s="18">
        <v>1508.33</v>
      </c>
      <c r="M243" s="7" t="s">
        <v>57</v>
      </c>
      <c r="N243" s="7" t="s">
        <v>71</v>
      </c>
      <c r="O243" s="7" t="s">
        <v>44</v>
      </c>
      <c r="P243" s="7" t="str">
        <f t="shared" si="9"/>
        <v>Aug</v>
      </c>
      <c r="Q243" s="7">
        <f t="shared" si="10"/>
        <v>2026</v>
      </c>
      <c r="R243" s="23">
        <f t="shared" si="11"/>
        <v>0.2611406301669168</v>
      </c>
    </row>
    <row r="244" spans="1:18">
      <c r="A244" s="7" t="s">
        <v>1756</v>
      </c>
      <c r="B244" s="8">
        <v>46026</v>
      </c>
      <c r="C244" s="7" t="s">
        <v>1757</v>
      </c>
      <c r="D244" s="7" t="s">
        <v>66</v>
      </c>
      <c r="E244" s="7" t="s">
        <v>61</v>
      </c>
      <c r="F244" s="7" t="s">
        <v>84</v>
      </c>
      <c r="G244" s="7">
        <v>2</v>
      </c>
      <c r="H244" s="18">
        <v>1300.6500000000001</v>
      </c>
      <c r="I244" s="22">
        <v>0</v>
      </c>
      <c r="J244" s="18">
        <v>2601.3000000000002</v>
      </c>
      <c r="K244" s="18">
        <v>2070.52</v>
      </c>
      <c r="L244" s="18">
        <v>530.78</v>
      </c>
      <c r="M244" s="7" t="s">
        <v>57</v>
      </c>
      <c r="N244" s="7" t="s">
        <v>63</v>
      </c>
      <c r="O244" s="7" t="s">
        <v>44</v>
      </c>
      <c r="P244" s="7" t="str">
        <f t="shared" si="9"/>
        <v>Jan</v>
      </c>
      <c r="Q244" s="7">
        <f t="shared" si="10"/>
        <v>2026</v>
      </c>
      <c r="R244" s="23">
        <f t="shared" si="11"/>
        <v>0.20404413178026368</v>
      </c>
    </row>
    <row r="245" spans="1:18">
      <c r="A245" s="7" t="s">
        <v>333</v>
      </c>
      <c r="B245" s="8">
        <v>46035</v>
      </c>
      <c r="C245" s="7" t="s">
        <v>94</v>
      </c>
      <c r="D245" s="7" t="s">
        <v>74</v>
      </c>
      <c r="E245" s="7" t="s">
        <v>48</v>
      </c>
      <c r="F245" s="7" t="s">
        <v>102</v>
      </c>
      <c r="G245" s="7">
        <v>3</v>
      </c>
      <c r="H245" s="18">
        <v>1304.32</v>
      </c>
      <c r="I245" s="22">
        <v>0.1</v>
      </c>
      <c r="J245" s="18">
        <v>3521.66</v>
      </c>
      <c r="K245" s="18">
        <v>2063.1799999999998</v>
      </c>
      <c r="L245" s="18">
        <v>1458.48</v>
      </c>
      <c r="M245" s="7" t="s">
        <v>57</v>
      </c>
      <c r="N245" s="7" t="s">
        <v>36</v>
      </c>
      <c r="O245" s="7" t="s">
        <v>44</v>
      </c>
      <c r="P245" s="7" t="str">
        <f t="shared" si="9"/>
        <v>Jan</v>
      </c>
      <c r="Q245" s="7">
        <f t="shared" si="10"/>
        <v>2026</v>
      </c>
      <c r="R245" s="23">
        <f t="shared" si="11"/>
        <v>0.41414560179006493</v>
      </c>
    </row>
    <row r="246" spans="1:18">
      <c r="A246" s="7" t="s">
        <v>932</v>
      </c>
      <c r="B246" s="8">
        <v>45922</v>
      </c>
      <c r="C246" s="7" t="s">
        <v>106</v>
      </c>
      <c r="D246" s="7" t="s">
        <v>66</v>
      </c>
      <c r="E246" s="7" t="s">
        <v>48</v>
      </c>
      <c r="F246" s="7" t="s">
        <v>113</v>
      </c>
      <c r="G246" s="7">
        <v>1</v>
      </c>
      <c r="H246" s="18">
        <v>1309.21</v>
      </c>
      <c r="I246" s="22">
        <v>0.2</v>
      </c>
      <c r="J246" s="18">
        <v>1047.3699999999999</v>
      </c>
      <c r="K246" s="18">
        <v>788.35</v>
      </c>
      <c r="L246" s="18">
        <v>259.02</v>
      </c>
      <c r="M246" s="7" t="s">
        <v>57</v>
      </c>
      <c r="N246" s="7" t="s">
        <v>36</v>
      </c>
      <c r="O246" s="7" t="s">
        <v>44</v>
      </c>
      <c r="P246" s="7" t="str">
        <f t="shared" si="9"/>
        <v>Sep</v>
      </c>
      <c r="Q246" s="7">
        <f t="shared" si="10"/>
        <v>2025</v>
      </c>
      <c r="R246" s="23">
        <f t="shared" si="11"/>
        <v>0.24730515481634954</v>
      </c>
    </row>
    <row r="247" spans="1:18">
      <c r="A247" s="7" t="s">
        <v>430</v>
      </c>
      <c r="B247" s="8">
        <v>46166</v>
      </c>
      <c r="C247" s="7" t="s">
        <v>431</v>
      </c>
      <c r="D247" s="7" t="s">
        <v>66</v>
      </c>
      <c r="E247" s="7" t="s">
        <v>33</v>
      </c>
      <c r="F247" s="7" t="s">
        <v>92</v>
      </c>
      <c r="G247" s="7">
        <v>2</v>
      </c>
      <c r="H247" s="18">
        <v>1310.42</v>
      </c>
      <c r="I247" s="22">
        <v>0.2</v>
      </c>
      <c r="J247" s="18">
        <v>2096.67</v>
      </c>
      <c r="K247" s="18">
        <v>1275.78</v>
      </c>
      <c r="L247" s="18">
        <v>820.89</v>
      </c>
      <c r="M247" s="7" t="s">
        <v>35</v>
      </c>
      <c r="N247" s="7" t="s">
        <v>43</v>
      </c>
      <c r="O247" s="7" t="s">
        <v>44</v>
      </c>
      <c r="P247" s="7" t="str">
        <f t="shared" si="9"/>
        <v>May</v>
      </c>
      <c r="Q247" s="7">
        <f t="shared" si="10"/>
        <v>2026</v>
      </c>
      <c r="R247" s="23">
        <f t="shared" si="11"/>
        <v>0.39152084018944322</v>
      </c>
    </row>
    <row r="248" spans="1:18">
      <c r="A248" s="7" t="s">
        <v>1627</v>
      </c>
      <c r="B248" s="8">
        <v>46051</v>
      </c>
      <c r="C248" s="7" t="s">
        <v>990</v>
      </c>
      <c r="D248" s="7" t="s">
        <v>52</v>
      </c>
      <c r="E248" s="7" t="s">
        <v>61</v>
      </c>
      <c r="F248" s="7" t="s">
        <v>84</v>
      </c>
      <c r="G248" s="7">
        <v>4</v>
      </c>
      <c r="H248" s="18">
        <v>1313.01</v>
      </c>
      <c r="I248" s="22">
        <v>0.15</v>
      </c>
      <c r="J248" s="18">
        <v>4464.2299999999996</v>
      </c>
      <c r="K248" s="18">
        <v>3143.61</v>
      </c>
      <c r="L248" s="18">
        <v>1320.62</v>
      </c>
      <c r="M248" s="7" t="s">
        <v>35</v>
      </c>
      <c r="N248" s="7" t="s">
        <v>43</v>
      </c>
      <c r="O248" s="7" t="s">
        <v>37</v>
      </c>
      <c r="P248" s="7" t="str">
        <f t="shared" si="9"/>
        <v>Jan</v>
      </c>
      <c r="Q248" s="7">
        <f t="shared" si="10"/>
        <v>2026</v>
      </c>
      <c r="R248" s="23">
        <f t="shared" si="11"/>
        <v>0.29582257186569688</v>
      </c>
    </row>
    <row r="249" spans="1:18">
      <c r="A249" s="7" t="s">
        <v>244</v>
      </c>
      <c r="B249" s="8">
        <v>46152</v>
      </c>
      <c r="C249" s="7" t="s">
        <v>245</v>
      </c>
      <c r="D249" s="7" t="s">
        <v>40</v>
      </c>
      <c r="E249" s="7" t="s">
        <v>61</v>
      </c>
      <c r="F249" s="7" t="s">
        <v>84</v>
      </c>
      <c r="G249" s="7">
        <v>4</v>
      </c>
      <c r="H249" s="18">
        <v>1314.56</v>
      </c>
      <c r="I249" s="22">
        <v>0.2</v>
      </c>
      <c r="J249" s="18">
        <v>4206.59</v>
      </c>
      <c r="K249" s="18">
        <v>3096.1</v>
      </c>
      <c r="L249" s="18">
        <v>1110.49</v>
      </c>
      <c r="M249" s="7" t="s">
        <v>35</v>
      </c>
      <c r="N249" s="7" t="s">
        <v>36</v>
      </c>
      <c r="O249" s="7" t="s">
        <v>44</v>
      </c>
      <c r="P249" s="7" t="str">
        <f t="shared" si="9"/>
        <v>May</v>
      </c>
      <c r="Q249" s="7">
        <f t="shared" si="10"/>
        <v>2026</v>
      </c>
      <c r="R249" s="23">
        <f t="shared" si="11"/>
        <v>0.26398817094130878</v>
      </c>
    </row>
    <row r="250" spans="1:18">
      <c r="A250" s="7" t="s">
        <v>1374</v>
      </c>
      <c r="B250" s="8">
        <v>45997</v>
      </c>
      <c r="C250" s="7" t="s">
        <v>550</v>
      </c>
      <c r="D250" s="7" t="s">
        <v>52</v>
      </c>
      <c r="E250" s="7" t="s">
        <v>48</v>
      </c>
      <c r="F250" s="7" t="s">
        <v>49</v>
      </c>
      <c r="G250" s="7">
        <v>4</v>
      </c>
      <c r="H250" s="18">
        <v>1315.07</v>
      </c>
      <c r="I250" s="22">
        <v>0</v>
      </c>
      <c r="J250" s="18">
        <v>5260.28</v>
      </c>
      <c r="K250" s="18">
        <v>3109.05</v>
      </c>
      <c r="L250" s="18">
        <v>2151.23</v>
      </c>
      <c r="M250" s="7" t="s">
        <v>35</v>
      </c>
      <c r="N250" s="7" t="s">
        <v>63</v>
      </c>
      <c r="O250" s="7" t="s">
        <v>37</v>
      </c>
      <c r="P250" s="7" t="str">
        <f t="shared" si="9"/>
        <v>Dec</v>
      </c>
      <c r="Q250" s="7">
        <f t="shared" si="10"/>
        <v>2025</v>
      </c>
      <c r="R250" s="23">
        <f t="shared" si="11"/>
        <v>0.40895731786140666</v>
      </c>
    </row>
    <row r="251" spans="1:18">
      <c r="A251" s="7" t="s">
        <v>606</v>
      </c>
      <c r="B251" s="8">
        <v>46264</v>
      </c>
      <c r="C251" s="7" t="s">
        <v>607</v>
      </c>
      <c r="D251" s="7" t="s">
        <v>74</v>
      </c>
      <c r="E251" s="7" t="s">
        <v>61</v>
      </c>
      <c r="F251" s="7" t="s">
        <v>84</v>
      </c>
      <c r="G251" s="7">
        <v>6</v>
      </c>
      <c r="H251" s="18">
        <v>1318.7</v>
      </c>
      <c r="I251" s="22">
        <v>0</v>
      </c>
      <c r="J251" s="18">
        <v>7912.2</v>
      </c>
      <c r="K251" s="18">
        <v>4698.3</v>
      </c>
      <c r="L251" s="18">
        <v>3213.9</v>
      </c>
      <c r="M251" s="7" t="s">
        <v>57</v>
      </c>
      <c r="N251" s="7" t="s">
        <v>63</v>
      </c>
      <c r="O251" s="7" t="s">
        <v>44</v>
      </c>
      <c r="P251" s="7" t="str">
        <f t="shared" si="9"/>
        <v>Aug</v>
      </c>
      <c r="Q251" s="7">
        <f t="shared" si="10"/>
        <v>2026</v>
      </c>
      <c r="R251" s="23">
        <f t="shared" si="11"/>
        <v>0.40619549556381285</v>
      </c>
    </row>
    <row r="252" spans="1:18">
      <c r="A252" s="7" t="s">
        <v>1735</v>
      </c>
      <c r="B252" s="8">
        <v>45818</v>
      </c>
      <c r="C252" s="7" t="s">
        <v>533</v>
      </c>
      <c r="D252" s="7" t="s">
        <v>47</v>
      </c>
      <c r="E252" s="7" t="s">
        <v>48</v>
      </c>
      <c r="F252" s="7" t="s">
        <v>99</v>
      </c>
      <c r="G252" s="7">
        <v>3</v>
      </c>
      <c r="H252" s="18">
        <v>1319.2</v>
      </c>
      <c r="I252" s="22">
        <v>0</v>
      </c>
      <c r="J252" s="18">
        <v>3957.6</v>
      </c>
      <c r="K252" s="18">
        <v>2518.75</v>
      </c>
      <c r="L252" s="18">
        <v>1438.85</v>
      </c>
      <c r="M252" s="7" t="s">
        <v>57</v>
      </c>
      <c r="N252" s="7" t="s">
        <v>63</v>
      </c>
      <c r="O252" s="7" t="s">
        <v>44</v>
      </c>
      <c r="P252" s="7" t="str">
        <f t="shared" si="9"/>
        <v>Jun</v>
      </c>
      <c r="Q252" s="7">
        <f t="shared" si="10"/>
        <v>2025</v>
      </c>
      <c r="R252" s="23">
        <f t="shared" si="11"/>
        <v>0.36356630280978369</v>
      </c>
    </row>
    <row r="253" spans="1:18">
      <c r="A253" s="7" t="s">
        <v>1035</v>
      </c>
      <c r="B253" s="8">
        <v>45758</v>
      </c>
      <c r="C253" s="7" t="s">
        <v>65</v>
      </c>
      <c r="D253" s="7" t="s">
        <v>56</v>
      </c>
      <c r="E253" s="7" t="s">
        <v>33</v>
      </c>
      <c r="F253" s="7" t="s">
        <v>67</v>
      </c>
      <c r="G253" s="7">
        <v>1</v>
      </c>
      <c r="H253" s="18">
        <v>1323.07</v>
      </c>
      <c r="I253" s="22">
        <v>0.15</v>
      </c>
      <c r="J253" s="18">
        <v>1124.6099999999999</v>
      </c>
      <c r="K253" s="18">
        <v>703.73</v>
      </c>
      <c r="L253" s="18">
        <v>420.88</v>
      </c>
      <c r="M253" s="7" t="s">
        <v>35</v>
      </c>
      <c r="N253" s="7" t="s">
        <v>63</v>
      </c>
      <c r="O253" s="7" t="s">
        <v>44</v>
      </c>
      <c r="P253" s="7" t="str">
        <f t="shared" si="9"/>
        <v>Apr</v>
      </c>
      <c r="Q253" s="7">
        <f t="shared" si="10"/>
        <v>2025</v>
      </c>
      <c r="R253" s="23">
        <f t="shared" si="11"/>
        <v>0.37424529392411593</v>
      </c>
    </row>
    <row r="254" spans="1:18">
      <c r="A254" s="7" t="s">
        <v>460</v>
      </c>
      <c r="B254" s="8">
        <v>46056</v>
      </c>
      <c r="C254" s="7" t="s">
        <v>461</v>
      </c>
      <c r="D254" s="7" t="s">
        <v>74</v>
      </c>
      <c r="E254" s="7" t="s">
        <v>33</v>
      </c>
      <c r="F254" s="7" t="s">
        <v>176</v>
      </c>
      <c r="G254" s="7">
        <v>1</v>
      </c>
      <c r="H254" s="18">
        <v>1327.51</v>
      </c>
      <c r="I254" s="22">
        <v>0</v>
      </c>
      <c r="J254" s="18">
        <v>1327.51</v>
      </c>
      <c r="K254" s="18">
        <v>753.2</v>
      </c>
      <c r="L254" s="18">
        <v>574.30999999999995</v>
      </c>
      <c r="M254" s="7" t="s">
        <v>57</v>
      </c>
      <c r="N254" s="7" t="s">
        <v>71</v>
      </c>
      <c r="O254" s="7" t="s">
        <v>44</v>
      </c>
      <c r="P254" s="7" t="str">
        <f t="shared" si="9"/>
        <v>Feb</v>
      </c>
      <c r="Q254" s="7">
        <f t="shared" si="10"/>
        <v>2026</v>
      </c>
      <c r="R254" s="23">
        <f t="shared" si="11"/>
        <v>0.43262197648228634</v>
      </c>
    </row>
    <row r="255" spans="1:18">
      <c r="A255" s="7" t="s">
        <v>1572</v>
      </c>
      <c r="B255" s="8">
        <v>46042</v>
      </c>
      <c r="C255" s="7" t="s">
        <v>1573</v>
      </c>
      <c r="D255" s="7" t="s">
        <v>32</v>
      </c>
      <c r="E255" s="7" t="s">
        <v>61</v>
      </c>
      <c r="F255" s="7" t="s">
        <v>129</v>
      </c>
      <c r="G255" s="7">
        <v>2</v>
      </c>
      <c r="H255" s="18">
        <v>1342.75</v>
      </c>
      <c r="I255" s="22">
        <v>0</v>
      </c>
      <c r="J255" s="18">
        <v>2685.5</v>
      </c>
      <c r="K255" s="18">
        <v>1875.46</v>
      </c>
      <c r="L255" s="18">
        <v>810.04</v>
      </c>
      <c r="M255" s="7" t="s">
        <v>57</v>
      </c>
      <c r="N255" s="7" t="s">
        <v>63</v>
      </c>
      <c r="O255" s="7" t="s">
        <v>44</v>
      </c>
      <c r="P255" s="7" t="str">
        <f t="shared" si="9"/>
        <v>Jan</v>
      </c>
      <c r="Q255" s="7">
        <f t="shared" si="10"/>
        <v>2026</v>
      </c>
      <c r="R255" s="23">
        <f t="shared" si="11"/>
        <v>0.30163470489666727</v>
      </c>
    </row>
    <row r="256" spans="1:18">
      <c r="A256" s="7" t="s">
        <v>723</v>
      </c>
      <c r="B256" s="8">
        <v>46237</v>
      </c>
      <c r="C256" s="7" t="s">
        <v>348</v>
      </c>
      <c r="D256" s="7" t="s">
        <v>56</v>
      </c>
      <c r="E256" s="7" t="s">
        <v>41</v>
      </c>
      <c r="F256" s="7" t="s">
        <v>42</v>
      </c>
      <c r="G256" s="7">
        <v>4</v>
      </c>
      <c r="H256" s="18">
        <v>1347.75</v>
      </c>
      <c r="I256" s="22">
        <v>0.2</v>
      </c>
      <c r="J256" s="18">
        <v>4312.8</v>
      </c>
      <c r="K256" s="18">
        <v>2596.62</v>
      </c>
      <c r="L256" s="18">
        <v>1716.18</v>
      </c>
      <c r="M256" s="7" t="s">
        <v>57</v>
      </c>
      <c r="N256" s="7" t="s">
        <v>36</v>
      </c>
      <c r="O256" s="7" t="s">
        <v>44</v>
      </c>
      <c r="P256" s="7" t="str">
        <f t="shared" si="9"/>
        <v>Aug</v>
      </c>
      <c r="Q256" s="7">
        <f t="shared" si="10"/>
        <v>2026</v>
      </c>
      <c r="R256" s="23">
        <f t="shared" si="11"/>
        <v>0.39792710072342791</v>
      </c>
    </row>
    <row r="257" spans="1:18">
      <c r="A257" s="7" t="s">
        <v>633</v>
      </c>
      <c r="B257" s="8">
        <v>45688</v>
      </c>
      <c r="C257" s="7" t="s">
        <v>634</v>
      </c>
      <c r="D257" s="7" t="s">
        <v>40</v>
      </c>
      <c r="E257" s="7" t="s">
        <v>61</v>
      </c>
      <c r="F257" s="7" t="s">
        <v>62</v>
      </c>
      <c r="G257" s="7">
        <v>3</v>
      </c>
      <c r="H257" s="18">
        <v>1349.14</v>
      </c>
      <c r="I257" s="22">
        <v>0.2</v>
      </c>
      <c r="J257" s="18">
        <v>3237.94</v>
      </c>
      <c r="K257" s="18">
        <v>1813.44</v>
      </c>
      <c r="L257" s="18">
        <v>1424.5</v>
      </c>
      <c r="M257" s="7" t="s">
        <v>57</v>
      </c>
      <c r="N257" s="7" t="s">
        <v>71</v>
      </c>
      <c r="O257" s="7" t="s">
        <v>44</v>
      </c>
      <c r="P257" s="7" t="str">
        <f t="shared" si="9"/>
        <v>Jan</v>
      </c>
      <c r="Q257" s="7">
        <f t="shared" si="10"/>
        <v>2025</v>
      </c>
      <c r="R257" s="23">
        <f t="shared" si="11"/>
        <v>0.43994020889825014</v>
      </c>
    </row>
    <row r="258" spans="1:18">
      <c r="A258" s="7" t="s">
        <v>959</v>
      </c>
      <c r="B258" s="8">
        <v>45881</v>
      </c>
      <c r="C258" s="7" t="s">
        <v>401</v>
      </c>
      <c r="D258" s="7" t="s">
        <v>134</v>
      </c>
      <c r="E258" s="7" t="s">
        <v>33</v>
      </c>
      <c r="F258" s="7" t="s">
        <v>176</v>
      </c>
      <c r="G258" s="7">
        <v>5</v>
      </c>
      <c r="H258" s="18">
        <v>1350.74</v>
      </c>
      <c r="I258" s="22">
        <v>0</v>
      </c>
      <c r="J258" s="18">
        <v>6753.7</v>
      </c>
      <c r="K258" s="18">
        <v>5170.2299999999996</v>
      </c>
      <c r="L258" s="18">
        <v>1583.47</v>
      </c>
      <c r="M258" s="7" t="s">
        <v>57</v>
      </c>
      <c r="N258" s="7" t="s">
        <v>36</v>
      </c>
      <c r="O258" s="7" t="s">
        <v>44</v>
      </c>
      <c r="P258" s="7" t="str">
        <f t="shared" ref="P258:P321" si="12">TEXT(B258,"mmm")</f>
        <v>Aug</v>
      </c>
      <c r="Q258" s="7">
        <f t="shared" ref="Q258:Q321" si="13">YEAR(B258)</f>
        <v>2025</v>
      </c>
      <c r="R258" s="23">
        <f t="shared" ref="R258:R321" si="14">IFERROR(L258/J258,0)</f>
        <v>0.23445962953640229</v>
      </c>
    </row>
    <row r="259" spans="1:18">
      <c r="A259" s="7" t="s">
        <v>1693</v>
      </c>
      <c r="B259" s="8">
        <v>45685</v>
      </c>
      <c r="C259" s="7" t="s">
        <v>1243</v>
      </c>
      <c r="D259" s="7" t="s">
        <v>66</v>
      </c>
      <c r="E259" s="7" t="s">
        <v>61</v>
      </c>
      <c r="F259" s="7" t="s">
        <v>129</v>
      </c>
      <c r="G259" s="7">
        <v>6</v>
      </c>
      <c r="H259" s="18">
        <v>1357.88</v>
      </c>
      <c r="I259" s="22">
        <v>0</v>
      </c>
      <c r="J259" s="18">
        <v>8147.28</v>
      </c>
      <c r="K259" s="18">
        <v>6496.79</v>
      </c>
      <c r="L259" s="18">
        <v>1650.49</v>
      </c>
      <c r="M259" s="7" t="s">
        <v>35</v>
      </c>
      <c r="N259" s="7" t="s">
        <v>71</v>
      </c>
      <c r="O259" s="7" t="s">
        <v>44</v>
      </c>
      <c r="P259" s="7" t="str">
        <f t="shared" si="12"/>
        <v>Jan</v>
      </c>
      <c r="Q259" s="7">
        <f t="shared" si="13"/>
        <v>2025</v>
      </c>
      <c r="R259" s="23">
        <f t="shared" si="14"/>
        <v>0.20258172052513232</v>
      </c>
    </row>
    <row r="260" spans="1:18">
      <c r="A260" s="7" t="s">
        <v>556</v>
      </c>
      <c r="B260" s="8">
        <v>46131</v>
      </c>
      <c r="C260" s="7" t="s">
        <v>557</v>
      </c>
      <c r="D260" s="7" t="s">
        <v>134</v>
      </c>
      <c r="E260" s="7" t="s">
        <v>48</v>
      </c>
      <c r="F260" s="7" t="s">
        <v>113</v>
      </c>
      <c r="G260" s="7">
        <v>5</v>
      </c>
      <c r="H260" s="18">
        <v>1367.29</v>
      </c>
      <c r="I260" s="22">
        <v>0.05</v>
      </c>
      <c r="J260" s="18">
        <v>6494.63</v>
      </c>
      <c r="K260" s="18">
        <v>5329.13</v>
      </c>
      <c r="L260" s="18">
        <v>1165.5</v>
      </c>
      <c r="M260" s="7" t="s">
        <v>57</v>
      </c>
      <c r="N260" s="7" t="s">
        <v>63</v>
      </c>
      <c r="O260" s="7" t="s">
        <v>44</v>
      </c>
      <c r="P260" s="7" t="str">
        <f t="shared" si="12"/>
        <v>Apr</v>
      </c>
      <c r="Q260" s="7">
        <f t="shared" si="13"/>
        <v>2026</v>
      </c>
      <c r="R260" s="23">
        <f t="shared" si="14"/>
        <v>0.17945595053143903</v>
      </c>
    </row>
    <row r="261" spans="1:18">
      <c r="A261" s="7" t="s">
        <v>1583</v>
      </c>
      <c r="B261" s="8">
        <v>45739</v>
      </c>
      <c r="C261" s="7" t="s">
        <v>1584</v>
      </c>
      <c r="D261" s="7" t="s">
        <v>60</v>
      </c>
      <c r="E261" s="7" t="s">
        <v>48</v>
      </c>
      <c r="F261" s="7" t="s">
        <v>70</v>
      </c>
      <c r="G261" s="7">
        <v>1</v>
      </c>
      <c r="H261" s="18">
        <v>1367.82</v>
      </c>
      <c r="I261" s="22">
        <v>0</v>
      </c>
      <c r="J261" s="18">
        <v>1367.82</v>
      </c>
      <c r="K261" s="18">
        <v>778.33</v>
      </c>
      <c r="L261" s="18">
        <v>589.49</v>
      </c>
      <c r="M261" s="7" t="s">
        <v>57</v>
      </c>
      <c r="N261" s="7" t="s">
        <v>36</v>
      </c>
      <c r="O261" s="7" t="s">
        <v>44</v>
      </c>
      <c r="P261" s="7" t="str">
        <f t="shared" si="12"/>
        <v>Mar</v>
      </c>
      <c r="Q261" s="7">
        <f t="shared" si="13"/>
        <v>2025</v>
      </c>
      <c r="R261" s="23">
        <f t="shared" si="14"/>
        <v>0.430970449328128</v>
      </c>
    </row>
    <row r="262" spans="1:18">
      <c r="A262" s="7" t="s">
        <v>325</v>
      </c>
      <c r="B262" s="8">
        <v>45808</v>
      </c>
      <c r="C262" s="7" t="s">
        <v>326</v>
      </c>
      <c r="D262" s="7" t="s">
        <v>52</v>
      </c>
      <c r="E262" s="7" t="s">
        <v>33</v>
      </c>
      <c r="F262" s="7" t="s">
        <v>34</v>
      </c>
      <c r="G262" s="7">
        <v>1</v>
      </c>
      <c r="H262" s="18">
        <v>1370.14</v>
      </c>
      <c r="I262" s="22">
        <v>0.05</v>
      </c>
      <c r="J262" s="18">
        <v>1301.6300000000001</v>
      </c>
      <c r="K262" s="18">
        <v>954.09</v>
      </c>
      <c r="L262" s="18">
        <v>347.54</v>
      </c>
      <c r="M262" s="7" t="s">
        <v>35</v>
      </c>
      <c r="N262" s="7" t="s">
        <v>63</v>
      </c>
      <c r="O262" s="7" t="s">
        <v>44</v>
      </c>
      <c r="P262" s="7" t="str">
        <f t="shared" si="12"/>
        <v>May</v>
      </c>
      <c r="Q262" s="7">
        <f t="shared" si="13"/>
        <v>2025</v>
      </c>
      <c r="R262" s="23">
        <f t="shared" si="14"/>
        <v>0.2670036800012292</v>
      </c>
    </row>
    <row r="263" spans="1:18">
      <c r="A263" s="7" t="s">
        <v>1288</v>
      </c>
      <c r="B263" s="8">
        <v>45794</v>
      </c>
      <c r="C263" s="7" t="s">
        <v>1190</v>
      </c>
      <c r="D263" s="7" t="s">
        <v>134</v>
      </c>
      <c r="E263" s="7" t="s">
        <v>41</v>
      </c>
      <c r="F263" s="7" t="s">
        <v>119</v>
      </c>
      <c r="G263" s="7">
        <v>5</v>
      </c>
      <c r="H263" s="18">
        <v>1373.45</v>
      </c>
      <c r="I263" s="22">
        <v>0.05</v>
      </c>
      <c r="J263" s="18">
        <v>6523.89</v>
      </c>
      <c r="K263" s="18">
        <v>5358.39</v>
      </c>
      <c r="L263" s="18">
        <v>1165.5</v>
      </c>
      <c r="M263" s="7" t="s">
        <v>57</v>
      </c>
      <c r="N263" s="7" t="s">
        <v>43</v>
      </c>
      <c r="O263" s="7" t="s">
        <v>37</v>
      </c>
      <c r="P263" s="7" t="str">
        <f t="shared" si="12"/>
        <v>May</v>
      </c>
      <c r="Q263" s="7">
        <f t="shared" si="13"/>
        <v>2025</v>
      </c>
      <c r="R263" s="23">
        <f t="shared" si="14"/>
        <v>0.17865108087352791</v>
      </c>
    </row>
    <row r="264" spans="1:18">
      <c r="A264" s="7" t="s">
        <v>1249</v>
      </c>
      <c r="B264" s="8">
        <v>46068</v>
      </c>
      <c r="C264" s="7" t="s">
        <v>1250</v>
      </c>
      <c r="D264" s="7" t="s">
        <v>95</v>
      </c>
      <c r="E264" s="7" t="s">
        <v>48</v>
      </c>
      <c r="F264" s="7" t="s">
        <v>102</v>
      </c>
      <c r="G264" s="7">
        <v>6</v>
      </c>
      <c r="H264" s="18">
        <v>1382.47</v>
      </c>
      <c r="I264" s="22">
        <v>0.15</v>
      </c>
      <c r="J264" s="18">
        <v>7050.6</v>
      </c>
      <c r="K264" s="18">
        <v>4839.8999999999996</v>
      </c>
      <c r="L264" s="18">
        <v>2210.6999999999998</v>
      </c>
      <c r="M264" s="7" t="s">
        <v>57</v>
      </c>
      <c r="N264" s="7" t="s">
        <v>71</v>
      </c>
      <c r="O264" s="7" t="s">
        <v>37</v>
      </c>
      <c r="P264" s="7" t="str">
        <f t="shared" si="12"/>
        <v>Feb</v>
      </c>
      <c r="Q264" s="7">
        <f t="shared" si="13"/>
        <v>2026</v>
      </c>
      <c r="R264" s="23">
        <f t="shared" si="14"/>
        <v>0.31354778316738996</v>
      </c>
    </row>
    <row r="265" spans="1:18">
      <c r="A265" s="7" t="s">
        <v>790</v>
      </c>
      <c r="B265" s="8">
        <v>46138</v>
      </c>
      <c r="C265" s="7" t="s">
        <v>791</v>
      </c>
      <c r="D265" s="7" t="s">
        <v>52</v>
      </c>
      <c r="E265" s="7" t="s">
        <v>61</v>
      </c>
      <c r="F265" s="7" t="s">
        <v>81</v>
      </c>
      <c r="G265" s="7">
        <v>5</v>
      </c>
      <c r="H265" s="18">
        <v>1385.96</v>
      </c>
      <c r="I265" s="22">
        <v>0</v>
      </c>
      <c r="J265" s="18">
        <v>6929.8</v>
      </c>
      <c r="K265" s="18">
        <v>4860.97</v>
      </c>
      <c r="L265" s="18">
        <v>2068.83</v>
      </c>
      <c r="M265" s="7" t="s">
        <v>57</v>
      </c>
      <c r="N265" s="7" t="s">
        <v>63</v>
      </c>
      <c r="O265" s="7" t="s">
        <v>44</v>
      </c>
      <c r="P265" s="7" t="str">
        <f t="shared" si="12"/>
        <v>Apr</v>
      </c>
      <c r="Q265" s="7">
        <f t="shared" si="13"/>
        <v>2026</v>
      </c>
      <c r="R265" s="23">
        <f t="shared" si="14"/>
        <v>0.2985410834367514</v>
      </c>
    </row>
    <row r="266" spans="1:18">
      <c r="A266" s="7" t="s">
        <v>505</v>
      </c>
      <c r="B266" s="8">
        <v>45956</v>
      </c>
      <c r="C266" s="7" t="s">
        <v>211</v>
      </c>
      <c r="D266" s="7" t="s">
        <v>95</v>
      </c>
      <c r="E266" s="7" t="s">
        <v>48</v>
      </c>
      <c r="F266" s="7" t="s">
        <v>70</v>
      </c>
      <c r="G266" s="7">
        <v>2</v>
      </c>
      <c r="H266" s="18">
        <v>1386.15</v>
      </c>
      <c r="I266" s="22">
        <v>0</v>
      </c>
      <c r="J266" s="18">
        <v>2772.3</v>
      </c>
      <c r="K266" s="18">
        <v>2071.77</v>
      </c>
      <c r="L266" s="18">
        <v>700.53</v>
      </c>
      <c r="M266" s="7" t="s">
        <v>35</v>
      </c>
      <c r="N266" s="7" t="s">
        <v>36</v>
      </c>
      <c r="O266" s="7" t="s">
        <v>44</v>
      </c>
      <c r="P266" s="7" t="str">
        <f t="shared" si="12"/>
        <v>Oct</v>
      </c>
      <c r="Q266" s="7">
        <f t="shared" si="13"/>
        <v>2025</v>
      </c>
      <c r="R266" s="23">
        <f t="shared" si="14"/>
        <v>0.25268910291094032</v>
      </c>
    </row>
    <row r="267" spans="1:18">
      <c r="A267" s="7" t="s">
        <v>721</v>
      </c>
      <c r="B267" s="8">
        <v>46133</v>
      </c>
      <c r="C267" s="7" t="s">
        <v>722</v>
      </c>
      <c r="D267" s="7" t="s">
        <v>134</v>
      </c>
      <c r="E267" s="7" t="s">
        <v>41</v>
      </c>
      <c r="F267" s="7" t="s">
        <v>153</v>
      </c>
      <c r="G267" s="7">
        <v>5</v>
      </c>
      <c r="H267" s="18">
        <v>1387.92</v>
      </c>
      <c r="I267" s="22">
        <v>0.2</v>
      </c>
      <c r="J267" s="18">
        <v>5551.68</v>
      </c>
      <c r="K267" s="18">
        <v>3430.57</v>
      </c>
      <c r="L267" s="18">
        <v>2121.11</v>
      </c>
      <c r="M267" s="7" t="s">
        <v>35</v>
      </c>
      <c r="N267" s="7" t="s">
        <v>36</v>
      </c>
      <c r="O267" s="7" t="s">
        <v>44</v>
      </c>
      <c r="P267" s="7" t="str">
        <f t="shared" si="12"/>
        <v>Apr</v>
      </c>
      <c r="Q267" s="7">
        <f t="shared" si="13"/>
        <v>2026</v>
      </c>
      <c r="R267" s="23">
        <f t="shared" si="14"/>
        <v>0.38206632947143926</v>
      </c>
    </row>
    <row r="268" spans="1:18">
      <c r="A268" s="7" t="s">
        <v>1414</v>
      </c>
      <c r="B268" s="8">
        <v>45795</v>
      </c>
      <c r="C268" s="7" t="s">
        <v>1366</v>
      </c>
      <c r="D268" s="7" t="s">
        <v>40</v>
      </c>
      <c r="E268" s="7" t="s">
        <v>48</v>
      </c>
      <c r="F268" s="7" t="s">
        <v>113</v>
      </c>
      <c r="G268" s="7">
        <v>5</v>
      </c>
      <c r="H268" s="18">
        <v>1390.92</v>
      </c>
      <c r="I268" s="22">
        <v>0</v>
      </c>
      <c r="J268" s="18">
        <v>6954.6</v>
      </c>
      <c r="K268" s="18">
        <v>4916.08</v>
      </c>
      <c r="L268" s="18">
        <v>2038.52</v>
      </c>
      <c r="M268" s="7" t="s">
        <v>35</v>
      </c>
      <c r="N268" s="7" t="s">
        <v>63</v>
      </c>
      <c r="O268" s="7" t="s">
        <v>44</v>
      </c>
      <c r="P268" s="7" t="str">
        <f t="shared" si="12"/>
        <v>May</v>
      </c>
      <c r="Q268" s="7">
        <f t="shared" si="13"/>
        <v>2025</v>
      </c>
      <c r="R268" s="23">
        <f t="shared" si="14"/>
        <v>0.29311822390935494</v>
      </c>
    </row>
    <row r="269" spans="1:18">
      <c r="A269" s="7" t="s">
        <v>1576</v>
      </c>
      <c r="B269" s="8">
        <v>46257</v>
      </c>
      <c r="C269" s="7" t="s">
        <v>1577</v>
      </c>
      <c r="D269" s="7" t="s">
        <v>66</v>
      </c>
      <c r="E269" s="7" t="s">
        <v>33</v>
      </c>
      <c r="F269" s="7" t="s">
        <v>34</v>
      </c>
      <c r="G269" s="7">
        <v>6</v>
      </c>
      <c r="H269" s="18">
        <v>1394.34</v>
      </c>
      <c r="I269" s="22">
        <v>0.1</v>
      </c>
      <c r="J269" s="18">
        <v>7529.44</v>
      </c>
      <c r="K269" s="18">
        <v>4503.8100000000004</v>
      </c>
      <c r="L269" s="18">
        <v>3025.63</v>
      </c>
      <c r="M269" s="7" t="s">
        <v>57</v>
      </c>
      <c r="N269" s="7" t="s">
        <v>43</v>
      </c>
      <c r="O269" s="7" t="s">
        <v>37</v>
      </c>
      <c r="P269" s="7" t="str">
        <f t="shared" si="12"/>
        <v>Aug</v>
      </c>
      <c r="Q269" s="7">
        <f t="shared" si="13"/>
        <v>2026</v>
      </c>
      <c r="R269" s="23">
        <f t="shared" si="14"/>
        <v>0.40183997747508449</v>
      </c>
    </row>
    <row r="270" spans="1:18">
      <c r="A270" s="7" t="s">
        <v>568</v>
      </c>
      <c r="B270" s="8">
        <v>46157</v>
      </c>
      <c r="C270" s="7" t="s">
        <v>569</v>
      </c>
      <c r="D270" s="7" t="s">
        <v>74</v>
      </c>
      <c r="E270" s="7" t="s">
        <v>33</v>
      </c>
      <c r="F270" s="7" t="s">
        <v>34</v>
      </c>
      <c r="G270" s="7">
        <v>5</v>
      </c>
      <c r="H270" s="18">
        <v>1396.26</v>
      </c>
      <c r="I270" s="22">
        <v>0.05</v>
      </c>
      <c r="J270" s="18">
        <v>6632.23</v>
      </c>
      <c r="K270" s="18">
        <v>4601.08</v>
      </c>
      <c r="L270" s="18">
        <v>2031.15</v>
      </c>
      <c r="M270" s="7" t="s">
        <v>57</v>
      </c>
      <c r="N270" s="7" t="s">
        <v>63</v>
      </c>
      <c r="O270" s="7" t="s">
        <v>44</v>
      </c>
      <c r="P270" s="7" t="str">
        <f t="shared" si="12"/>
        <v>May</v>
      </c>
      <c r="Q270" s="7">
        <f t="shared" si="13"/>
        <v>2026</v>
      </c>
      <c r="R270" s="23">
        <f t="shared" si="14"/>
        <v>0.3062544573996982</v>
      </c>
    </row>
    <row r="271" spans="1:18">
      <c r="A271" s="7" t="s">
        <v>1185</v>
      </c>
      <c r="B271" s="8">
        <v>45668</v>
      </c>
      <c r="C271" s="7" t="s">
        <v>296</v>
      </c>
      <c r="D271" s="7" t="s">
        <v>95</v>
      </c>
      <c r="E271" s="7" t="s">
        <v>61</v>
      </c>
      <c r="F271" s="7" t="s">
        <v>129</v>
      </c>
      <c r="G271" s="7">
        <v>4</v>
      </c>
      <c r="H271" s="18">
        <v>1397.77</v>
      </c>
      <c r="I271" s="22">
        <v>0.05</v>
      </c>
      <c r="J271" s="18">
        <v>5311.53</v>
      </c>
      <c r="K271" s="18">
        <v>3604.35</v>
      </c>
      <c r="L271" s="18">
        <v>1707.18</v>
      </c>
      <c r="M271" s="7" t="s">
        <v>57</v>
      </c>
      <c r="N271" s="7" t="s">
        <v>71</v>
      </c>
      <c r="O271" s="7" t="s">
        <v>44</v>
      </c>
      <c r="P271" s="7" t="str">
        <f t="shared" si="12"/>
        <v>Jan</v>
      </c>
      <c r="Q271" s="7">
        <f t="shared" si="13"/>
        <v>2025</v>
      </c>
      <c r="R271" s="23">
        <f t="shared" si="14"/>
        <v>0.32141021513575185</v>
      </c>
    </row>
    <row r="272" spans="1:18">
      <c r="A272" s="7" t="s">
        <v>924</v>
      </c>
      <c r="B272" s="8">
        <v>45939</v>
      </c>
      <c r="C272" s="7" t="s">
        <v>318</v>
      </c>
      <c r="D272" s="7" t="s">
        <v>32</v>
      </c>
      <c r="E272" s="7" t="s">
        <v>33</v>
      </c>
      <c r="F272" s="7" t="s">
        <v>67</v>
      </c>
      <c r="G272" s="7">
        <v>1</v>
      </c>
      <c r="H272" s="18">
        <v>1401.98</v>
      </c>
      <c r="I272" s="22">
        <v>0</v>
      </c>
      <c r="J272" s="18">
        <v>1401.98</v>
      </c>
      <c r="K272" s="18">
        <v>960.85</v>
      </c>
      <c r="L272" s="18">
        <v>441.13</v>
      </c>
      <c r="M272" s="7" t="s">
        <v>57</v>
      </c>
      <c r="N272" s="7" t="s">
        <v>71</v>
      </c>
      <c r="O272" s="7" t="s">
        <v>44</v>
      </c>
      <c r="P272" s="7" t="str">
        <f t="shared" si="12"/>
        <v>Oct</v>
      </c>
      <c r="Q272" s="7">
        <f t="shared" si="13"/>
        <v>2025</v>
      </c>
      <c r="R272" s="23">
        <f t="shared" si="14"/>
        <v>0.31464785517625071</v>
      </c>
    </row>
    <row r="273" spans="1:18">
      <c r="A273" s="7" t="s">
        <v>1427</v>
      </c>
      <c r="B273" s="8">
        <v>45755</v>
      </c>
      <c r="C273" s="7" t="s">
        <v>131</v>
      </c>
      <c r="D273" s="7" t="s">
        <v>47</v>
      </c>
      <c r="E273" s="7" t="s">
        <v>61</v>
      </c>
      <c r="F273" s="7" t="s">
        <v>62</v>
      </c>
      <c r="G273" s="7">
        <v>1</v>
      </c>
      <c r="H273" s="18">
        <v>1404.41</v>
      </c>
      <c r="I273" s="22">
        <v>0</v>
      </c>
      <c r="J273" s="18">
        <v>1404.41</v>
      </c>
      <c r="K273" s="18">
        <v>919.63</v>
      </c>
      <c r="L273" s="18">
        <v>484.78</v>
      </c>
      <c r="M273" s="7" t="s">
        <v>35</v>
      </c>
      <c r="N273" s="7" t="s">
        <v>43</v>
      </c>
      <c r="O273" s="7" t="s">
        <v>44</v>
      </c>
      <c r="P273" s="7" t="str">
        <f t="shared" si="12"/>
        <v>Apr</v>
      </c>
      <c r="Q273" s="7">
        <f t="shared" si="13"/>
        <v>2025</v>
      </c>
      <c r="R273" s="23">
        <f t="shared" si="14"/>
        <v>0.34518409866064748</v>
      </c>
    </row>
    <row r="274" spans="1:18">
      <c r="A274" s="7" t="s">
        <v>406</v>
      </c>
      <c r="B274" s="8">
        <v>46218</v>
      </c>
      <c r="C274" s="7" t="s">
        <v>256</v>
      </c>
      <c r="D274" s="7" t="s">
        <v>32</v>
      </c>
      <c r="E274" s="7" t="s">
        <v>48</v>
      </c>
      <c r="F274" s="7" t="s">
        <v>113</v>
      </c>
      <c r="G274" s="7">
        <v>6</v>
      </c>
      <c r="H274" s="18">
        <v>1408.58</v>
      </c>
      <c r="I274" s="22">
        <v>0.1</v>
      </c>
      <c r="J274" s="18">
        <v>7606.33</v>
      </c>
      <c r="K274" s="18">
        <v>6194.66</v>
      </c>
      <c r="L274" s="18">
        <v>1411.67</v>
      </c>
      <c r="M274" s="7" t="s">
        <v>35</v>
      </c>
      <c r="N274" s="7" t="s">
        <v>43</v>
      </c>
      <c r="O274" s="7" t="s">
        <v>44</v>
      </c>
      <c r="P274" s="7" t="str">
        <f t="shared" si="12"/>
        <v>Jul</v>
      </c>
      <c r="Q274" s="7">
        <f t="shared" si="13"/>
        <v>2026</v>
      </c>
      <c r="R274" s="23">
        <f t="shared" si="14"/>
        <v>0.18559147446929072</v>
      </c>
    </row>
    <row r="275" spans="1:18">
      <c r="A275" s="7" t="s">
        <v>391</v>
      </c>
      <c r="B275" s="8">
        <v>46256</v>
      </c>
      <c r="C275" s="7" t="s">
        <v>230</v>
      </c>
      <c r="D275" s="7" t="s">
        <v>32</v>
      </c>
      <c r="E275" s="7" t="s">
        <v>33</v>
      </c>
      <c r="F275" s="7" t="s">
        <v>96</v>
      </c>
      <c r="G275" s="7">
        <v>6</v>
      </c>
      <c r="H275" s="18">
        <v>1413.38</v>
      </c>
      <c r="I275" s="22">
        <v>0</v>
      </c>
      <c r="J275" s="18">
        <v>8480.2800000000007</v>
      </c>
      <c r="K275" s="18">
        <v>4962.7700000000004</v>
      </c>
      <c r="L275" s="18">
        <v>3517.51</v>
      </c>
      <c r="M275" s="7" t="s">
        <v>35</v>
      </c>
      <c r="N275" s="7" t="s">
        <v>71</v>
      </c>
      <c r="O275" s="7" t="s">
        <v>44</v>
      </c>
      <c r="P275" s="7" t="str">
        <f t="shared" si="12"/>
        <v>Aug</v>
      </c>
      <c r="Q275" s="7">
        <f t="shared" si="13"/>
        <v>2026</v>
      </c>
      <c r="R275" s="23">
        <f t="shared" si="14"/>
        <v>0.41478701174961202</v>
      </c>
    </row>
    <row r="276" spans="1:18">
      <c r="A276" s="7" t="s">
        <v>794</v>
      </c>
      <c r="B276" s="8">
        <v>46088</v>
      </c>
      <c r="C276" s="7" t="s">
        <v>131</v>
      </c>
      <c r="D276" s="7" t="s">
        <v>56</v>
      </c>
      <c r="E276" s="7" t="s">
        <v>48</v>
      </c>
      <c r="F276" s="7" t="s">
        <v>99</v>
      </c>
      <c r="G276" s="7">
        <v>4</v>
      </c>
      <c r="H276" s="18">
        <v>1414.64</v>
      </c>
      <c r="I276" s="22">
        <v>0.1</v>
      </c>
      <c r="J276" s="18">
        <v>5092.7</v>
      </c>
      <c r="K276" s="18">
        <v>4168.4399999999996</v>
      </c>
      <c r="L276" s="18">
        <v>924.26</v>
      </c>
      <c r="M276" s="7" t="s">
        <v>57</v>
      </c>
      <c r="N276" s="7" t="s">
        <v>63</v>
      </c>
      <c r="O276" s="7" t="s">
        <v>44</v>
      </c>
      <c r="P276" s="7" t="str">
        <f t="shared" si="12"/>
        <v>Mar</v>
      </c>
      <c r="Q276" s="7">
        <f t="shared" si="13"/>
        <v>2026</v>
      </c>
      <c r="R276" s="23">
        <f t="shared" si="14"/>
        <v>0.18148722681485263</v>
      </c>
    </row>
    <row r="277" spans="1:18">
      <c r="A277" s="7" t="s">
        <v>1135</v>
      </c>
      <c r="B277" s="8">
        <v>45915</v>
      </c>
      <c r="C277" s="7" t="s">
        <v>533</v>
      </c>
      <c r="D277" s="7" t="s">
        <v>95</v>
      </c>
      <c r="E277" s="7" t="s">
        <v>33</v>
      </c>
      <c r="F277" s="7" t="s">
        <v>34</v>
      </c>
      <c r="G277" s="7">
        <v>3</v>
      </c>
      <c r="H277" s="18">
        <v>1424.53</v>
      </c>
      <c r="I277" s="22">
        <v>0</v>
      </c>
      <c r="J277" s="18">
        <v>4273.59</v>
      </c>
      <c r="K277" s="18">
        <v>3071.73</v>
      </c>
      <c r="L277" s="18">
        <v>1201.8599999999999</v>
      </c>
      <c r="M277" s="7" t="s">
        <v>35</v>
      </c>
      <c r="N277" s="7" t="s">
        <v>36</v>
      </c>
      <c r="O277" s="7" t="s">
        <v>44</v>
      </c>
      <c r="P277" s="7" t="str">
        <f t="shared" si="12"/>
        <v>Sep</v>
      </c>
      <c r="Q277" s="7">
        <f t="shared" si="13"/>
        <v>2025</v>
      </c>
      <c r="R277" s="23">
        <f t="shared" si="14"/>
        <v>0.28122959853425339</v>
      </c>
    </row>
    <row r="278" spans="1:18">
      <c r="A278" s="7" t="s">
        <v>413</v>
      </c>
      <c r="B278" s="8">
        <v>46073</v>
      </c>
      <c r="C278" s="7" t="s">
        <v>414</v>
      </c>
      <c r="D278" s="7" t="s">
        <v>32</v>
      </c>
      <c r="E278" s="7" t="s">
        <v>33</v>
      </c>
      <c r="F278" s="7" t="s">
        <v>67</v>
      </c>
      <c r="G278" s="7">
        <v>5</v>
      </c>
      <c r="H278" s="18">
        <v>1432.43</v>
      </c>
      <c r="I278" s="22">
        <v>0.2</v>
      </c>
      <c r="J278" s="18">
        <v>5729.72</v>
      </c>
      <c r="K278" s="18">
        <v>4081.49</v>
      </c>
      <c r="L278" s="18">
        <v>1648.23</v>
      </c>
      <c r="M278" s="7" t="s">
        <v>35</v>
      </c>
      <c r="N278" s="7" t="s">
        <v>63</v>
      </c>
      <c r="O278" s="7" t="s">
        <v>37</v>
      </c>
      <c r="P278" s="7" t="str">
        <f t="shared" si="12"/>
        <v>Feb</v>
      </c>
      <c r="Q278" s="7">
        <f t="shared" si="13"/>
        <v>2026</v>
      </c>
      <c r="R278" s="23">
        <f t="shared" si="14"/>
        <v>0.2876632715036686</v>
      </c>
    </row>
    <row r="279" spans="1:18">
      <c r="A279" s="7" t="s">
        <v>552</v>
      </c>
      <c r="B279" s="8">
        <v>45863</v>
      </c>
      <c r="C279" s="7" t="s">
        <v>553</v>
      </c>
      <c r="D279" s="7" t="s">
        <v>52</v>
      </c>
      <c r="E279" s="7" t="s">
        <v>41</v>
      </c>
      <c r="F279" s="7" t="s">
        <v>153</v>
      </c>
      <c r="G279" s="7">
        <v>5</v>
      </c>
      <c r="H279" s="18">
        <v>1433.84</v>
      </c>
      <c r="I279" s="22">
        <v>0.2</v>
      </c>
      <c r="J279" s="18">
        <v>5735.36</v>
      </c>
      <c r="K279" s="18">
        <v>4139.7700000000004</v>
      </c>
      <c r="L279" s="18">
        <v>1595.59</v>
      </c>
      <c r="M279" s="7" t="s">
        <v>35</v>
      </c>
      <c r="N279" s="7" t="s">
        <v>36</v>
      </c>
      <c r="O279" s="7" t="s">
        <v>44</v>
      </c>
      <c r="P279" s="7" t="str">
        <f t="shared" si="12"/>
        <v>Jul</v>
      </c>
      <c r="Q279" s="7">
        <f t="shared" si="13"/>
        <v>2025</v>
      </c>
      <c r="R279" s="23">
        <f t="shared" si="14"/>
        <v>0.27820224013836969</v>
      </c>
    </row>
    <row r="280" spans="1:18">
      <c r="A280" s="7" t="s">
        <v>1013</v>
      </c>
      <c r="B280" s="8">
        <v>46078</v>
      </c>
      <c r="C280" s="7" t="s">
        <v>369</v>
      </c>
      <c r="D280" s="7" t="s">
        <v>32</v>
      </c>
      <c r="E280" s="7" t="s">
        <v>33</v>
      </c>
      <c r="F280" s="7" t="s">
        <v>34</v>
      </c>
      <c r="G280" s="7">
        <v>4</v>
      </c>
      <c r="H280" s="18">
        <v>1443.52</v>
      </c>
      <c r="I280" s="22">
        <v>0.15</v>
      </c>
      <c r="J280" s="18">
        <v>4907.97</v>
      </c>
      <c r="K280" s="18">
        <v>2754.71</v>
      </c>
      <c r="L280" s="18">
        <v>2153.2600000000002</v>
      </c>
      <c r="M280" s="7" t="s">
        <v>35</v>
      </c>
      <c r="N280" s="7" t="s">
        <v>43</v>
      </c>
      <c r="O280" s="7" t="s">
        <v>37</v>
      </c>
      <c r="P280" s="7" t="str">
        <f t="shared" si="12"/>
        <v>Feb</v>
      </c>
      <c r="Q280" s="7">
        <f t="shared" si="13"/>
        <v>2026</v>
      </c>
      <c r="R280" s="23">
        <f t="shared" si="14"/>
        <v>0.43872721308402457</v>
      </c>
    </row>
    <row r="281" spans="1:18">
      <c r="A281" s="7" t="s">
        <v>522</v>
      </c>
      <c r="B281" s="8">
        <v>45977</v>
      </c>
      <c r="C281" s="7" t="s">
        <v>523</v>
      </c>
      <c r="D281" s="7" t="s">
        <v>74</v>
      </c>
      <c r="E281" s="7" t="s">
        <v>33</v>
      </c>
      <c r="F281" s="7" t="s">
        <v>96</v>
      </c>
      <c r="G281" s="7">
        <v>6</v>
      </c>
      <c r="H281" s="18">
        <v>1445.39</v>
      </c>
      <c r="I281" s="22">
        <v>0.2</v>
      </c>
      <c r="J281" s="18">
        <v>6937.87</v>
      </c>
      <c r="K281" s="18">
        <v>4638.8</v>
      </c>
      <c r="L281" s="18">
        <v>2299.0700000000002</v>
      </c>
      <c r="M281" s="7" t="s">
        <v>57</v>
      </c>
      <c r="N281" s="7" t="s">
        <v>63</v>
      </c>
      <c r="O281" s="7" t="s">
        <v>44</v>
      </c>
      <c r="P281" s="7" t="str">
        <f t="shared" si="12"/>
        <v>Nov</v>
      </c>
      <c r="Q281" s="7">
        <f t="shared" si="13"/>
        <v>2025</v>
      </c>
      <c r="R281" s="23">
        <f t="shared" si="14"/>
        <v>0.33137980388793681</v>
      </c>
    </row>
    <row r="282" spans="1:18">
      <c r="A282" s="7" t="s">
        <v>1719</v>
      </c>
      <c r="B282" s="8">
        <v>45733</v>
      </c>
      <c r="C282" s="7" t="s">
        <v>1270</v>
      </c>
      <c r="D282" s="7" t="s">
        <v>56</v>
      </c>
      <c r="E282" s="7" t="s">
        <v>41</v>
      </c>
      <c r="F282" s="7" t="s">
        <v>124</v>
      </c>
      <c r="G282" s="7">
        <v>1</v>
      </c>
      <c r="H282" s="18">
        <v>1445.61</v>
      </c>
      <c r="I282" s="22">
        <v>0.1</v>
      </c>
      <c r="J282" s="18">
        <v>1301.05</v>
      </c>
      <c r="K282" s="18">
        <v>1040.83</v>
      </c>
      <c r="L282" s="18">
        <v>260.22000000000003</v>
      </c>
      <c r="M282" s="7" t="s">
        <v>57</v>
      </c>
      <c r="N282" s="7" t="s">
        <v>71</v>
      </c>
      <c r="O282" s="7" t="s">
        <v>37</v>
      </c>
      <c r="P282" s="7" t="str">
        <f t="shared" si="12"/>
        <v>Mar</v>
      </c>
      <c r="Q282" s="7">
        <f t="shared" si="13"/>
        <v>2025</v>
      </c>
      <c r="R282" s="23">
        <f t="shared" si="14"/>
        <v>0.20000768609968875</v>
      </c>
    </row>
    <row r="283" spans="1:18">
      <c r="A283" s="7" t="s">
        <v>1038</v>
      </c>
      <c r="B283" s="8">
        <v>45840</v>
      </c>
      <c r="C283" s="7" t="s">
        <v>131</v>
      </c>
      <c r="D283" s="7" t="s">
        <v>47</v>
      </c>
      <c r="E283" s="7" t="s">
        <v>48</v>
      </c>
      <c r="F283" s="7" t="s">
        <v>70</v>
      </c>
      <c r="G283" s="7">
        <v>4</v>
      </c>
      <c r="H283" s="18">
        <v>1445.64</v>
      </c>
      <c r="I283" s="22">
        <v>0</v>
      </c>
      <c r="J283" s="18">
        <v>5782.56</v>
      </c>
      <c r="K283" s="18">
        <v>3750.96</v>
      </c>
      <c r="L283" s="18">
        <v>2031.6</v>
      </c>
      <c r="M283" s="7" t="s">
        <v>57</v>
      </c>
      <c r="N283" s="7" t="s">
        <v>63</v>
      </c>
      <c r="O283" s="7" t="s">
        <v>37</v>
      </c>
      <c r="P283" s="7" t="str">
        <f t="shared" si="12"/>
        <v>Jul</v>
      </c>
      <c r="Q283" s="7">
        <f t="shared" si="13"/>
        <v>2025</v>
      </c>
      <c r="R283" s="23">
        <f t="shared" si="14"/>
        <v>0.35133228189590765</v>
      </c>
    </row>
    <row r="284" spans="1:18">
      <c r="A284" s="7" t="s">
        <v>1197</v>
      </c>
      <c r="B284" s="8">
        <v>45742</v>
      </c>
      <c r="C284" s="7" t="s">
        <v>482</v>
      </c>
      <c r="D284" s="7" t="s">
        <v>56</v>
      </c>
      <c r="E284" s="7" t="s">
        <v>48</v>
      </c>
      <c r="F284" s="7" t="s">
        <v>102</v>
      </c>
      <c r="G284" s="7">
        <v>5</v>
      </c>
      <c r="H284" s="18">
        <v>1448.02</v>
      </c>
      <c r="I284" s="22">
        <v>0.05</v>
      </c>
      <c r="J284" s="18">
        <v>6878.1</v>
      </c>
      <c r="K284" s="18">
        <v>4580.2299999999996</v>
      </c>
      <c r="L284" s="18">
        <v>2297.87</v>
      </c>
      <c r="M284" s="7" t="s">
        <v>57</v>
      </c>
      <c r="N284" s="7" t="s">
        <v>71</v>
      </c>
      <c r="O284" s="7" t="s">
        <v>44</v>
      </c>
      <c r="P284" s="7" t="str">
        <f t="shared" si="12"/>
        <v>Mar</v>
      </c>
      <c r="Q284" s="7">
        <f t="shared" si="13"/>
        <v>2025</v>
      </c>
      <c r="R284" s="23">
        <f t="shared" si="14"/>
        <v>0.33408499440252393</v>
      </c>
    </row>
    <row r="285" spans="1:18">
      <c r="A285" s="7" t="s">
        <v>1296</v>
      </c>
      <c r="B285" s="8">
        <v>46133</v>
      </c>
      <c r="C285" s="7" t="s">
        <v>1297</v>
      </c>
      <c r="D285" s="7" t="s">
        <v>56</v>
      </c>
      <c r="E285" s="7" t="s">
        <v>33</v>
      </c>
      <c r="F285" s="7" t="s">
        <v>34</v>
      </c>
      <c r="G285" s="7">
        <v>4</v>
      </c>
      <c r="H285" s="18">
        <v>1458.77</v>
      </c>
      <c r="I285" s="22">
        <v>0.1</v>
      </c>
      <c r="J285" s="18">
        <v>5251.57</v>
      </c>
      <c r="K285" s="18">
        <v>4056.94</v>
      </c>
      <c r="L285" s="18">
        <v>1194.6300000000001</v>
      </c>
      <c r="M285" s="7" t="s">
        <v>57</v>
      </c>
      <c r="N285" s="7" t="s">
        <v>43</v>
      </c>
      <c r="O285" s="7" t="s">
        <v>44</v>
      </c>
      <c r="P285" s="7" t="str">
        <f t="shared" si="12"/>
        <v>Apr</v>
      </c>
      <c r="Q285" s="7">
        <f t="shared" si="13"/>
        <v>2026</v>
      </c>
      <c r="R285" s="23">
        <f t="shared" si="14"/>
        <v>0.22748054391353445</v>
      </c>
    </row>
    <row r="286" spans="1:18">
      <c r="A286" s="7" t="s">
        <v>163</v>
      </c>
      <c r="B286" s="8">
        <v>45939</v>
      </c>
      <c r="C286" s="7" t="s">
        <v>164</v>
      </c>
      <c r="D286" s="7" t="s">
        <v>95</v>
      </c>
      <c r="E286" s="7" t="s">
        <v>33</v>
      </c>
      <c r="F286" s="7" t="s">
        <v>92</v>
      </c>
      <c r="G286" s="7">
        <v>5</v>
      </c>
      <c r="H286" s="18">
        <v>1463.16</v>
      </c>
      <c r="I286" s="22">
        <v>0</v>
      </c>
      <c r="J286" s="18">
        <v>7315.8</v>
      </c>
      <c r="K286" s="18">
        <v>4469.72</v>
      </c>
      <c r="L286" s="18">
        <v>2846.08</v>
      </c>
      <c r="M286" s="7" t="s">
        <v>35</v>
      </c>
      <c r="N286" s="7" t="s">
        <v>43</v>
      </c>
      <c r="O286" s="7" t="s">
        <v>37</v>
      </c>
      <c r="P286" s="7" t="str">
        <f t="shared" si="12"/>
        <v>Oct</v>
      </c>
      <c r="Q286" s="7">
        <f t="shared" si="13"/>
        <v>2025</v>
      </c>
      <c r="R286" s="23">
        <f t="shared" si="14"/>
        <v>0.38903195822739822</v>
      </c>
    </row>
    <row r="287" spans="1:18">
      <c r="A287" s="7" t="s">
        <v>883</v>
      </c>
      <c r="B287" s="8">
        <v>45776</v>
      </c>
      <c r="C287" s="7" t="s">
        <v>839</v>
      </c>
      <c r="D287" s="7" t="s">
        <v>60</v>
      </c>
      <c r="E287" s="7" t="s">
        <v>33</v>
      </c>
      <c r="F287" s="7" t="s">
        <v>34</v>
      </c>
      <c r="G287" s="7">
        <v>2</v>
      </c>
      <c r="H287" s="18">
        <v>1468.97</v>
      </c>
      <c r="I287" s="22">
        <v>0.15</v>
      </c>
      <c r="J287" s="18">
        <v>2497.25</v>
      </c>
      <c r="K287" s="18">
        <v>1460.12</v>
      </c>
      <c r="L287" s="18">
        <v>1037.1300000000001</v>
      </c>
      <c r="M287" s="7" t="s">
        <v>57</v>
      </c>
      <c r="N287" s="7" t="s">
        <v>63</v>
      </c>
      <c r="O287" s="7" t="s">
        <v>44</v>
      </c>
      <c r="P287" s="7" t="str">
        <f t="shared" si="12"/>
        <v>Apr</v>
      </c>
      <c r="Q287" s="7">
        <f t="shared" si="13"/>
        <v>2025</v>
      </c>
      <c r="R287" s="23">
        <f t="shared" si="14"/>
        <v>0.41530883972369609</v>
      </c>
    </row>
    <row r="288" spans="1:18">
      <c r="A288" s="7" t="s">
        <v>629</v>
      </c>
      <c r="B288" s="8">
        <v>45960</v>
      </c>
      <c r="C288" s="7" t="s">
        <v>630</v>
      </c>
      <c r="D288" s="7" t="s">
        <v>40</v>
      </c>
      <c r="E288" s="7" t="s">
        <v>48</v>
      </c>
      <c r="F288" s="7" t="s">
        <v>49</v>
      </c>
      <c r="G288" s="7">
        <v>1</v>
      </c>
      <c r="H288" s="18">
        <v>1471.73</v>
      </c>
      <c r="I288" s="22">
        <v>0</v>
      </c>
      <c r="J288" s="18">
        <v>1471.73</v>
      </c>
      <c r="K288" s="18">
        <v>908.42</v>
      </c>
      <c r="L288" s="18">
        <v>563.30999999999995</v>
      </c>
      <c r="M288" s="7" t="s">
        <v>57</v>
      </c>
      <c r="N288" s="7" t="s">
        <v>36</v>
      </c>
      <c r="O288" s="7" t="s">
        <v>44</v>
      </c>
      <c r="P288" s="7" t="str">
        <f t="shared" si="12"/>
        <v>Oct</v>
      </c>
      <c r="Q288" s="7">
        <f t="shared" si="13"/>
        <v>2025</v>
      </c>
      <c r="R288" s="23">
        <f t="shared" si="14"/>
        <v>0.38275363008160462</v>
      </c>
    </row>
    <row r="289" spans="1:18">
      <c r="A289" s="7" t="s">
        <v>1028</v>
      </c>
      <c r="B289" s="8">
        <v>46119</v>
      </c>
      <c r="C289" s="7" t="s">
        <v>112</v>
      </c>
      <c r="D289" s="7" t="s">
        <v>66</v>
      </c>
      <c r="E289" s="7" t="s">
        <v>61</v>
      </c>
      <c r="F289" s="7" t="s">
        <v>62</v>
      </c>
      <c r="G289" s="7">
        <v>3</v>
      </c>
      <c r="H289" s="18">
        <v>1472.12</v>
      </c>
      <c r="I289" s="22">
        <v>0</v>
      </c>
      <c r="J289" s="18">
        <v>4416.3599999999997</v>
      </c>
      <c r="K289" s="18">
        <v>3659.48</v>
      </c>
      <c r="L289" s="18">
        <v>756.88</v>
      </c>
      <c r="M289" s="7" t="s">
        <v>35</v>
      </c>
      <c r="N289" s="7" t="s">
        <v>43</v>
      </c>
      <c r="O289" s="7" t="s">
        <v>44</v>
      </c>
      <c r="P289" s="7" t="str">
        <f t="shared" si="12"/>
        <v>Apr</v>
      </c>
      <c r="Q289" s="7">
        <f t="shared" si="13"/>
        <v>2026</v>
      </c>
      <c r="R289" s="23">
        <f t="shared" si="14"/>
        <v>0.17138095626262353</v>
      </c>
    </row>
    <row r="290" spans="1:18">
      <c r="A290" s="7" t="s">
        <v>532</v>
      </c>
      <c r="B290" s="8">
        <v>45821</v>
      </c>
      <c r="C290" s="7" t="s">
        <v>533</v>
      </c>
      <c r="D290" s="7" t="s">
        <v>66</v>
      </c>
      <c r="E290" s="7" t="s">
        <v>48</v>
      </c>
      <c r="F290" s="7" t="s">
        <v>113</v>
      </c>
      <c r="G290" s="7">
        <v>4</v>
      </c>
      <c r="H290" s="18">
        <v>1473.12</v>
      </c>
      <c r="I290" s="22">
        <v>0.1</v>
      </c>
      <c r="J290" s="18">
        <v>5303.23</v>
      </c>
      <c r="K290" s="18">
        <v>3286.64</v>
      </c>
      <c r="L290" s="18">
        <v>2016.59</v>
      </c>
      <c r="M290" s="7" t="s">
        <v>57</v>
      </c>
      <c r="N290" s="7" t="s">
        <v>43</v>
      </c>
      <c r="O290" s="7" t="s">
        <v>44</v>
      </c>
      <c r="P290" s="7" t="str">
        <f t="shared" si="12"/>
        <v>Jun</v>
      </c>
      <c r="Q290" s="7">
        <f t="shared" si="13"/>
        <v>2025</v>
      </c>
      <c r="R290" s="23">
        <f t="shared" si="14"/>
        <v>0.38025693775302977</v>
      </c>
    </row>
    <row r="291" spans="1:18">
      <c r="A291" s="7" t="s">
        <v>953</v>
      </c>
      <c r="B291" s="8">
        <v>46055</v>
      </c>
      <c r="C291" s="7" t="s">
        <v>954</v>
      </c>
      <c r="D291" s="7" t="s">
        <v>66</v>
      </c>
      <c r="E291" s="7" t="s">
        <v>48</v>
      </c>
      <c r="F291" s="7" t="s">
        <v>102</v>
      </c>
      <c r="G291" s="7">
        <v>5</v>
      </c>
      <c r="H291" s="18">
        <v>1474.12</v>
      </c>
      <c r="I291" s="22">
        <v>0.1</v>
      </c>
      <c r="J291" s="18">
        <v>6633.54</v>
      </c>
      <c r="K291" s="18">
        <v>3706.91</v>
      </c>
      <c r="L291" s="18">
        <v>2926.63</v>
      </c>
      <c r="M291" s="7" t="s">
        <v>57</v>
      </c>
      <c r="N291" s="7" t="s">
        <v>63</v>
      </c>
      <c r="O291" s="7" t="s">
        <v>44</v>
      </c>
      <c r="P291" s="7" t="str">
        <f t="shared" si="12"/>
        <v>Feb</v>
      </c>
      <c r="Q291" s="7">
        <f t="shared" si="13"/>
        <v>2026</v>
      </c>
      <c r="R291" s="23">
        <f t="shared" si="14"/>
        <v>0.44118675699551069</v>
      </c>
    </row>
    <row r="292" spans="1:18">
      <c r="A292" s="7" t="s">
        <v>1261</v>
      </c>
      <c r="B292" s="8">
        <v>46216</v>
      </c>
      <c r="C292" s="7" t="s">
        <v>1262</v>
      </c>
      <c r="D292" s="7" t="s">
        <v>60</v>
      </c>
      <c r="E292" s="7" t="s">
        <v>48</v>
      </c>
      <c r="F292" s="7" t="s">
        <v>70</v>
      </c>
      <c r="G292" s="7">
        <v>3</v>
      </c>
      <c r="H292" s="18">
        <v>1483.89</v>
      </c>
      <c r="I292" s="22">
        <v>0.2</v>
      </c>
      <c r="J292" s="18">
        <v>3561.34</v>
      </c>
      <c r="K292" s="18">
        <v>2956.32</v>
      </c>
      <c r="L292" s="18">
        <v>605.02</v>
      </c>
      <c r="M292" s="7" t="s">
        <v>57</v>
      </c>
      <c r="N292" s="7" t="s">
        <v>36</v>
      </c>
      <c r="O292" s="7" t="s">
        <v>44</v>
      </c>
      <c r="P292" s="7" t="str">
        <f t="shared" si="12"/>
        <v>Jul</v>
      </c>
      <c r="Q292" s="7">
        <f t="shared" si="13"/>
        <v>2026</v>
      </c>
      <c r="R292" s="23">
        <f t="shared" si="14"/>
        <v>0.16988549253932508</v>
      </c>
    </row>
    <row r="293" spans="1:18">
      <c r="A293" s="7" t="s">
        <v>565</v>
      </c>
      <c r="B293" s="8">
        <v>46069</v>
      </c>
      <c r="C293" s="7" t="s">
        <v>168</v>
      </c>
      <c r="D293" s="7" t="s">
        <v>32</v>
      </c>
      <c r="E293" s="7" t="s">
        <v>41</v>
      </c>
      <c r="F293" s="7" t="s">
        <v>42</v>
      </c>
      <c r="G293" s="7">
        <v>5</v>
      </c>
      <c r="H293" s="18">
        <v>1492.31</v>
      </c>
      <c r="I293" s="22">
        <v>0.2</v>
      </c>
      <c r="J293" s="18">
        <v>5969.24</v>
      </c>
      <c r="K293" s="18">
        <v>5008.4799999999996</v>
      </c>
      <c r="L293" s="18">
        <v>960.76</v>
      </c>
      <c r="M293" s="7" t="s">
        <v>57</v>
      </c>
      <c r="N293" s="7" t="s">
        <v>63</v>
      </c>
      <c r="O293" s="7" t="s">
        <v>44</v>
      </c>
      <c r="P293" s="7" t="str">
        <f t="shared" si="12"/>
        <v>Feb</v>
      </c>
      <c r="Q293" s="7">
        <f t="shared" si="13"/>
        <v>2026</v>
      </c>
      <c r="R293" s="23">
        <f t="shared" si="14"/>
        <v>0.16095181296111399</v>
      </c>
    </row>
    <row r="294" spans="1:18">
      <c r="A294" s="7" t="s">
        <v>1152</v>
      </c>
      <c r="B294" s="8">
        <v>46165</v>
      </c>
      <c r="C294" s="7" t="s">
        <v>1030</v>
      </c>
      <c r="D294" s="7" t="s">
        <v>52</v>
      </c>
      <c r="E294" s="7" t="s">
        <v>41</v>
      </c>
      <c r="F294" s="7" t="s">
        <v>124</v>
      </c>
      <c r="G294" s="7">
        <v>6</v>
      </c>
      <c r="H294" s="18">
        <v>1494.74</v>
      </c>
      <c r="I294" s="22">
        <v>0</v>
      </c>
      <c r="J294" s="18">
        <v>8968.44</v>
      </c>
      <c r="K294" s="18">
        <v>5202.2299999999996</v>
      </c>
      <c r="L294" s="18">
        <v>3766.21</v>
      </c>
      <c r="M294" s="7" t="s">
        <v>57</v>
      </c>
      <c r="N294" s="7" t="s">
        <v>71</v>
      </c>
      <c r="O294" s="7" t="s">
        <v>37</v>
      </c>
      <c r="P294" s="7" t="str">
        <f t="shared" si="12"/>
        <v>May</v>
      </c>
      <c r="Q294" s="7">
        <f t="shared" si="13"/>
        <v>2026</v>
      </c>
      <c r="R294" s="23">
        <f t="shared" si="14"/>
        <v>0.4199403686705826</v>
      </c>
    </row>
    <row r="295" spans="1:18">
      <c r="A295" s="7" t="s">
        <v>1441</v>
      </c>
      <c r="B295" s="8">
        <v>46019</v>
      </c>
      <c r="C295" s="7" t="s">
        <v>1376</v>
      </c>
      <c r="D295" s="7" t="s">
        <v>74</v>
      </c>
      <c r="E295" s="7" t="s">
        <v>33</v>
      </c>
      <c r="F295" s="7" t="s">
        <v>176</v>
      </c>
      <c r="G295" s="7">
        <v>6</v>
      </c>
      <c r="H295" s="18">
        <v>1499.64</v>
      </c>
      <c r="I295" s="22">
        <v>0</v>
      </c>
      <c r="J295" s="18">
        <v>8997.84</v>
      </c>
      <c r="K295" s="18">
        <v>5633.86</v>
      </c>
      <c r="L295" s="18">
        <v>3363.98</v>
      </c>
      <c r="M295" s="7" t="s">
        <v>57</v>
      </c>
      <c r="N295" s="7" t="s">
        <v>63</v>
      </c>
      <c r="O295" s="7" t="s">
        <v>37</v>
      </c>
      <c r="P295" s="7" t="str">
        <f t="shared" si="12"/>
        <v>Dec</v>
      </c>
      <c r="Q295" s="7">
        <f t="shared" si="13"/>
        <v>2025</v>
      </c>
      <c r="R295" s="23">
        <f t="shared" si="14"/>
        <v>0.37386528322352919</v>
      </c>
    </row>
    <row r="296" spans="1:18">
      <c r="A296" s="7" t="s">
        <v>946</v>
      </c>
      <c r="B296" s="8">
        <v>45666</v>
      </c>
      <c r="C296" s="7" t="s">
        <v>376</v>
      </c>
      <c r="D296" s="7" t="s">
        <v>134</v>
      </c>
      <c r="E296" s="7" t="s">
        <v>41</v>
      </c>
      <c r="F296" s="7" t="s">
        <v>119</v>
      </c>
      <c r="G296" s="7">
        <v>1</v>
      </c>
      <c r="H296" s="18">
        <v>1506.09</v>
      </c>
      <c r="I296" s="22">
        <v>0</v>
      </c>
      <c r="J296" s="18">
        <v>1506.09</v>
      </c>
      <c r="K296" s="18">
        <v>1209.31</v>
      </c>
      <c r="L296" s="18">
        <v>296.77999999999997</v>
      </c>
      <c r="M296" s="7" t="s">
        <v>57</v>
      </c>
      <c r="N296" s="7" t="s">
        <v>36</v>
      </c>
      <c r="O296" s="7" t="s">
        <v>37</v>
      </c>
      <c r="P296" s="7" t="str">
        <f t="shared" si="12"/>
        <v>Jan</v>
      </c>
      <c r="Q296" s="7">
        <f t="shared" si="13"/>
        <v>2025</v>
      </c>
      <c r="R296" s="23">
        <f t="shared" si="14"/>
        <v>0.19705329694772555</v>
      </c>
    </row>
    <row r="297" spans="1:18">
      <c r="A297" s="7" t="s">
        <v>1606</v>
      </c>
      <c r="B297" s="8">
        <v>46224</v>
      </c>
      <c r="C297" s="7" t="s">
        <v>211</v>
      </c>
      <c r="D297" s="7" t="s">
        <v>32</v>
      </c>
      <c r="E297" s="7" t="s">
        <v>41</v>
      </c>
      <c r="F297" s="7" t="s">
        <v>119</v>
      </c>
      <c r="G297" s="7">
        <v>6</v>
      </c>
      <c r="H297" s="18">
        <v>1509.28</v>
      </c>
      <c r="I297" s="22">
        <v>0</v>
      </c>
      <c r="J297" s="18">
        <v>9055.68</v>
      </c>
      <c r="K297" s="18">
        <v>5268.06</v>
      </c>
      <c r="L297" s="18">
        <v>3787.62</v>
      </c>
      <c r="M297" s="7" t="s">
        <v>35</v>
      </c>
      <c r="N297" s="7" t="s">
        <v>71</v>
      </c>
      <c r="O297" s="7" t="s">
        <v>44</v>
      </c>
      <c r="P297" s="7" t="str">
        <f t="shared" si="12"/>
        <v>Jul</v>
      </c>
      <c r="Q297" s="7">
        <f t="shared" si="13"/>
        <v>2026</v>
      </c>
      <c r="R297" s="23">
        <f t="shared" si="14"/>
        <v>0.41825903742181703</v>
      </c>
    </row>
    <row r="298" spans="1:18">
      <c r="A298" s="7" t="s">
        <v>1327</v>
      </c>
      <c r="B298" s="8">
        <v>45950</v>
      </c>
      <c r="C298" s="7" t="s">
        <v>328</v>
      </c>
      <c r="D298" s="7" t="s">
        <v>47</v>
      </c>
      <c r="E298" s="7" t="s">
        <v>48</v>
      </c>
      <c r="F298" s="7" t="s">
        <v>99</v>
      </c>
      <c r="G298" s="7">
        <v>6</v>
      </c>
      <c r="H298" s="18">
        <v>1510.93</v>
      </c>
      <c r="I298" s="22">
        <v>0.05</v>
      </c>
      <c r="J298" s="18">
        <v>8612.2999999999993</v>
      </c>
      <c r="K298" s="18">
        <v>7030.95</v>
      </c>
      <c r="L298" s="18">
        <v>1581.35</v>
      </c>
      <c r="M298" s="7" t="s">
        <v>57</v>
      </c>
      <c r="N298" s="7" t="s">
        <v>71</v>
      </c>
      <c r="O298" s="7" t="s">
        <v>44</v>
      </c>
      <c r="P298" s="7" t="str">
        <f t="shared" si="12"/>
        <v>Oct</v>
      </c>
      <c r="Q298" s="7">
        <f t="shared" si="13"/>
        <v>2025</v>
      </c>
      <c r="R298" s="23">
        <f t="shared" si="14"/>
        <v>0.18361529440451449</v>
      </c>
    </row>
    <row r="299" spans="1:18">
      <c r="A299" s="7" t="s">
        <v>465</v>
      </c>
      <c r="B299" s="8">
        <v>45956</v>
      </c>
      <c r="C299" s="7" t="s">
        <v>466</v>
      </c>
      <c r="D299" s="7" t="s">
        <v>32</v>
      </c>
      <c r="E299" s="7" t="s">
        <v>61</v>
      </c>
      <c r="F299" s="7" t="s">
        <v>129</v>
      </c>
      <c r="G299" s="7">
        <v>3</v>
      </c>
      <c r="H299" s="18">
        <v>1511.15</v>
      </c>
      <c r="I299" s="22">
        <v>0.15</v>
      </c>
      <c r="J299" s="18">
        <v>3853.43</v>
      </c>
      <c r="K299" s="18">
        <v>3167.59</v>
      </c>
      <c r="L299" s="18">
        <v>685.84</v>
      </c>
      <c r="M299" s="7" t="s">
        <v>35</v>
      </c>
      <c r="N299" s="7" t="s">
        <v>43</v>
      </c>
      <c r="O299" s="7" t="s">
        <v>44</v>
      </c>
      <c r="P299" s="7" t="str">
        <f t="shared" si="12"/>
        <v>Oct</v>
      </c>
      <c r="Q299" s="7">
        <f t="shared" si="13"/>
        <v>2025</v>
      </c>
      <c r="R299" s="23">
        <f t="shared" si="14"/>
        <v>0.17798169423085408</v>
      </c>
    </row>
    <row r="300" spans="1:18">
      <c r="A300" s="7" t="s">
        <v>501</v>
      </c>
      <c r="B300" s="8">
        <v>46016</v>
      </c>
      <c r="C300" s="7" t="s">
        <v>502</v>
      </c>
      <c r="D300" s="7" t="s">
        <v>56</v>
      </c>
      <c r="E300" s="7" t="s">
        <v>33</v>
      </c>
      <c r="F300" s="7" t="s">
        <v>92</v>
      </c>
      <c r="G300" s="7">
        <v>3</v>
      </c>
      <c r="H300" s="18">
        <v>1518.01</v>
      </c>
      <c r="I300" s="22">
        <v>0.05</v>
      </c>
      <c r="J300" s="18">
        <v>4326.33</v>
      </c>
      <c r="K300" s="18">
        <v>3611.66</v>
      </c>
      <c r="L300" s="18">
        <v>714.67</v>
      </c>
      <c r="M300" s="7" t="s">
        <v>35</v>
      </c>
      <c r="N300" s="7" t="s">
        <v>63</v>
      </c>
      <c r="O300" s="7" t="s">
        <v>37</v>
      </c>
      <c r="P300" s="7" t="str">
        <f t="shared" si="12"/>
        <v>Dec</v>
      </c>
      <c r="Q300" s="7">
        <f t="shared" si="13"/>
        <v>2025</v>
      </c>
      <c r="R300" s="23">
        <f t="shared" si="14"/>
        <v>0.16519081993282989</v>
      </c>
    </row>
    <row r="301" spans="1:18">
      <c r="A301" s="7" t="s">
        <v>816</v>
      </c>
      <c r="B301" s="8">
        <v>45971</v>
      </c>
      <c r="C301" s="7" t="s">
        <v>366</v>
      </c>
      <c r="D301" s="7" t="s">
        <v>95</v>
      </c>
      <c r="E301" s="7" t="s">
        <v>41</v>
      </c>
      <c r="F301" s="7" t="s">
        <v>53</v>
      </c>
      <c r="G301" s="7">
        <v>2</v>
      </c>
      <c r="H301" s="18">
        <v>1523.71</v>
      </c>
      <c r="I301" s="22">
        <v>0</v>
      </c>
      <c r="J301" s="18">
        <v>3047.42</v>
      </c>
      <c r="K301" s="18">
        <v>2318.85</v>
      </c>
      <c r="L301" s="18">
        <v>728.57</v>
      </c>
      <c r="M301" s="7" t="s">
        <v>35</v>
      </c>
      <c r="N301" s="7" t="s">
        <v>43</v>
      </c>
      <c r="O301" s="7" t="s">
        <v>44</v>
      </c>
      <c r="P301" s="7" t="str">
        <f t="shared" si="12"/>
        <v>Nov</v>
      </c>
      <c r="Q301" s="7">
        <f t="shared" si="13"/>
        <v>2025</v>
      </c>
      <c r="R301" s="23">
        <f t="shared" si="14"/>
        <v>0.23907764600875495</v>
      </c>
    </row>
    <row r="302" spans="1:18">
      <c r="A302" s="7" t="s">
        <v>178</v>
      </c>
      <c r="B302" s="8">
        <v>46017</v>
      </c>
      <c r="C302" s="7" t="s">
        <v>179</v>
      </c>
      <c r="D302" s="7" t="s">
        <v>74</v>
      </c>
      <c r="E302" s="7" t="s">
        <v>41</v>
      </c>
      <c r="F302" s="7" t="s">
        <v>124</v>
      </c>
      <c r="G302" s="7">
        <v>5</v>
      </c>
      <c r="H302" s="18">
        <v>1525.67</v>
      </c>
      <c r="I302" s="22">
        <v>0.15</v>
      </c>
      <c r="J302" s="18">
        <v>6484.1</v>
      </c>
      <c r="K302" s="18">
        <v>4550.62</v>
      </c>
      <c r="L302" s="18">
        <v>1933.48</v>
      </c>
      <c r="M302" s="7" t="s">
        <v>35</v>
      </c>
      <c r="N302" s="7" t="s">
        <v>63</v>
      </c>
      <c r="O302" s="7" t="s">
        <v>37</v>
      </c>
      <c r="P302" s="7" t="str">
        <f t="shared" si="12"/>
        <v>Dec</v>
      </c>
      <c r="Q302" s="7">
        <f t="shared" si="13"/>
        <v>2025</v>
      </c>
      <c r="R302" s="23">
        <f t="shared" si="14"/>
        <v>0.29818787495566074</v>
      </c>
    </row>
    <row r="303" spans="1:18">
      <c r="A303" s="7" t="s">
        <v>905</v>
      </c>
      <c r="B303" s="8">
        <v>45959</v>
      </c>
      <c r="C303" s="7" t="s">
        <v>108</v>
      </c>
      <c r="D303" s="7" t="s">
        <v>32</v>
      </c>
      <c r="E303" s="7" t="s">
        <v>41</v>
      </c>
      <c r="F303" s="7" t="s">
        <v>124</v>
      </c>
      <c r="G303" s="7">
        <v>5</v>
      </c>
      <c r="H303" s="18">
        <v>1526.96</v>
      </c>
      <c r="I303" s="22">
        <v>0.2</v>
      </c>
      <c r="J303" s="18">
        <v>6107.84</v>
      </c>
      <c r="K303" s="18">
        <v>5000.24</v>
      </c>
      <c r="L303" s="18">
        <v>1107.5999999999999</v>
      </c>
      <c r="M303" s="7" t="s">
        <v>57</v>
      </c>
      <c r="N303" s="7" t="s">
        <v>71</v>
      </c>
      <c r="O303" s="7" t="s">
        <v>44</v>
      </c>
      <c r="P303" s="7" t="str">
        <f t="shared" si="12"/>
        <v>Oct</v>
      </c>
      <c r="Q303" s="7">
        <f t="shared" si="13"/>
        <v>2025</v>
      </c>
      <c r="R303" s="23">
        <f t="shared" si="14"/>
        <v>0.18134070309634828</v>
      </c>
    </row>
    <row r="304" spans="1:18">
      <c r="A304" s="7" t="s">
        <v>357</v>
      </c>
      <c r="B304" s="8">
        <v>45659</v>
      </c>
      <c r="C304" s="7" t="s">
        <v>358</v>
      </c>
      <c r="D304" s="7" t="s">
        <v>74</v>
      </c>
      <c r="E304" s="7" t="s">
        <v>33</v>
      </c>
      <c r="F304" s="7" t="s">
        <v>92</v>
      </c>
      <c r="G304" s="7">
        <v>1</v>
      </c>
      <c r="H304" s="18">
        <v>1537.26</v>
      </c>
      <c r="I304" s="22">
        <v>0.2</v>
      </c>
      <c r="J304" s="18">
        <v>1229.81</v>
      </c>
      <c r="K304" s="18">
        <v>738.64</v>
      </c>
      <c r="L304" s="18">
        <v>491.17</v>
      </c>
      <c r="M304" s="7" t="s">
        <v>35</v>
      </c>
      <c r="N304" s="7" t="s">
        <v>71</v>
      </c>
      <c r="O304" s="7" t="s">
        <v>44</v>
      </c>
      <c r="P304" s="7" t="str">
        <f t="shared" si="12"/>
        <v>Jan</v>
      </c>
      <c r="Q304" s="7">
        <f t="shared" si="13"/>
        <v>2025</v>
      </c>
      <c r="R304" s="23">
        <f t="shared" si="14"/>
        <v>0.39938689716297643</v>
      </c>
    </row>
    <row r="305" spans="1:18">
      <c r="A305" s="7" t="s">
        <v>1444</v>
      </c>
      <c r="B305" s="8">
        <v>45670</v>
      </c>
      <c r="C305" s="7" t="s">
        <v>466</v>
      </c>
      <c r="D305" s="7" t="s">
        <v>134</v>
      </c>
      <c r="E305" s="7" t="s">
        <v>33</v>
      </c>
      <c r="F305" s="7" t="s">
        <v>92</v>
      </c>
      <c r="G305" s="7">
        <v>5</v>
      </c>
      <c r="H305" s="18">
        <v>1540.52</v>
      </c>
      <c r="I305" s="22">
        <v>0</v>
      </c>
      <c r="J305" s="18">
        <v>7702.6</v>
      </c>
      <c r="K305" s="18">
        <v>6223.28</v>
      </c>
      <c r="L305" s="18">
        <v>1479.32</v>
      </c>
      <c r="M305" s="7" t="s">
        <v>57</v>
      </c>
      <c r="N305" s="7" t="s">
        <v>63</v>
      </c>
      <c r="O305" s="7" t="s">
        <v>44</v>
      </c>
      <c r="P305" s="7" t="str">
        <f t="shared" si="12"/>
        <v>Jan</v>
      </c>
      <c r="Q305" s="7">
        <f t="shared" si="13"/>
        <v>2025</v>
      </c>
      <c r="R305" s="23">
        <f t="shared" si="14"/>
        <v>0.19205463090385064</v>
      </c>
    </row>
    <row r="306" spans="1:18">
      <c r="A306" s="7" t="s">
        <v>1075</v>
      </c>
      <c r="B306" s="8">
        <v>45819</v>
      </c>
      <c r="C306" s="7" t="s">
        <v>903</v>
      </c>
      <c r="D306" s="7" t="s">
        <v>32</v>
      </c>
      <c r="E306" s="7" t="s">
        <v>33</v>
      </c>
      <c r="F306" s="7" t="s">
        <v>96</v>
      </c>
      <c r="G306" s="7">
        <v>4</v>
      </c>
      <c r="H306" s="18">
        <v>1540.79</v>
      </c>
      <c r="I306" s="22">
        <v>0.15</v>
      </c>
      <c r="J306" s="18">
        <v>5238.6899999999996</v>
      </c>
      <c r="K306" s="18">
        <v>4254.51</v>
      </c>
      <c r="L306" s="18">
        <v>984.18</v>
      </c>
      <c r="M306" s="7" t="s">
        <v>57</v>
      </c>
      <c r="N306" s="7" t="s">
        <v>71</v>
      </c>
      <c r="O306" s="7" t="s">
        <v>37</v>
      </c>
      <c r="P306" s="7" t="str">
        <f t="shared" si="12"/>
        <v>Jun</v>
      </c>
      <c r="Q306" s="7">
        <f t="shared" si="13"/>
        <v>2025</v>
      </c>
      <c r="R306" s="23">
        <f t="shared" si="14"/>
        <v>0.18786757758141825</v>
      </c>
    </row>
    <row r="307" spans="1:18">
      <c r="A307" s="7" t="s">
        <v>830</v>
      </c>
      <c r="B307" s="8">
        <v>45714</v>
      </c>
      <c r="C307" s="7" t="s">
        <v>768</v>
      </c>
      <c r="D307" s="7" t="s">
        <v>134</v>
      </c>
      <c r="E307" s="7" t="s">
        <v>41</v>
      </c>
      <c r="F307" s="7" t="s">
        <v>153</v>
      </c>
      <c r="G307" s="7">
        <v>2</v>
      </c>
      <c r="H307" s="18">
        <v>1542.07</v>
      </c>
      <c r="I307" s="22">
        <v>0</v>
      </c>
      <c r="J307" s="18">
        <v>3084.14</v>
      </c>
      <c r="K307" s="18">
        <v>1824.04</v>
      </c>
      <c r="L307" s="18">
        <v>1260.0999999999999</v>
      </c>
      <c r="M307" s="7" t="s">
        <v>57</v>
      </c>
      <c r="N307" s="7" t="s">
        <v>71</v>
      </c>
      <c r="O307" s="7" t="s">
        <v>37</v>
      </c>
      <c r="P307" s="7" t="str">
        <f t="shared" si="12"/>
        <v>Feb</v>
      </c>
      <c r="Q307" s="7">
        <f t="shared" si="13"/>
        <v>2025</v>
      </c>
      <c r="R307" s="23">
        <f t="shared" si="14"/>
        <v>0.40857418923913957</v>
      </c>
    </row>
    <row r="308" spans="1:18">
      <c r="A308" s="7" t="s">
        <v>1172</v>
      </c>
      <c r="B308" s="8">
        <v>45981</v>
      </c>
      <c r="C308" s="7" t="s">
        <v>737</v>
      </c>
      <c r="D308" s="7" t="s">
        <v>32</v>
      </c>
      <c r="E308" s="7" t="s">
        <v>33</v>
      </c>
      <c r="F308" s="7" t="s">
        <v>67</v>
      </c>
      <c r="G308" s="7">
        <v>3</v>
      </c>
      <c r="H308" s="18">
        <v>1560.4</v>
      </c>
      <c r="I308" s="22">
        <v>0.1</v>
      </c>
      <c r="J308" s="18">
        <v>4213.08</v>
      </c>
      <c r="K308" s="18">
        <v>2834.43</v>
      </c>
      <c r="L308" s="18">
        <v>1378.65</v>
      </c>
      <c r="M308" s="7" t="s">
        <v>57</v>
      </c>
      <c r="N308" s="7" t="s">
        <v>43</v>
      </c>
      <c r="O308" s="7" t="s">
        <v>44</v>
      </c>
      <c r="P308" s="7" t="str">
        <f t="shared" si="12"/>
        <v>Nov</v>
      </c>
      <c r="Q308" s="7">
        <f t="shared" si="13"/>
        <v>2025</v>
      </c>
      <c r="R308" s="23">
        <f t="shared" si="14"/>
        <v>0.32723090945341654</v>
      </c>
    </row>
    <row r="309" spans="1:18">
      <c r="A309" s="7" t="s">
        <v>1217</v>
      </c>
      <c r="B309" s="8">
        <v>46118</v>
      </c>
      <c r="C309" s="7" t="s">
        <v>243</v>
      </c>
      <c r="D309" s="7" t="s">
        <v>95</v>
      </c>
      <c r="E309" s="7" t="s">
        <v>61</v>
      </c>
      <c r="F309" s="7" t="s">
        <v>89</v>
      </c>
      <c r="G309" s="7">
        <v>4</v>
      </c>
      <c r="H309" s="18">
        <v>1564.76</v>
      </c>
      <c r="I309" s="22">
        <v>0</v>
      </c>
      <c r="J309" s="18">
        <v>6259.04</v>
      </c>
      <c r="K309" s="18">
        <v>4497.8</v>
      </c>
      <c r="L309" s="18">
        <v>1761.24</v>
      </c>
      <c r="M309" s="7" t="s">
        <v>35</v>
      </c>
      <c r="N309" s="7" t="s">
        <v>43</v>
      </c>
      <c r="O309" s="7" t="s">
        <v>44</v>
      </c>
      <c r="P309" s="7" t="str">
        <f t="shared" si="12"/>
        <v>Apr</v>
      </c>
      <c r="Q309" s="7">
        <f t="shared" si="13"/>
        <v>2026</v>
      </c>
      <c r="R309" s="23">
        <f t="shared" si="14"/>
        <v>0.28139139548556968</v>
      </c>
    </row>
    <row r="310" spans="1:18">
      <c r="A310" s="7" t="s">
        <v>64</v>
      </c>
      <c r="B310" s="8">
        <v>45922</v>
      </c>
      <c r="C310" s="7" t="s">
        <v>65</v>
      </c>
      <c r="D310" s="7" t="s">
        <v>66</v>
      </c>
      <c r="E310" s="7" t="s">
        <v>33</v>
      </c>
      <c r="F310" s="7" t="s">
        <v>67</v>
      </c>
      <c r="G310" s="7">
        <v>6</v>
      </c>
      <c r="H310" s="18">
        <v>1565.16</v>
      </c>
      <c r="I310" s="22">
        <v>0</v>
      </c>
      <c r="J310" s="18">
        <v>9390.9599999999991</v>
      </c>
      <c r="K310" s="18">
        <v>7467.25</v>
      </c>
      <c r="L310" s="18">
        <v>1923.71</v>
      </c>
      <c r="M310" s="7" t="s">
        <v>57</v>
      </c>
      <c r="N310" s="7" t="s">
        <v>63</v>
      </c>
      <c r="O310" s="7" t="s">
        <v>44</v>
      </c>
      <c r="P310" s="7" t="str">
        <f t="shared" si="12"/>
        <v>Sep</v>
      </c>
      <c r="Q310" s="7">
        <f t="shared" si="13"/>
        <v>2025</v>
      </c>
      <c r="R310" s="23">
        <f t="shared" si="14"/>
        <v>0.20484700179747334</v>
      </c>
    </row>
    <row r="311" spans="1:18">
      <c r="A311" s="7" t="s">
        <v>539</v>
      </c>
      <c r="B311" s="8">
        <v>45696</v>
      </c>
      <c r="C311" s="7" t="s">
        <v>540</v>
      </c>
      <c r="D311" s="7" t="s">
        <v>47</v>
      </c>
      <c r="E311" s="7" t="s">
        <v>33</v>
      </c>
      <c r="F311" s="7" t="s">
        <v>176</v>
      </c>
      <c r="G311" s="7">
        <v>3</v>
      </c>
      <c r="H311" s="18">
        <v>1578.83</v>
      </c>
      <c r="I311" s="22">
        <v>0.1</v>
      </c>
      <c r="J311" s="18">
        <v>4262.84</v>
      </c>
      <c r="K311" s="18">
        <v>2774.26</v>
      </c>
      <c r="L311" s="18">
        <v>1488.58</v>
      </c>
      <c r="M311" s="7" t="s">
        <v>35</v>
      </c>
      <c r="N311" s="7" t="s">
        <v>36</v>
      </c>
      <c r="O311" s="7" t="s">
        <v>44</v>
      </c>
      <c r="P311" s="7" t="str">
        <f t="shared" si="12"/>
        <v>Feb</v>
      </c>
      <c r="Q311" s="7">
        <f t="shared" si="13"/>
        <v>2025</v>
      </c>
      <c r="R311" s="23">
        <f t="shared" si="14"/>
        <v>0.34919912546565196</v>
      </c>
    </row>
    <row r="312" spans="1:18">
      <c r="A312" s="7" t="s">
        <v>189</v>
      </c>
      <c r="B312" s="8">
        <v>45939</v>
      </c>
      <c r="C312" s="7" t="s">
        <v>59</v>
      </c>
      <c r="D312" s="7" t="s">
        <v>66</v>
      </c>
      <c r="E312" s="7" t="s">
        <v>48</v>
      </c>
      <c r="F312" s="7" t="s">
        <v>70</v>
      </c>
      <c r="G312" s="7">
        <v>4</v>
      </c>
      <c r="H312" s="18">
        <v>1584.11</v>
      </c>
      <c r="I312" s="22">
        <v>0.2</v>
      </c>
      <c r="J312" s="18">
        <v>5069.1499999999996</v>
      </c>
      <c r="K312" s="18">
        <v>3937.63</v>
      </c>
      <c r="L312" s="18">
        <v>1131.52</v>
      </c>
      <c r="M312" s="7" t="s">
        <v>35</v>
      </c>
      <c r="N312" s="7" t="s">
        <v>71</v>
      </c>
      <c r="O312" s="7" t="s">
        <v>44</v>
      </c>
      <c r="P312" s="7" t="str">
        <f t="shared" si="12"/>
        <v>Oct</v>
      </c>
      <c r="Q312" s="7">
        <f t="shared" si="13"/>
        <v>2025</v>
      </c>
      <c r="R312" s="23">
        <f t="shared" si="14"/>
        <v>0.22321691013286252</v>
      </c>
    </row>
    <row r="313" spans="1:18">
      <c r="A313" s="7" t="s">
        <v>949</v>
      </c>
      <c r="B313" s="8">
        <v>46199</v>
      </c>
      <c r="C313" s="7" t="s">
        <v>322</v>
      </c>
      <c r="D313" s="7" t="s">
        <v>134</v>
      </c>
      <c r="E313" s="7" t="s">
        <v>61</v>
      </c>
      <c r="F313" s="7" t="s">
        <v>129</v>
      </c>
      <c r="G313" s="7">
        <v>5</v>
      </c>
      <c r="H313" s="18">
        <v>1587.33</v>
      </c>
      <c r="I313" s="22">
        <v>0</v>
      </c>
      <c r="J313" s="18">
        <v>7936.65</v>
      </c>
      <c r="K313" s="18">
        <v>6512.22</v>
      </c>
      <c r="L313" s="18">
        <v>1424.43</v>
      </c>
      <c r="M313" s="7" t="s">
        <v>57</v>
      </c>
      <c r="N313" s="7" t="s">
        <v>71</v>
      </c>
      <c r="O313" s="7" t="s">
        <v>44</v>
      </c>
      <c r="P313" s="7" t="str">
        <f t="shared" si="12"/>
        <v>Jun</v>
      </c>
      <c r="Q313" s="7">
        <f t="shared" si="13"/>
        <v>2026</v>
      </c>
      <c r="R313" s="23">
        <f t="shared" si="14"/>
        <v>0.17947496739808358</v>
      </c>
    </row>
    <row r="314" spans="1:18">
      <c r="A314" s="7" t="s">
        <v>654</v>
      </c>
      <c r="B314" s="8">
        <v>46001</v>
      </c>
      <c r="C314" s="7" t="s">
        <v>655</v>
      </c>
      <c r="D314" s="7" t="s">
        <v>60</v>
      </c>
      <c r="E314" s="7" t="s">
        <v>61</v>
      </c>
      <c r="F314" s="7" t="s">
        <v>89</v>
      </c>
      <c r="G314" s="7">
        <v>3</v>
      </c>
      <c r="H314" s="18">
        <v>1588.74</v>
      </c>
      <c r="I314" s="22">
        <v>0.05</v>
      </c>
      <c r="J314" s="18">
        <v>4527.91</v>
      </c>
      <c r="K314" s="18">
        <v>3521.92</v>
      </c>
      <c r="L314" s="18">
        <v>1005.99</v>
      </c>
      <c r="M314" s="7" t="s">
        <v>57</v>
      </c>
      <c r="N314" s="7" t="s">
        <v>43</v>
      </c>
      <c r="O314" s="7" t="s">
        <v>44</v>
      </c>
      <c r="P314" s="7" t="str">
        <f t="shared" si="12"/>
        <v>Dec</v>
      </c>
      <c r="Q314" s="7">
        <f t="shared" si="13"/>
        <v>2025</v>
      </c>
      <c r="R314" s="23">
        <f t="shared" si="14"/>
        <v>0.22217535242529116</v>
      </c>
    </row>
    <row r="315" spans="1:18">
      <c r="A315" s="7" t="s">
        <v>1283</v>
      </c>
      <c r="B315" s="8">
        <v>45817</v>
      </c>
      <c r="C315" s="7" t="s">
        <v>846</v>
      </c>
      <c r="D315" s="7" t="s">
        <v>95</v>
      </c>
      <c r="E315" s="7" t="s">
        <v>41</v>
      </c>
      <c r="F315" s="7" t="s">
        <v>42</v>
      </c>
      <c r="G315" s="7">
        <v>6</v>
      </c>
      <c r="H315" s="18">
        <v>1589.3</v>
      </c>
      <c r="I315" s="22">
        <v>0.2</v>
      </c>
      <c r="J315" s="18">
        <v>7628.64</v>
      </c>
      <c r="K315" s="18">
        <v>4485.3100000000004</v>
      </c>
      <c r="L315" s="18">
        <v>3143.33</v>
      </c>
      <c r="M315" s="7" t="s">
        <v>57</v>
      </c>
      <c r="N315" s="7" t="s">
        <v>71</v>
      </c>
      <c r="O315" s="7" t="s">
        <v>44</v>
      </c>
      <c r="P315" s="7" t="str">
        <f t="shared" si="12"/>
        <v>Jun</v>
      </c>
      <c r="Q315" s="7">
        <f t="shared" si="13"/>
        <v>2025</v>
      </c>
      <c r="R315" s="23">
        <f t="shared" si="14"/>
        <v>0.41204329998531847</v>
      </c>
    </row>
    <row r="316" spans="1:18">
      <c r="A316" s="7" t="s">
        <v>1503</v>
      </c>
      <c r="B316" s="8">
        <v>46135</v>
      </c>
      <c r="C316" s="7" t="s">
        <v>602</v>
      </c>
      <c r="D316" s="7" t="s">
        <v>134</v>
      </c>
      <c r="E316" s="7" t="s">
        <v>48</v>
      </c>
      <c r="F316" s="7" t="s">
        <v>113</v>
      </c>
      <c r="G316" s="7">
        <v>4</v>
      </c>
      <c r="H316" s="18">
        <v>1594.93</v>
      </c>
      <c r="I316" s="22">
        <v>0.15</v>
      </c>
      <c r="J316" s="18">
        <v>5422.76</v>
      </c>
      <c r="K316" s="18">
        <v>4157.17</v>
      </c>
      <c r="L316" s="18">
        <v>1265.5899999999999</v>
      </c>
      <c r="M316" s="7" t="s">
        <v>57</v>
      </c>
      <c r="N316" s="7" t="s">
        <v>36</v>
      </c>
      <c r="O316" s="7" t="s">
        <v>44</v>
      </c>
      <c r="P316" s="7" t="str">
        <f t="shared" si="12"/>
        <v>Apr</v>
      </c>
      <c r="Q316" s="7">
        <f t="shared" si="13"/>
        <v>2026</v>
      </c>
      <c r="R316" s="23">
        <f t="shared" si="14"/>
        <v>0.23338484461786985</v>
      </c>
    </row>
    <row r="317" spans="1:18">
      <c r="A317" s="7" t="s">
        <v>345</v>
      </c>
      <c r="B317" s="8">
        <v>46145</v>
      </c>
      <c r="C317" s="7" t="s">
        <v>346</v>
      </c>
      <c r="D317" s="7" t="s">
        <v>56</v>
      </c>
      <c r="E317" s="7" t="s">
        <v>41</v>
      </c>
      <c r="F317" s="7" t="s">
        <v>42</v>
      </c>
      <c r="G317" s="7">
        <v>6</v>
      </c>
      <c r="H317" s="18">
        <v>1597.63</v>
      </c>
      <c r="I317" s="22">
        <v>0.2</v>
      </c>
      <c r="J317" s="18">
        <v>7668.62</v>
      </c>
      <c r="K317" s="18">
        <v>5548.71</v>
      </c>
      <c r="L317" s="18">
        <v>2119.91</v>
      </c>
      <c r="M317" s="7" t="s">
        <v>35</v>
      </c>
      <c r="N317" s="7" t="s">
        <v>63</v>
      </c>
      <c r="O317" s="7" t="s">
        <v>44</v>
      </c>
      <c r="P317" s="7" t="str">
        <f t="shared" si="12"/>
        <v>May</v>
      </c>
      <c r="Q317" s="7">
        <f t="shared" si="13"/>
        <v>2026</v>
      </c>
      <c r="R317" s="23">
        <f t="shared" si="14"/>
        <v>0.27643956800571678</v>
      </c>
    </row>
    <row r="318" spans="1:18">
      <c r="A318" s="7" t="s">
        <v>169</v>
      </c>
      <c r="B318" s="8">
        <v>46025</v>
      </c>
      <c r="C318" s="7" t="s">
        <v>170</v>
      </c>
      <c r="D318" s="7" t="s">
        <v>66</v>
      </c>
      <c r="E318" s="7" t="s">
        <v>41</v>
      </c>
      <c r="F318" s="7" t="s">
        <v>42</v>
      </c>
      <c r="G318" s="7">
        <v>3</v>
      </c>
      <c r="H318" s="18">
        <v>1598.03</v>
      </c>
      <c r="I318" s="22">
        <v>0</v>
      </c>
      <c r="J318" s="18">
        <v>4794.09</v>
      </c>
      <c r="K318" s="18">
        <v>3430.62</v>
      </c>
      <c r="L318" s="18">
        <v>1363.47</v>
      </c>
      <c r="M318" s="7" t="s">
        <v>35</v>
      </c>
      <c r="N318" s="7" t="s">
        <v>63</v>
      </c>
      <c r="O318" s="7" t="s">
        <v>37</v>
      </c>
      <c r="P318" s="7" t="str">
        <f t="shared" si="12"/>
        <v>Jan</v>
      </c>
      <c r="Q318" s="7">
        <f t="shared" si="13"/>
        <v>2026</v>
      </c>
      <c r="R318" s="23">
        <f t="shared" si="14"/>
        <v>0.28440642541128763</v>
      </c>
    </row>
    <row r="319" spans="1:18">
      <c r="A319" s="7" t="s">
        <v>268</v>
      </c>
      <c r="B319" s="8">
        <v>45659</v>
      </c>
      <c r="C319" s="7" t="s">
        <v>269</v>
      </c>
      <c r="D319" s="7" t="s">
        <v>56</v>
      </c>
      <c r="E319" s="7" t="s">
        <v>48</v>
      </c>
      <c r="F319" s="7" t="s">
        <v>99</v>
      </c>
      <c r="G319" s="7">
        <v>3</v>
      </c>
      <c r="H319" s="18">
        <v>1599.25</v>
      </c>
      <c r="I319" s="22">
        <v>0</v>
      </c>
      <c r="J319" s="18">
        <v>4797.75</v>
      </c>
      <c r="K319" s="18">
        <v>2919.04</v>
      </c>
      <c r="L319" s="18">
        <v>1878.71</v>
      </c>
      <c r="M319" s="7" t="s">
        <v>35</v>
      </c>
      <c r="N319" s="7" t="s">
        <v>71</v>
      </c>
      <c r="O319" s="7" t="s">
        <v>37</v>
      </c>
      <c r="P319" s="7" t="str">
        <f t="shared" si="12"/>
        <v>Jan</v>
      </c>
      <c r="Q319" s="7">
        <f t="shared" si="13"/>
        <v>2025</v>
      </c>
      <c r="R319" s="23">
        <f t="shared" si="14"/>
        <v>0.3915814704809546</v>
      </c>
    </row>
    <row r="320" spans="1:18">
      <c r="A320" s="7" t="s">
        <v>402</v>
      </c>
      <c r="B320" s="8">
        <v>46098</v>
      </c>
      <c r="C320" s="7" t="s">
        <v>261</v>
      </c>
      <c r="D320" s="7" t="s">
        <v>60</v>
      </c>
      <c r="E320" s="7" t="s">
        <v>41</v>
      </c>
      <c r="F320" s="7" t="s">
        <v>153</v>
      </c>
      <c r="G320" s="7">
        <v>4</v>
      </c>
      <c r="H320" s="18">
        <v>1600.32</v>
      </c>
      <c r="I320" s="22">
        <v>0</v>
      </c>
      <c r="J320" s="18">
        <v>6401.28</v>
      </c>
      <c r="K320" s="18">
        <v>3822.13</v>
      </c>
      <c r="L320" s="18">
        <v>2579.15</v>
      </c>
      <c r="M320" s="7" t="s">
        <v>35</v>
      </c>
      <c r="N320" s="7" t="s">
        <v>63</v>
      </c>
      <c r="O320" s="7" t="s">
        <v>44</v>
      </c>
      <c r="P320" s="7" t="str">
        <f t="shared" si="12"/>
        <v>Mar</v>
      </c>
      <c r="Q320" s="7">
        <f t="shared" si="13"/>
        <v>2026</v>
      </c>
      <c r="R320" s="23">
        <f t="shared" si="14"/>
        <v>0.40291160517896424</v>
      </c>
    </row>
    <row r="321" spans="1:18">
      <c r="A321" s="7" t="s">
        <v>1192</v>
      </c>
      <c r="B321" s="8">
        <v>46199</v>
      </c>
      <c r="C321" s="7" t="s">
        <v>452</v>
      </c>
      <c r="D321" s="7" t="s">
        <v>74</v>
      </c>
      <c r="E321" s="7" t="s">
        <v>41</v>
      </c>
      <c r="F321" s="7" t="s">
        <v>53</v>
      </c>
      <c r="G321" s="7">
        <v>1</v>
      </c>
      <c r="H321" s="18">
        <v>1623.24</v>
      </c>
      <c r="I321" s="22">
        <v>0.05</v>
      </c>
      <c r="J321" s="18">
        <v>1542.08</v>
      </c>
      <c r="K321" s="18">
        <v>1292.73</v>
      </c>
      <c r="L321" s="18">
        <v>249.35</v>
      </c>
      <c r="M321" s="7" t="s">
        <v>35</v>
      </c>
      <c r="N321" s="7" t="s">
        <v>43</v>
      </c>
      <c r="O321" s="7" t="s">
        <v>44</v>
      </c>
      <c r="P321" s="7" t="str">
        <f t="shared" si="12"/>
        <v>Jun</v>
      </c>
      <c r="Q321" s="7">
        <f t="shared" si="13"/>
        <v>2026</v>
      </c>
      <c r="R321" s="23">
        <f t="shared" si="14"/>
        <v>0.16169718821332227</v>
      </c>
    </row>
    <row r="322" spans="1:18">
      <c r="A322" s="7" t="s">
        <v>677</v>
      </c>
      <c r="B322" s="8">
        <v>45851</v>
      </c>
      <c r="C322" s="7" t="s">
        <v>657</v>
      </c>
      <c r="D322" s="7" t="s">
        <v>95</v>
      </c>
      <c r="E322" s="7" t="s">
        <v>33</v>
      </c>
      <c r="F322" s="7" t="s">
        <v>34</v>
      </c>
      <c r="G322" s="7">
        <v>4</v>
      </c>
      <c r="H322" s="18">
        <v>1633.24</v>
      </c>
      <c r="I322" s="22">
        <v>0.1</v>
      </c>
      <c r="J322" s="18">
        <v>5879.66</v>
      </c>
      <c r="K322" s="18">
        <v>4953.57</v>
      </c>
      <c r="L322" s="18">
        <v>926.09</v>
      </c>
      <c r="M322" s="7" t="s">
        <v>35</v>
      </c>
      <c r="N322" s="7" t="s">
        <v>36</v>
      </c>
      <c r="O322" s="7" t="s">
        <v>37</v>
      </c>
      <c r="P322" s="7" t="str">
        <f t="shared" ref="P322:P385" si="15">TEXT(B322,"mmm")</f>
        <v>Jul</v>
      </c>
      <c r="Q322" s="7">
        <f t="shared" ref="Q322:Q385" si="16">YEAR(B322)</f>
        <v>2025</v>
      </c>
      <c r="R322" s="23">
        <f t="shared" ref="R322:R385" si="17">IFERROR(L322/J322,0)</f>
        <v>0.15750740689087464</v>
      </c>
    </row>
    <row r="323" spans="1:18">
      <c r="A323" s="7" t="s">
        <v>1545</v>
      </c>
      <c r="B323" s="8">
        <v>45968</v>
      </c>
      <c r="C323" s="7" t="s">
        <v>332</v>
      </c>
      <c r="D323" s="7" t="s">
        <v>134</v>
      </c>
      <c r="E323" s="7" t="s">
        <v>48</v>
      </c>
      <c r="F323" s="7" t="s">
        <v>102</v>
      </c>
      <c r="G323" s="7">
        <v>2</v>
      </c>
      <c r="H323" s="18">
        <v>1639.15</v>
      </c>
      <c r="I323" s="22">
        <v>0.2</v>
      </c>
      <c r="J323" s="18">
        <v>2622.64</v>
      </c>
      <c r="K323" s="18">
        <v>1778.5</v>
      </c>
      <c r="L323" s="18">
        <v>844.14</v>
      </c>
      <c r="M323" s="7" t="s">
        <v>57</v>
      </c>
      <c r="N323" s="7" t="s">
        <v>43</v>
      </c>
      <c r="O323" s="7" t="s">
        <v>44</v>
      </c>
      <c r="P323" s="7" t="str">
        <f t="shared" si="15"/>
        <v>Nov</v>
      </c>
      <c r="Q323" s="7">
        <f t="shared" si="16"/>
        <v>2025</v>
      </c>
      <c r="R323" s="23">
        <f t="shared" si="17"/>
        <v>0.32186651618216761</v>
      </c>
    </row>
    <row r="324" spans="1:18">
      <c r="A324" s="7" t="s">
        <v>240</v>
      </c>
      <c r="B324" s="8">
        <v>46094</v>
      </c>
      <c r="C324" s="7" t="s">
        <v>241</v>
      </c>
      <c r="D324" s="7" t="s">
        <v>47</v>
      </c>
      <c r="E324" s="7" t="s">
        <v>48</v>
      </c>
      <c r="F324" s="7" t="s">
        <v>102</v>
      </c>
      <c r="G324" s="7">
        <v>5</v>
      </c>
      <c r="H324" s="18">
        <v>1646.66</v>
      </c>
      <c r="I324" s="22">
        <v>0</v>
      </c>
      <c r="J324" s="18">
        <v>8233.2999999999993</v>
      </c>
      <c r="K324" s="18">
        <v>5023.17</v>
      </c>
      <c r="L324" s="18">
        <v>3210.13</v>
      </c>
      <c r="M324" s="7" t="s">
        <v>35</v>
      </c>
      <c r="N324" s="7" t="s">
        <v>43</v>
      </c>
      <c r="O324" s="7" t="s">
        <v>44</v>
      </c>
      <c r="P324" s="7" t="str">
        <f t="shared" si="15"/>
        <v>Mar</v>
      </c>
      <c r="Q324" s="7">
        <f t="shared" si="16"/>
        <v>2026</v>
      </c>
      <c r="R324" s="23">
        <f t="shared" si="17"/>
        <v>0.38989591050975919</v>
      </c>
    </row>
    <row r="325" spans="1:18">
      <c r="A325" s="7" t="s">
        <v>858</v>
      </c>
      <c r="B325" s="8">
        <v>45898</v>
      </c>
      <c r="C325" s="7" t="s">
        <v>859</v>
      </c>
      <c r="D325" s="7" t="s">
        <v>134</v>
      </c>
      <c r="E325" s="7" t="s">
        <v>61</v>
      </c>
      <c r="F325" s="7" t="s">
        <v>89</v>
      </c>
      <c r="G325" s="7">
        <v>3</v>
      </c>
      <c r="H325" s="18">
        <v>1648.68</v>
      </c>
      <c r="I325" s="22">
        <v>0.05</v>
      </c>
      <c r="J325" s="18">
        <v>4698.74</v>
      </c>
      <c r="K325" s="18">
        <v>3701.04</v>
      </c>
      <c r="L325" s="18">
        <v>997.7</v>
      </c>
      <c r="M325" s="7" t="s">
        <v>35</v>
      </c>
      <c r="N325" s="7" t="s">
        <v>71</v>
      </c>
      <c r="O325" s="7" t="s">
        <v>37</v>
      </c>
      <c r="P325" s="7" t="str">
        <f t="shared" si="15"/>
        <v>Aug</v>
      </c>
      <c r="Q325" s="7">
        <f t="shared" si="16"/>
        <v>2025</v>
      </c>
      <c r="R325" s="23">
        <f t="shared" si="17"/>
        <v>0.21233351919876395</v>
      </c>
    </row>
    <row r="326" spans="1:18">
      <c r="A326" s="7" t="s">
        <v>258</v>
      </c>
      <c r="B326" s="8">
        <v>45793</v>
      </c>
      <c r="C326" s="7" t="s">
        <v>259</v>
      </c>
      <c r="D326" s="7" t="s">
        <v>40</v>
      </c>
      <c r="E326" s="7" t="s">
        <v>33</v>
      </c>
      <c r="F326" s="7" t="s">
        <v>67</v>
      </c>
      <c r="G326" s="7">
        <v>2</v>
      </c>
      <c r="H326" s="18">
        <v>1649.57</v>
      </c>
      <c r="I326" s="22">
        <v>0.1</v>
      </c>
      <c r="J326" s="18">
        <v>2969.23</v>
      </c>
      <c r="K326" s="18">
        <v>2252.96</v>
      </c>
      <c r="L326" s="18">
        <v>716.27</v>
      </c>
      <c r="M326" s="7" t="s">
        <v>57</v>
      </c>
      <c r="N326" s="7" t="s">
        <v>71</v>
      </c>
      <c r="O326" s="7" t="s">
        <v>44</v>
      </c>
      <c r="P326" s="7" t="str">
        <f t="shared" si="15"/>
        <v>May</v>
      </c>
      <c r="Q326" s="7">
        <f t="shared" si="16"/>
        <v>2025</v>
      </c>
      <c r="R326" s="23">
        <f t="shared" si="17"/>
        <v>0.24123089151059365</v>
      </c>
    </row>
    <row r="327" spans="1:18">
      <c r="A327" s="7" t="s">
        <v>1053</v>
      </c>
      <c r="B327" s="8">
        <v>45664</v>
      </c>
      <c r="C327" s="7" t="s">
        <v>1054</v>
      </c>
      <c r="D327" s="7" t="s">
        <v>74</v>
      </c>
      <c r="E327" s="7" t="s">
        <v>61</v>
      </c>
      <c r="F327" s="7" t="s">
        <v>89</v>
      </c>
      <c r="G327" s="7">
        <v>2</v>
      </c>
      <c r="H327" s="18">
        <v>1650.09</v>
      </c>
      <c r="I327" s="22">
        <v>0.05</v>
      </c>
      <c r="J327" s="18">
        <v>3135.17</v>
      </c>
      <c r="K327" s="18">
        <v>2639.13</v>
      </c>
      <c r="L327" s="18">
        <v>496.04</v>
      </c>
      <c r="M327" s="7" t="s">
        <v>35</v>
      </c>
      <c r="N327" s="7" t="s">
        <v>43</v>
      </c>
      <c r="O327" s="7" t="s">
        <v>37</v>
      </c>
      <c r="P327" s="7" t="str">
        <f t="shared" si="15"/>
        <v>Jan</v>
      </c>
      <c r="Q327" s="7">
        <f t="shared" si="16"/>
        <v>2025</v>
      </c>
      <c r="R327" s="23">
        <f t="shared" si="17"/>
        <v>0.15821789568029804</v>
      </c>
    </row>
    <row r="328" spans="1:18">
      <c r="A328" s="7" t="s">
        <v>749</v>
      </c>
      <c r="B328" s="8">
        <v>45770</v>
      </c>
      <c r="C328" s="7" t="s">
        <v>750</v>
      </c>
      <c r="D328" s="7" t="s">
        <v>32</v>
      </c>
      <c r="E328" s="7" t="s">
        <v>61</v>
      </c>
      <c r="F328" s="7" t="s">
        <v>89</v>
      </c>
      <c r="G328" s="7">
        <v>4</v>
      </c>
      <c r="H328" s="18">
        <v>1664.34</v>
      </c>
      <c r="I328" s="22">
        <v>0</v>
      </c>
      <c r="J328" s="18">
        <v>6657.36</v>
      </c>
      <c r="K328" s="18">
        <v>5157.3999999999996</v>
      </c>
      <c r="L328" s="18">
        <v>1499.96</v>
      </c>
      <c r="M328" s="7" t="s">
        <v>57</v>
      </c>
      <c r="N328" s="7" t="s">
        <v>36</v>
      </c>
      <c r="O328" s="7" t="s">
        <v>44</v>
      </c>
      <c r="P328" s="7" t="str">
        <f t="shared" si="15"/>
        <v>Apr</v>
      </c>
      <c r="Q328" s="7">
        <f t="shared" si="16"/>
        <v>2025</v>
      </c>
      <c r="R328" s="23">
        <f t="shared" si="17"/>
        <v>0.22530853070886961</v>
      </c>
    </row>
    <row r="329" spans="1:18">
      <c r="A329" s="7" t="s">
        <v>156</v>
      </c>
      <c r="B329" s="8">
        <v>46214</v>
      </c>
      <c r="C329" s="7" t="s">
        <v>157</v>
      </c>
      <c r="D329" s="7" t="s">
        <v>47</v>
      </c>
      <c r="E329" s="7" t="s">
        <v>33</v>
      </c>
      <c r="F329" s="7" t="s">
        <v>92</v>
      </c>
      <c r="G329" s="7">
        <v>5</v>
      </c>
      <c r="H329" s="18">
        <v>1664.98</v>
      </c>
      <c r="I329" s="22">
        <v>0.2</v>
      </c>
      <c r="J329" s="18">
        <v>6659.92</v>
      </c>
      <c r="K329" s="18">
        <v>4895.45</v>
      </c>
      <c r="L329" s="18">
        <v>1764.47</v>
      </c>
      <c r="M329" s="7" t="s">
        <v>35</v>
      </c>
      <c r="N329" s="7" t="s">
        <v>43</v>
      </c>
      <c r="O329" s="7" t="s">
        <v>44</v>
      </c>
      <c r="P329" s="7" t="str">
        <f t="shared" si="15"/>
        <v>Jul</v>
      </c>
      <c r="Q329" s="7">
        <f t="shared" si="16"/>
        <v>2026</v>
      </c>
      <c r="R329" s="23">
        <f t="shared" si="17"/>
        <v>0.26493861788129586</v>
      </c>
    </row>
    <row r="330" spans="1:18">
      <c r="A330" s="7" t="s">
        <v>850</v>
      </c>
      <c r="B330" s="8">
        <v>45903</v>
      </c>
      <c r="C330" s="7" t="s">
        <v>851</v>
      </c>
      <c r="D330" s="7" t="s">
        <v>66</v>
      </c>
      <c r="E330" s="7" t="s">
        <v>41</v>
      </c>
      <c r="F330" s="7" t="s">
        <v>53</v>
      </c>
      <c r="G330" s="7">
        <v>2</v>
      </c>
      <c r="H330" s="18">
        <v>1667.23</v>
      </c>
      <c r="I330" s="22">
        <v>0.2</v>
      </c>
      <c r="J330" s="18">
        <v>2667.57</v>
      </c>
      <c r="K330" s="18">
        <v>2172.59</v>
      </c>
      <c r="L330" s="18">
        <v>494.98</v>
      </c>
      <c r="M330" s="7" t="s">
        <v>35</v>
      </c>
      <c r="N330" s="7" t="s">
        <v>63</v>
      </c>
      <c r="O330" s="7" t="s">
        <v>44</v>
      </c>
      <c r="P330" s="7" t="str">
        <f t="shared" si="15"/>
        <v>Sep</v>
      </c>
      <c r="Q330" s="7">
        <f t="shared" si="16"/>
        <v>2025</v>
      </c>
      <c r="R330" s="23">
        <f t="shared" si="17"/>
        <v>0.18555464336456026</v>
      </c>
    </row>
    <row r="331" spans="1:18">
      <c r="A331" s="7" t="s">
        <v>1417</v>
      </c>
      <c r="B331" s="8">
        <v>46245</v>
      </c>
      <c r="C331" s="7" t="s">
        <v>320</v>
      </c>
      <c r="D331" s="7" t="s">
        <v>134</v>
      </c>
      <c r="E331" s="7" t="s">
        <v>41</v>
      </c>
      <c r="F331" s="7" t="s">
        <v>53</v>
      </c>
      <c r="G331" s="7">
        <v>1</v>
      </c>
      <c r="H331" s="18">
        <v>1684.41</v>
      </c>
      <c r="I331" s="22">
        <v>0.2</v>
      </c>
      <c r="J331" s="18">
        <v>1347.53</v>
      </c>
      <c r="K331" s="18">
        <v>1129.42</v>
      </c>
      <c r="L331" s="18">
        <v>218.11</v>
      </c>
      <c r="M331" s="7" t="s">
        <v>35</v>
      </c>
      <c r="N331" s="7" t="s">
        <v>43</v>
      </c>
      <c r="O331" s="7" t="s">
        <v>37</v>
      </c>
      <c r="P331" s="7" t="str">
        <f t="shared" si="15"/>
        <v>Aug</v>
      </c>
      <c r="Q331" s="7">
        <f t="shared" si="16"/>
        <v>2026</v>
      </c>
      <c r="R331" s="23">
        <f t="shared" si="17"/>
        <v>0.16185910517762128</v>
      </c>
    </row>
    <row r="332" spans="1:18">
      <c r="A332" s="7" t="s">
        <v>1638</v>
      </c>
      <c r="B332" s="8">
        <v>46158</v>
      </c>
      <c r="C332" s="7" t="s">
        <v>1297</v>
      </c>
      <c r="D332" s="7" t="s">
        <v>47</v>
      </c>
      <c r="E332" s="7" t="s">
        <v>33</v>
      </c>
      <c r="F332" s="7" t="s">
        <v>176</v>
      </c>
      <c r="G332" s="7">
        <v>2</v>
      </c>
      <c r="H332" s="18">
        <v>1689.31</v>
      </c>
      <c r="I332" s="22">
        <v>0.1</v>
      </c>
      <c r="J332" s="18">
        <v>3040.76</v>
      </c>
      <c r="K332" s="18">
        <v>2503.6</v>
      </c>
      <c r="L332" s="18">
        <v>537.16</v>
      </c>
      <c r="M332" s="7" t="s">
        <v>35</v>
      </c>
      <c r="N332" s="7" t="s">
        <v>36</v>
      </c>
      <c r="O332" s="7" t="s">
        <v>44</v>
      </c>
      <c r="P332" s="7" t="str">
        <f t="shared" si="15"/>
        <v>May</v>
      </c>
      <c r="Q332" s="7">
        <f t="shared" si="16"/>
        <v>2026</v>
      </c>
      <c r="R332" s="23">
        <f t="shared" si="17"/>
        <v>0.17665320511977267</v>
      </c>
    </row>
    <row r="333" spans="1:18">
      <c r="A333" s="7" t="s">
        <v>963</v>
      </c>
      <c r="B333" s="8">
        <v>46088</v>
      </c>
      <c r="C333" s="7" t="s">
        <v>964</v>
      </c>
      <c r="D333" s="7" t="s">
        <v>40</v>
      </c>
      <c r="E333" s="7" t="s">
        <v>33</v>
      </c>
      <c r="F333" s="7" t="s">
        <v>96</v>
      </c>
      <c r="G333" s="7">
        <v>4</v>
      </c>
      <c r="H333" s="18">
        <v>1691.91</v>
      </c>
      <c r="I333" s="22">
        <v>0</v>
      </c>
      <c r="J333" s="18">
        <v>6767.64</v>
      </c>
      <c r="K333" s="18">
        <v>4992.58</v>
      </c>
      <c r="L333" s="18">
        <v>1775.06</v>
      </c>
      <c r="M333" s="7" t="s">
        <v>57</v>
      </c>
      <c r="N333" s="7" t="s">
        <v>36</v>
      </c>
      <c r="O333" s="7" t="s">
        <v>44</v>
      </c>
      <c r="P333" s="7" t="str">
        <f t="shared" si="15"/>
        <v>Mar</v>
      </c>
      <c r="Q333" s="7">
        <f t="shared" si="16"/>
        <v>2026</v>
      </c>
      <c r="R333" s="23">
        <f t="shared" si="17"/>
        <v>0.26228641003363062</v>
      </c>
    </row>
    <row r="334" spans="1:18">
      <c r="A334" s="7" t="s">
        <v>174</v>
      </c>
      <c r="B334" s="8">
        <v>46136</v>
      </c>
      <c r="C334" s="7" t="s">
        <v>175</v>
      </c>
      <c r="D334" s="7" t="s">
        <v>66</v>
      </c>
      <c r="E334" s="7" t="s">
        <v>33</v>
      </c>
      <c r="F334" s="7" t="s">
        <v>176</v>
      </c>
      <c r="G334" s="7">
        <v>4</v>
      </c>
      <c r="H334" s="18">
        <v>1694.67</v>
      </c>
      <c r="I334" s="22">
        <v>0.1</v>
      </c>
      <c r="J334" s="18">
        <v>6100.81</v>
      </c>
      <c r="K334" s="18">
        <v>4844.3999999999996</v>
      </c>
      <c r="L334" s="18">
        <v>1256.4100000000001</v>
      </c>
      <c r="M334" s="7" t="s">
        <v>35</v>
      </c>
      <c r="N334" s="7" t="s">
        <v>36</v>
      </c>
      <c r="O334" s="7" t="s">
        <v>37</v>
      </c>
      <c r="P334" s="7" t="str">
        <f t="shared" si="15"/>
        <v>Apr</v>
      </c>
      <c r="Q334" s="7">
        <f t="shared" si="16"/>
        <v>2026</v>
      </c>
      <c r="R334" s="23">
        <f t="shared" si="17"/>
        <v>0.20594150612787482</v>
      </c>
    </row>
    <row r="335" spans="1:18">
      <c r="A335" s="7" t="s">
        <v>1483</v>
      </c>
      <c r="B335" s="8">
        <v>45720</v>
      </c>
      <c r="C335" s="7" t="s">
        <v>144</v>
      </c>
      <c r="D335" s="7" t="s">
        <v>66</v>
      </c>
      <c r="E335" s="7" t="s">
        <v>61</v>
      </c>
      <c r="F335" s="7" t="s">
        <v>129</v>
      </c>
      <c r="G335" s="7">
        <v>5</v>
      </c>
      <c r="H335" s="18">
        <v>1696.44</v>
      </c>
      <c r="I335" s="22">
        <v>0</v>
      </c>
      <c r="J335" s="18">
        <v>8482.2000000000007</v>
      </c>
      <c r="K335" s="18">
        <v>6517.65</v>
      </c>
      <c r="L335" s="18">
        <v>1964.55</v>
      </c>
      <c r="M335" s="7" t="s">
        <v>57</v>
      </c>
      <c r="N335" s="7" t="s">
        <v>63</v>
      </c>
      <c r="O335" s="7" t="s">
        <v>44</v>
      </c>
      <c r="P335" s="7" t="str">
        <f t="shared" si="15"/>
        <v>Mar</v>
      </c>
      <c r="Q335" s="7">
        <f t="shared" si="16"/>
        <v>2025</v>
      </c>
      <c r="R335" s="23">
        <f t="shared" si="17"/>
        <v>0.23160854495296029</v>
      </c>
    </row>
    <row r="336" spans="1:18">
      <c r="A336" s="7" t="s">
        <v>853</v>
      </c>
      <c r="B336" s="8">
        <v>46001</v>
      </c>
      <c r="C336" s="7" t="s">
        <v>203</v>
      </c>
      <c r="D336" s="7" t="s">
        <v>56</v>
      </c>
      <c r="E336" s="7" t="s">
        <v>48</v>
      </c>
      <c r="F336" s="7" t="s">
        <v>102</v>
      </c>
      <c r="G336" s="7">
        <v>2</v>
      </c>
      <c r="H336" s="18">
        <v>1697.89</v>
      </c>
      <c r="I336" s="22">
        <v>0.05</v>
      </c>
      <c r="J336" s="18">
        <v>3225.99</v>
      </c>
      <c r="K336" s="18">
        <v>2541.77</v>
      </c>
      <c r="L336" s="18">
        <v>684.22</v>
      </c>
      <c r="M336" s="7" t="s">
        <v>35</v>
      </c>
      <c r="N336" s="7" t="s">
        <v>36</v>
      </c>
      <c r="O336" s="7" t="s">
        <v>44</v>
      </c>
      <c r="P336" s="7" t="str">
        <f t="shared" si="15"/>
        <v>Dec</v>
      </c>
      <c r="Q336" s="7">
        <f t="shared" si="16"/>
        <v>2025</v>
      </c>
      <c r="R336" s="23">
        <f t="shared" si="17"/>
        <v>0.21209613173010458</v>
      </c>
    </row>
    <row r="337" spans="1:18">
      <c r="A337" s="7" t="s">
        <v>1356</v>
      </c>
      <c r="B337" s="8">
        <v>45678</v>
      </c>
      <c r="C337" s="7" t="s">
        <v>1357</v>
      </c>
      <c r="D337" s="7" t="s">
        <v>32</v>
      </c>
      <c r="E337" s="7" t="s">
        <v>61</v>
      </c>
      <c r="F337" s="7" t="s">
        <v>84</v>
      </c>
      <c r="G337" s="7">
        <v>4</v>
      </c>
      <c r="H337" s="18">
        <v>1702.57</v>
      </c>
      <c r="I337" s="22">
        <v>0.05</v>
      </c>
      <c r="J337" s="18">
        <v>6469.77</v>
      </c>
      <c r="K337" s="18">
        <v>3567.64</v>
      </c>
      <c r="L337" s="18">
        <v>2902.13</v>
      </c>
      <c r="M337" s="7" t="s">
        <v>35</v>
      </c>
      <c r="N337" s="7" t="s">
        <v>63</v>
      </c>
      <c r="O337" s="7" t="s">
        <v>44</v>
      </c>
      <c r="P337" s="7" t="str">
        <f t="shared" si="15"/>
        <v>Jan</v>
      </c>
      <c r="Q337" s="7">
        <f t="shared" si="16"/>
        <v>2025</v>
      </c>
      <c r="R337" s="23">
        <f t="shared" si="17"/>
        <v>0.44856772342757162</v>
      </c>
    </row>
    <row r="338" spans="1:18">
      <c r="A338" s="7" t="s">
        <v>1690</v>
      </c>
      <c r="B338" s="8">
        <v>45990</v>
      </c>
      <c r="C338" s="7" t="s">
        <v>461</v>
      </c>
      <c r="D338" s="7" t="s">
        <v>74</v>
      </c>
      <c r="E338" s="7" t="s">
        <v>61</v>
      </c>
      <c r="F338" s="7" t="s">
        <v>81</v>
      </c>
      <c r="G338" s="7">
        <v>4</v>
      </c>
      <c r="H338" s="18">
        <v>1703.68</v>
      </c>
      <c r="I338" s="22">
        <v>0.2</v>
      </c>
      <c r="J338" s="18">
        <v>5451.78</v>
      </c>
      <c r="K338" s="18">
        <v>3697.78</v>
      </c>
      <c r="L338" s="18">
        <v>1754</v>
      </c>
      <c r="M338" s="7" t="s">
        <v>57</v>
      </c>
      <c r="N338" s="7" t="s">
        <v>71</v>
      </c>
      <c r="O338" s="7" t="s">
        <v>37</v>
      </c>
      <c r="P338" s="7" t="str">
        <f t="shared" si="15"/>
        <v>Nov</v>
      </c>
      <c r="Q338" s="7">
        <f t="shared" si="16"/>
        <v>2025</v>
      </c>
      <c r="R338" s="23">
        <f t="shared" si="17"/>
        <v>0.32172978366698585</v>
      </c>
    </row>
    <row r="339" spans="1:18">
      <c r="A339" s="7" t="s">
        <v>1523</v>
      </c>
      <c r="B339" s="8">
        <v>45911</v>
      </c>
      <c r="C339" s="7" t="s">
        <v>714</v>
      </c>
      <c r="D339" s="7" t="s">
        <v>56</v>
      </c>
      <c r="E339" s="7" t="s">
        <v>48</v>
      </c>
      <c r="F339" s="7" t="s">
        <v>102</v>
      </c>
      <c r="G339" s="7">
        <v>5</v>
      </c>
      <c r="H339" s="18">
        <v>1704.02</v>
      </c>
      <c r="I339" s="22">
        <v>0.15</v>
      </c>
      <c r="J339" s="18">
        <v>7242.09</v>
      </c>
      <c r="K339" s="18">
        <v>4338.91</v>
      </c>
      <c r="L339" s="18">
        <v>2903.18</v>
      </c>
      <c r="M339" s="7" t="s">
        <v>35</v>
      </c>
      <c r="N339" s="7" t="s">
        <v>36</v>
      </c>
      <c r="O339" s="7" t="s">
        <v>44</v>
      </c>
      <c r="P339" s="7" t="str">
        <f t="shared" si="15"/>
        <v>Sep</v>
      </c>
      <c r="Q339" s="7">
        <f t="shared" si="16"/>
        <v>2025</v>
      </c>
      <c r="R339" s="23">
        <f t="shared" si="17"/>
        <v>0.40087599021829329</v>
      </c>
    </row>
    <row r="340" spans="1:18">
      <c r="A340" s="7" t="s">
        <v>875</v>
      </c>
      <c r="B340" s="8">
        <v>45841</v>
      </c>
      <c r="C340" s="7" t="s">
        <v>731</v>
      </c>
      <c r="D340" s="7" t="s">
        <v>66</v>
      </c>
      <c r="E340" s="7" t="s">
        <v>41</v>
      </c>
      <c r="F340" s="7" t="s">
        <v>53</v>
      </c>
      <c r="G340" s="7">
        <v>5</v>
      </c>
      <c r="H340" s="18">
        <v>1705.63</v>
      </c>
      <c r="I340" s="22">
        <v>0</v>
      </c>
      <c r="J340" s="18">
        <v>8528.15</v>
      </c>
      <c r="K340" s="18">
        <v>7132.13</v>
      </c>
      <c r="L340" s="18">
        <v>1396.02</v>
      </c>
      <c r="M340" s="7" t="s">
        <v>57</v>
      </c>
      <c r="N340" s="7" t="s">
        <v>36</v>
      </c>
      <c r="O340" s="7" t="s">
        <v>44</v>
      </c>
      <c r="P340" s="7" t="str">
        <f t="shared" si="15"/>
        <v>Jul</v>
      </c>
      <c r="Q340" s="7">
        <f t="shared" si="16"/>
        <v>2025</v>
      </c>
      <c r="R340" s="23">
        <f t="shared" si="17"/>
        <v>0.16369552599332798</v>
      </c>
    </row>
    <row r="341" spans="1:18">
      <c r="A341" s="7" t="s">
        <v>1398</v>
      </c>
      <c r="B341" s="8">
        <v>46101</v>
      </c>
      <c r="C341" s="7" t="s">
        <v>296</v>
      </c>
      <c r="D341" s="7" t="s">
        <v>52</v>
      </c>
      <c r="E341" s="7" t="s">
        <v>33</v>
      </c>
      <c r="F341" s="7" t="s">
        <v>176</v>
      </c>
      <c r="G341" s="7">
        <v>2</v>
      </c>
      <c r="H341" s="18">
        <v>1709.12</v>
      </c>
      <c r="I341" s="22">
        <v>0.15</v>
      </c>
      <c r="J341" s="18">
        <v>2905.5</v>
      </c>
      <c r="K341" s="18">
        <v>1699.1</v>
      </c>
      <c r="L341" s="18">
        <v>1206.4000000000001</v>
      </c>
      <c r="M341" s="7" t="s">
        <v>57</v>
      </c>
      <c r="N341" s="7" t="s">
        <v>63</v>
      </c>
      <c r="O341" s="7" t="s">
        <v>44</v>
      </c>
      <c r="P341" s="7" t="str">
        <f t="shared" si="15"/>
        <v>Mar</v>
      </c>
      <c r="Q341" s="7">
        <f t="shared" si="16"/>
        <v>2026</v>
      </c>
      <c r="R341" s="23">
        <f t="shared" si="17"/>
        <v>0.41521252796420582</v>
      </c>
    </row>
    <row r="342" spans="1:18">
      <c r="A342" s="7" t="s">
        <v>1726</v>
      </c>
      <c r="B342" s="8">
        <v>45827</v>
      </c>
      <c r="C342" s="7" t="s">
        <v>815</v>
      </c>
      <c r="D342" s="7" t="s">
        <v>95</v>
      </c>
      <c r="E342" s="7" t="s">
        <v>41</v>
      </c>
      <c r="F342" s="7" t="s">
        <v>42</v>
      </c>
      <c r="G342" s="7">
        <v>1</v>
      </c>
      <c r="H342" s="18">
        <v>1711.42</v>
      </c>
      <c r="I342" s="22">
        <v>0</v>
      </c>
      <c r="J342" s="18">
        <v>1711.42</v>
      </c>
      <c r="K342" s="18">
        <v>1406.83</v>
      </c>
      <c r="L342" s="18">
        <v>304.58999999999997</v>
      </c>
      <c r="M342" s="7" t="s">
        <v>35</v>
      </c>
      <c r="N342" s="7" t="s">
        <v>71</v>
      </c>
      <c r="O342" s="7" t="s">
        <v>44</v>
      </c>
      <c r="P342" s="7" t="str">
        <f t="shared" si="15"/>
        <v>Jun</v>
      </c>
      <c r="Q342" s="7">
        <f t="shared" si="16"/>
        <v>2025</v>
      </c>
      <c r="R342" s="23">
        <f t="shared" si="17"/>
        <v>0.17797501489990766</v>
      </c>
    </row>
    <row r="343" spans="1:18">
      <c r="A343" s="7" t="s">
        <v>1637</v>
      </c>
      <c r="B343" s="8">
        <v>45716</v>
      </c>
      <c r="C343" s="7" t="s">
        <v>515</v>
      </c>
      <c r="D343" s="7" t="s">
        <v>134</v>
      </c>
      <c r="E343" s="7" t="s">
        <v>33</v>
      </c>
      <c r="F343" s="7" t="s">
        <v>67</v>
      </c>
      <c r="G343" s="7">
        <v>3</v>
      </c>
      <c r="H343" s="18">
        <v>1721.05</v>
      </c>
      <c r="I343" s="22">
        <v>0.15</v>
      </c>
      <c r="J343" s="18">
        <v>4388.68</v>
      </c>
      <c r="K343" s="18">
        <v>3381.86</v>
      </c>
      <c r="L343" s="18">
        <v>1006.82</v>
      </c>
      <c r="M343" s="7" t="s">
        <v>57</v>
      </c>
      <c r="N343" s="7" t="s">
        <v>71</v>
      </c>
      <c r="O343" s="7" t="s">
        <v>44</v>
      </c>
      <c r="P343" s="7" t="str">
        <f t="shared" si="15"/>
        <v>Feb</v>
      </c>
      <c r="Q343" s="7">
        <f t="shared" si="16"/>
        <v>2025</v>
      </c>
      <c r="R343" s="23">
        <f t="shared" si="17"/>
        <v>0.2294129442110156</v>
      </c>
    </row>
    <row r="344" spans="1:18">
      <c r="A344" s="7" t="s">
        <v>1455</v>
      </c>
      <c r="B344" s="8">
        <v>45969</v>
      </c>
      <c r="C344" s="7" t="s">
        <v>179</v>
      </c>
      <c r="D344" s="7" t="s">
        <v>134</v>
      </c>
      <c r="E344" s="7" t="s">
        <v>41</v>
      </c>
      <c r="F344" s="7" t="s">
        <v>119</v>
      </c>
      <c r="G344" s="7">
        <v>1</v>
      </c>
      <c r="H344" s="18">
        <v>1725.03</v>
      </c>
      <c r="I344" s="22">
        <v>0.2</v>
      </c>
      <c r="J344" s="18">
        <v>1380.02</v>
      </c>
      <c r="K344" s="18">
        <v>1115.8900000000001</v>
      </c>
      <c r="L344" s="18">
        <v>264.13</v>
      </c>
      <c r="M344" s="7" t="s">
        <v>57</v>
      </c>
      <c r="N344" s="7" t="s">
        <v>71</v>
      </c>
      <c r="O344" s="7" t="s">
        <v>44</v>
      </c>
      <c r="P344" s="7" t="str">
        <f t="shared" si="15"/>
        <v>Nov</v>
      </c>
      <c r="Q344" s="7">
        <f t="shared" si="16"/>
        <v>2025</v>
      </c>
      <c r="R344" s="23">
        <f t="shared" si="17"/>
        <v>0.19139577687279893</v>
      </c>
    </row>
    <row r="345" spans="1:18">
      <c r="A345" s="7" t="s">
        <v>1623</v>
      </c>
      <c r="B345" s="8">
        <v>46134</v>
      </c>
      <c r="C345" s="7" t="s">
        <v>864</v>
      </c>
      <c r="D345" s="7" t="s">
        <v>47</v>
      </c>
      <c r="E345" s="7" t="s">
        <v>41</v>
      </c>
      <c r="F345" s="7" t="s">
        <v>153</v>
      </c>
      <c r="G345" s="7">
        <v>4</v>
      </c>
      <c r="H345" s="18">
        <v>1726.03</v>
      </c>
      <c r="I345" s="22">
        <v>0.2</v>
      </c>
      <c r="J345" s="18">
        <v>5523.3</v>
      </c>
      <c r="K345" s="18">
        <v>3198.83</v>
      </c>
      <c r="L345" s="18">
        <v>2324.4699999999998</v>
      </c>
      <c r="M345" s="7" t="s">
        <v>35</v>
      </c>
      <c r="N345" s="7" t="s">
        <v>63</v>
      </c>
      <c r="O345" s="7" t="s">
        <v>37</v>
      </c>
      <c r="P345" s="7" t="str">
        <f t="shared" si="15"/>
        <v>Apr</v>
      </c>
      <c r="Q345" s="7">
        <f t="shared" si="16"/>
        <v>2026</v>
      </c>
      <c r="R345" s="23">
        <f t="shared" si="17"/>
        <v>0.42084804374196583</v>
      </c>
    </row>
    <row r="346" spans="1:18">
      <c r="A346" s="7" t="s">
        <v>872</v>
      </c>
      <c r="B346" s="8">
        <v>46163</v>
      </c>
      <c r="C346" s="7" t="s">
        <v>466</v>
      </c>
      <c r="D346" s="7" t="s">
        <v>40</v>
      </c>
      <c r="E346" s="7" t="s">
        <v>41</v>
      </c>
      <c r="F346" s="7" t="s">
        <v>153</v>
      </c>
      <c r="G346" s="7">
        <v>5</v>
      </c>
      <c r="H346" s="18">
        <v>1726.95</v>
      </c>
      <c r="I346" s="22">
        <v>0</v>
      </c>
      <c r="J346" s="18">
        <v>8634.75</v>
      </c>
      <c r="K346" s="18">
        <v>5041.17</v>
      </c>
      <c r="L346" s="18">
        <v>3593.58</v>
      </c>
      <c r="M346" s="7" t="s">
        <v>35</v>
      </c>
      <c r="N346" s="7" t="s">
        <v>63</v>
      </c>
      <c r="O346" s="7" t="s">
        <v>44</v>
      </c>
      <c r="P346" s="7" t="str">
        <f t="shared" si="15"/>
        <v>May</v>
      </c>
      <c r="Q346" s="7">
        <f t="shared" si="16"/>
        <v>2026</v>
      </c>
      <c r="R346" s="23">
        <f t="shared" si="17"/>
        <v>0.41617649613480412</v>
      </c>
    </row>
    <row r="347" spans="1:18">
      <c r="A347" s="7" t="s">
        <v>1337</v>
      </c>
      <c r="B347" s="8">
        <v>46214</v>
      </c>
      <c r="C347" s="7" t="s">
        <v>1338</v>
      </c>
      <c r="D347" s="7" t="s">
        <v>47</v>
      </c>
      <c r="E347" s="7" t="s">
        <v>33</v>
      </c>
      <c r="F347" s="7" t="s">
        <v>34</v>
      </c>
      <c r="G347" s="7">
        <v>1</v>
      </c>
      <c r="H347" s="18">
        <v>1733.89</v>
      </c>
      <c r="I347" s="22">
        <v>0.2</v>
      </c>
      <c r="J347" s="18">
        <v>1387.11</v>
      </c>
      <c r="K347" s="18">
        <v>827.02</v>
      </c>
      <c r="L347" s="18">
        <v>560.09</v>
      </c>
      <c r="M347" s="7" t="s">
        <v>57</v>
      </c>
      <c r="N347" s="7" t="s">
        <v>71</v>
      </c>
      <c r="O347" s="7" t="s">
        <v>44</v>
      </c>
      <c r="P347" s="7" t="str">
        <f t="shared" si="15"/>
        <v>Jul</v>
      </c>
      <c r="Q347" s="7">
        <f t="shared" si="16"/>
        <v>2026</v>
      </c>
      <c r="R347" s="23">
        <f t="shared" si="17"/>
        <v>0.40378196393941368</v>
      </c>
    </row>
    <row r="348" spans="1:18">
      <c r="A348" s="7" t="s">
        <v>1650</v>
      </c>
      <c r="B348" s="8">
        <v>46231</v>
      </c>
      <c r="C348" s="7" t="s">
        <v>250</v>
      </c>
      <c r="D348" s="7" t="s">
        <v>52</v>
      </c>
      <c r="E348" s="7" t="s">
        <v>41</v>
      </c>
      <c r="F348" s="7" t="s">
        <v>42</v>
      </c>
      <c r="G348" s="7">
        <v>4</v>
      </c>
      <c r="H348" s="18">
        <v>1735.32</v>
      </c>
      <c r="I348" s="22">
        <v>0.05</v>
      </c>
      <c r="J348" s="18">
        <v>6594.22</v>
      </c>
      <c r="K348" s="18">
        <v>5015.25</v>
      </c>
      <c r="L348" s="18">
        <v>1578.97</v>
      </c>
      <c r="M348" s="7" t="s">
        <v>35</v>
      </c>
      <c r="N348" s="7" t="s">
        <v>63</v>
      </c>
      <c r="O348" s="7" t="s">
        <v>37</v>
      </c>
      <c r="P348" s="7" t="str">
        <f t="shared" si="15"/>
        <v>Jul</v>
      </c>
      <c r="Q348" s="7">
        <f t="shared" si="16"/>
        <v>2026</v>
      </c>
      <c r="R348" s="23">
        <f t="shared" si="17"/>
        <v>0.2394475768172733</v>
      </c>
    </row>
    <row r="349" spans="1:18">
      <c r="A349" s="7" t="s">
        <v>1753</v>
      </c>
      <c r="B349" s="8">
        <v>46144</v>
      </c>
      <c r="C349" s="7" t="s">
        <v>127</v>
      </c>
      <c r="D349" s="7" t="s">
        <v>47</v>
      </c>
      <c r="E349" s="7" t="s">
        <v>33</v>
      </c>
      <c r="F349" s="7" t="s">
        <v>176</v>
      </c>
      <c r="G349" s="7">
        <v>3</v>
      </c>
      <c r="H349" s="18">
        <v>1746.82</v>
      </c>
      <c r="I349" s="22">
        <v>0</v>
      </c>
      <c r="J349" s="18">
        <v>5240.46</v>
      </c>
      <c r="K349" s="18">
        <v>3893.96</v>
      </c>
      <c r="L349" s="18">
        <v>1346.5</v>
      </c>
      <c r="M349" s="7" t="s">
        <v>35</v>
      </c>
      <c r="N349" s="7" t="s">
        <v>71</v>
      </c>
      <c r="O349" s="7" t="s">
        <v>37</v>
      </c>
      <c r="P349" s="7" t="str">
        <f t="shared" si="15"/>
        <v>May</v>
      </c>
      <c r="Q349" s="7">
        <f t="shared" si="16"/>
        <v>2026</v>
      </c>
      <c r="R349" s="23">
        <f t="shared" si="17"/>
        <v>0.25694309278193134</v>
      </c>
    </row>
    <row r="350" spans="1:18">
      <c r="A350" s="7" t="s">
        <v>97</v>
      </c>
      <c r="B350" s="8">
        <v>46125</v>
      </c>
      <c r="C350" s="7" t="s">
        <v>98</v>
      </c>
      <c r="D350" s="7" t="s">
        <v>56</v>
      </c>
      <c r="E350" s="7" t="s">
        <v>48</v>
      </c>
      <c r="F350" s="7" t="s">
        <v>99</v>
      </c>
      <c r="G350" s="7">
        <v>5</v>
      </c>
      <c r="H350" s="18">
        <v>1751.75</v>
      </c>
      <c r="I350" s="22">
        <v>0.1</v>
      </c>
      <c r="J350" s="18">
        <v>7882.88</v>
      </c>
      <c r="K350" s="18">
        <v>6503.76</v>
      </c>
      <c r="L350" s="18">
        <v>1379.12</v>
      </c>
      <c r="M350" s="7" t="s">
        <v>57</v>
      </c>
      <c r="N350" s="7" t="s">
        <v>71</v>
      </c>
      <c r="O350" s="7" t="s">
        <v>44</v>
      </c>
      <c r="P350" s="7" t="str">
        <f t="shared" si="15"/>
        <v>Apr</v>
      </c>
      <c r="Q350" s="7">
        <f t="shared" si="16"/>
        <v>2026</v>
      </c>
      <c r="R350" s="23">
        <f t="shared" si="17"/>
        <v>0.17495128683932773</v>
      </c>
    </row>
    <row r="351" spans="1:18">
      <c r="A351" s="7" t="s">
        <v>1683</v>
      </c>
      <c r="B351" s="8">
        <v>45724</v>
      </c>
      <c r="C351" s="7" t="s">
        <v>1016</v>
      </c>
      <c r="D351" s="7" t="s">
        <v>134</v>
      </c>
      <c r="E351" s="7" t="s">
        <v>33</v>
      </c>
      <c r="F351" s="7" t="s">
        <v>34</v>
      </c>
      <c r="G351" s="7">
        <v>4</v>
      </c>
      <c r="H351" s="18">
        <v>1752.11</v>
      </c>
      <c r="I351" s="22">
        <v>0</v>
      </c>
      <c r="J351" s="18">
        <v>7008.44</v>
      </c>
      <c r="K351" s="18">
        <v>5741.41</v>
      </c>
      <c r="L351" s="18">
        <v>1267.03</v>
      </c>
      <c r="M351" s="7" t="s">
        <v>57</v>
      </c>
      <c r="N351" s="7" t="s">
        <v>43</v>
      </c>
      <c r="O351" s="7" t="s">
        <v>37</v>
      </c>
      <c r="P351" s="7" t="str">
        <f t="shared" si="15"/>
        <v>Mar</v>
      </c>
      <c r="Q351" s="7">
        <f t="shared" si="16"/>
        <v>2025</v>
      </c>
      <c r="R351" s="23">
        <f t="shared" si="17"/>
        <v>0.18078630907876789</v>
      </c>
    </row>
    <row r="352" spans="1:18">
      <c r="A352" s="7" t="s">
        <v>680</v>
      </c>
      <c r="B352" s="8">
        <v>45732</v>
      </c>
      <c r="C352" s="7" t="s">
        <v>98</v>
      </c>
      <c r="D352" s="7" t="s">
        <v>52</v>
      </c>
      <c r="E352" s="7" t="s">
        <v>61</v>
      </c>
      <c r="F352" s="7" t="s">
        <v>89</v>
      </c>
      <c r="G352" s="7">
        <v>5</v>
      </c>
      <c r="H352" s="18">
        <v>1752.17</v>
      </c>
      <c r="I352" s="22">
        <v>0.15</v>
      </c>
      <c r="J352" s="18">
        <v>7446.72</v>
      </c>
      <c r="K352" s="18">
        <v>4608.2299999999996</v>
      </c>
      <c r="L352" s="18">
        <v>2838.49</v>
      </c>
      <c r="M352" s="7" t="s">
        <v>57</v>
      </c>
      <c r="N352" s="7" t="s">
        <v>71</v>
      </c>
      <c r="O352" s="7" t="s">
        <v>44</v>
      </c>
      <c r="P352" s="7" t="str">
        <f t="shared" si="15"/>
        <v>Mar</v>
      </c>
      <c r="Q352" s="7">
        <f t="shared" si="16"/>
        <v>2025</v>
      </c>
      <c r="R352" s="23">
        <f t="shared" si="17"/>
        <v>0.38117318765845898</v>
      </c>
    </row>
    <row r="353" spans="1:18">
      <c r="A353" s="7" t="s">
        <v>1298</v>
      </c>
      <c r="B353" s="8">
        <v>45982</v>
      </c>
      <c r="C353" s="7" t="s">
        <v>1010</v>
      </c>
      <c r="D353" s="7" t="s">
        <v>74</v>
      </c>
      <c r="E353" s="7" t="s">
        <v>61</v>
      </c>
      <c r="F353" s="7" t="s">
        <v>129</v>
      </c>
      <c r="G353" s="7">
        <v>2</v>
      </c>
      <c r="H353" s="18">
        <v>1763.83</v>
      </c>
      <c r="I353" s="22">
        <v>0</v>
      </c>
      <c r="J353" s="18">
        <v>3527.66</v>
      </c>
      <c r="K353" s="18">
        <v>1999.48</v>
      </c>
      <c r="L353" s="18">
        <v>1528.18</v>
      </c>
      <c r="M353" s="7" t="s">
        <v>35</v>
      </c>
      <c r="N353" s="7" t="s">
        <v>43</v>
      </c>
      <c r="O353" s="7" t="s">
        <v>44</v>
      </c>
      <c r="P353" s="7" t="str">
        <f t="shared" si="15"/>
        <v>Nov</v>
      </c>
      <c r="Q353" s="7">
        <f t="shared" si="16"/>
        <v>2025</v>
      </c>
      <c r="R353" s="23">
        <f t="shared" si="17"/>
        <v>0.43319934460804049</v>
      </c>
    </row>
    <row r="354" spans="1:18">
      <c r="A354" s="7" t="s">
        <v>285</v>
      </c>
      <c r="B354" s="8">
        <v>46053</v>
      </c>
      <c r="C354" s="7" t="s">
        <v>286</v>
      </c>
      <c r="D354" s="7" t="s">
        <v>56</v>
      </c>
      <c r="E354" s="7" t="s">
        <v>41</v>
      </c>
      <c r="F354" s="7" t="s">
        <v>42</v>
      </c>
      <c r="G354" s="7">
        <v>3</v>
      </c>
      <c r="H354" s="18">
        <v>1765.45</v>
      </c>
      <c r="I354" s="22">
        <v>0.1</v>
      </c>
      <c r="J354" s="18">
        <v>4766.72</v>
      </c>
      <c r="K354" s="18">
        <v>2769.13</v>
      </c>
      <c r="L354" s="18">
        <v>1997.59</v>
      </c>
      <c r="M354" s="7" t="s">
        <v>35</v>
      </c>
      <c r="N354" s="7" t="s">
        <v>43</v>
      </c>
      <c r="O354" s="7" t="s">
        <v>37</v>
      </c>
      <c r="P354" s="7" t="str">
        <f t="shared" si="15"/>
        <v>Jan</v>
      </c>
      <c r="Q354" s="7">
        <f t="shared" si="16"/>
        <v>2026</v>
      </c>
      <c r="R354" s="23">
        <f t="shared" si="17"/>
        <v>0.41907013627819545</v>
      </c>
    </row>
    <row r="355" spans="1:18">
      <c r="A355" s="7" t="s">
        <v>1628</v>
      </c>
      <c r="B355" s="8">
        <v>45659</v>
      </c>
      <c r="C355" s="7" t="s">
        <v>420</v>
      </c>
      <c r="D355" s="7" t="s">
        <v>56</v>
      </c>
      <c r="E355" s="7" t="s">
        <v>41</v>
      </c>
      <c r="F355" s="7" t="s">
        <v>119</v>
      </c>
      <c r="G355" s="7">
        <v>3</v>
      </c>
      <c r="H355" s="18">
        <v>1766.49</v>
      </c>
      <c r="I355" s="22">
        <v>0</v>
      </c>
      <c r="J355" s="18">
        <v>5299.47</v>
      </c>
      <c r="K355" s="18">
        <v>3787.65</v>
      </c>
      <c r="L355" s="18">
        <v>1511.82</v>
      </c>
      <c r="M355" s="7" t="s">
        <v>57</v>
      </c>
      <c r="N355" s="7" t="s">
        <v>71</v>
      </c>
      <c r="O355" s="7" t="s">
        <v>44</v>
      </c>
      <c r="P355" s="7" t="str">
        <f t="shared" si="15"/>
        <v>Jan</v>
      </c>
      <c r="Q355" s="7">
        <f t="shared" si="16"/>
        <v>2025</v>
      </c>
      <c r="R355" s="23">
        <f t="shared" si="17"/>
        <v>0.28527758436220979</v>
      </c>
    </row>
    <row r="356" spans="1:18">
      <c r="A356" s="7" t="s">
        <v>1746</v>
      </c>
      <c r="B356" s="8">
        <v>45714</v>
      </c>
      <c r="C356" s="7" t="s">
        <v>978</v>
      </c>
      <c r="D356" s="7" t="s">
        <v>66</v>
      </c>
      <c r="E356" s="7" t="s">
        <v>33</v>
      </c>
      <c r="F356" s="7" t="s">
        <v>176</v>
      </c>
      <c r="G356" s="7">
        <v>3</v>
      </c>
      <c r="H356" s="18">
        <v>1774.92</v>
      </c>
      <c r="I356" s="22">
        <v>0.15</v>
      </c>
      <c r="J356" s="18">
        <v>4526.05</v>
      </c>
      <c r="K356" s="18">
        <v>2516.6999999999998</v>
      </c>
      <c r="L356" s="18">
        <v>2009.35</v>
      </c>
      <c r="M356" s="7" t="s">
        <v>35</v>
      </c>
      <c r="N356" s="7" t="s">
        <v>43</v>
      </c>
      <c r="O356" s="7" t="s">
        <v>44</v>
      </c>
      <c r="P356" s="7" t="str">
        <f t="shared" si="15"/>
        <v>Feb</v>
      </c>
      <c r="Q356" s="7">
        <f t="shared" si="16"/>
        <v>2025</v>
      </c>
      <c r="R356" s="23">
        <f t="shared" si="17"/>
        <v>0.44395223207874412</v>
      </c>
    </row>
    <row r="357" spans="1:18">
      <c r="A357" s="7" t="s">
        <v>1537</v>
      </c>
      <c r="B357" s="8">
        <v>46024</v>
      </c>
      <c r="C357" s="7" t="s">
        <v>1157</v>
      </c>
      <c r="D357" s="7" t="s">
        <v>74</v>
      </c>
      <c r="E357" s="7" t="s">
        <v>33</v>
      </c>
      <c r="F357" s="7" t="s">
        <v>176</v>
      </c>
      <c r="G357" s="7">
        <v>1</v>
      </c>
      <c r="H357" s="18">
        <v>1776.25</v>
      </c>
      <c r="I357" s="22">
        <v>0.2</v>
      </c>
      <c r="J357" s="18">
        <v>1421</v>
      </c>
      <c r="K357" s="18">
        <v>965.32</v>
      </c>
      <c r="L357" s="18">
        <v>455.68</v>
      </c>
      <c r="M357" s="7" t="s">
        <v>57</v>
      </c>
      <c r="N357" s="7" t="s">
        <v>63</v>
      </c>
      <c r="O357" s="7" t="s">
        <v>44</v>
      </c>
      <c r="P357" s="7" t="str">
        <f t="shared" si="15"/>
        <v>Jan</v>
      </c>
      <c r="Q357" s="7">
        <f t="shared" si="16"/>
        <v>2026</v>
      </c>
      <c r="R357" s="23">
        <f t="shared" si="17"/>
        <v>0.32067558057705842</v>
      </c>
    </row>
    <row r="358" spans="1:18">
      <c r="A358" s="7" t="s">
        <v>1341</v>
      </c>
      <c r="B358" s="8">
        <v>46077</v>
      </c>
      <c r="C358" s="7" t="s">
        <v>1342</v>
      </c>
      <c r="D358" s="7" t="s">
        <v>40</v>
      </c>
      <c r="E358" s="7" t="s">
        <v>48</v>
      </c>
      <c r="F358" s="7" t="s">
        <v>70</v>
      </c>
      <c r="G358" s="7">
        <v>6</v>
      </c>
      <c r="H358" s="18">
        <v>1784.31</v>
      </c>
      <c r="I358" s="22">
        <v>0.2</v>
      </c>
      <c r="J358" s="18">
        <v>8564.69</v>
      </c>
      <c r="K358" s="18">
        <v>4758.62</v>
      </c>
      <c r="L358" s="18">
        <v>3806.07</v>
      </c>
      <c r="M358" s="7" t="s">
        <v>57</v>
      </c>
      <c r="N358" s="7" t="s">
        <v>43</v>
      </c>
      <c r="O358" s="7" t="s">
        <v>37</v>
      </c>
      <c r="P358" s="7" t="str">
        <f t="shared" si="15"/>
        <v>Feb</v>
      </c>
      <c r="Q358" s="7">
        <f t="shared" si="16"/>
        <v>2026</v>
      </c>
      <c r="R358" s="23">
        <f t="shared" si="17"/>
        <v>0.4443908652852584</v>
      </c>
    </row>
    <row r="359" spans="1:18">
      <c r="A359" s="7" t="s">
        <v>789</v>
      </c>
      <c r="B359" s="8">
        <v>45979</v>
      </c>
      <c r="C359" s="7" t="s">
        <v>613</v>
      </c>
      <c r="D359" s="7" t="s">
        <v>56</v>
      </c>
      <c r="E359" s="7" t="s">
        <v>41</v>
      </c>
      <c r="F359" s="7" t="s">
        <v>53</v>
      </c>
      <c r="G359" s="7">
        <v>4</v>
      </c>
      <c r="H359" s="18">
        <v>1784.88</v>
      </c>
      <c r="I359" s="22">
        <v>0.05</v>
      </c>
      <c r="J359" s="18">
        <v>6782.54</v>
      </c>
      <c r="K359" s="18">
        <v>4425.5200000000004</v>
      </c>
      <c r="L359" s="18">
        <v>2357.02</v>
      </c>
      <c r="M359" s="7" t="s">
        <v>35</v>
      </c>
      <c r="N359" s="7" t="s">
        <v>71</v>
      </c>
      <c r="O359" s="7" t="s">
        <v>37</v>
      </c>
      <c r="P359" s="7" t="str">
        <f t="shared" si="15"/>
        <v>Nov</v>
      </c>
      <c r="Q359" s="7">
        <f t="shared" si="16"/>
        <v>2025</v>
      </c>
      <c r="R359" s="23">
        <f t="shared" si="17"/>
        <v>0.34751287865607872</v>
      </c>
    </row>
    <row r="360" spans="1:18">
      <c r="A360" s="7" t="s">
        <v>1211</v>
      </c>
      <c r="B360" s="8">
        <v>46235</v>
      </c>
      <c r="C360" s="7" t="s">
        <v>433</v>
      </c>
      <c r="D360" s="7" t="s">
        <v>52</v>
      </c>
      <c r="E360" s="7" t="s">
        <v>33</v>
      </c>
      <c r="F360" s="7" t="s">
        <v>176</v>
      </c>
      <c r="G360" s="7">
        <v>1</v>
      </c>
      <c r="H360" s="18">
        <v>1789.37</v>
      </c>
      <c r="I360" s="22">
        <v>0</v>
      </c>
      <c r="J360" s="18">
        <v>1789.37</v>
      </c>
      <c r="K360" s="18">
        <v>1148.31</v>
      </c>
      <c r="L360" s="18">
        <v>641.05999999999995</v>
      </c>
      <c r="M360" s="7" t="s">
        <v>57</v>
      </c>
      <c r="N360" s="7" t="s">
        <v>36</v>
      </c>
      <c r="O360" s="7" t="s">
        <v>37</v>
      </c>
      <c r="P360" s="7" t="str">
        <f t="shared" si="15"/>
        <v>Aug</v>
      </c>
      <c r="Q360" s="7">
        <f t="shared" si="16"/>
        <v>2026</v>
      </c>
      <c r="R360" s="23">
        <f t="shared" si="17"/>
        <v>0.35826016978042552</v>
      </c>
    </row>
    <row r="361" spans="1:18">
      <c r="A361" s="7" t="s">
        <v>1227</v>
      </c>
      <c r="B361" s="8">
        <v>46107</v>
      </c>
      <c r="C361" s="7" t="s">
        <v>312</v>
      </c>
      <c r="D361" s="7" t="s">
        <v>66</v>
      </c>
      <c r="E361" s="7" t="s">
        <v>41</v>
      </c>
      <c r="F361" s="7" t="s">
        <v>153</v>
      </c>
      <c r="G361" s="7">
        <v>2</v>
      </c>
      <c r="H361" s="18">
        <v>1791.54</v>
      </c>
      <c r="I361" s="22">
        <v>0.1</v>
      </c>
      <c r="J361" s="18">
        <v>3224.77</v>
      </c>
      <c r="K361" s="18">
        <v>2554.83</v>
      </c>
      <c r="L361" s="18">
        <v>669.94</v>
      </c>
      <c r="M361" s="7" t="s">
        <v>35</v>
      </c>
      <c r="N361" s="7" t="s">
        <v>36</v>
      </c>
      <c r="O361" s="7" t="s">
        <v>44</v>
      </c>
      <c r="P361" s="7" t="str">
        <f t="shared" si="15"/>
        <v>Mar</v>
      </c>
      <c r="Q361" s="7">
        <f t="shared" si="16"/>
        <v>2026</v>
      </c>
      <c r="R361" s="23">
        <f t="shared" si="17"/>
        <v>0.20774814948042808</v>
      </c>
    </row>
    <row r="362" spans="1:18">
      <c r="A362" s="7" t="s">
        <v>825</v>
      </c>
      <c r="B362" s="8">
        <v>45804</v>
      </c>
      <c r="C362" s="7" t="s">
        <v>826</v>
      </c>
      <c r="D362" s="7" t="s">
        <v>134</v>
      </c>
      <c r="E362" s="7" t="s">
        <v>33</v>
      </c>
      <c r="F362" s="7" t="s">
        <v>96</v>
      </c>
      <c r="G362" s="7">
        <v>1</v>
      </c>
      <c r="H362" s="18">
        <v>1792.73</v>
      </c>
      <c r="I362" s="22">
        <v>0</v>
      </c>
      <c r="J362" s="18">
        <v>1792.73</v>
      </c>
      <c r="K362" s="18">
        <v>1145.1400000000001</v>
      </c>
      <c r="L362" s="18">
        <v>647.59</v>
      </c>
      <c r="M362" s="7" t="s">
        <v>35</v>
      </c>
      <c r="N362" s="7" t="s">
        <v>63</v>
      </c>
      <c r="O362" s="7" t="s">
        <v>44</v>
      </c>
      <c r="P362" s="7" t="str">
        <f t="shared" si="15"/>
        <v>May</v>
      </c>
      <c r="Q362" s="7">
        <f t="shared" si="16"/>
        <v>2025</v>
      </c>
      <c r="R362" s="23">
        <f t="shared" si="17"/>
        <v>0.36123119488154937</v>
      </c>
    </row>
    <row r="363" spans="1:18">
      <c r="A363" s="7" t="s">
        <v>192</v>
      </c>
      <c r="B363" s="8">
        <v>45882</v>
      </c>
      <c r="C363" s="7" t="s">
        <v>193</v>
      </c>
      <c r="D363" s="7" t="s">
        <v>95</v>
      </c>
      <c r="E363" s="7" t="s">
        <v>48</v>
      </c>
      <c r="F363" s="7" t="s">
        <v>49</v>
      </c>
      <c r="G363" s="7">
        <v>3</v>
      </c>
      <c r="H363" s="18">
        <v>1793.17</v>
      </c>
      <c r="I363" s="22">
        <v>0.1</v>
      </c>
      <c r="J363" s="18">
        <v>4841.5600000000004</v>
      </c>
      <c r="K363" s="18">
        <v>3432.19</v>
      </c>
      <c r="L363" s="18">
        <v>1409.37</v>
      </c>
      <c r="M363" s="7" t="s">
        <v>57</v>
      </c>
      <c r="N363" s="7" t="s">
        <v>63</v>
      </c>
      <c r="O363" s="7" t="s">
        <v>37</v>
      </c>
      <c r="P363" s="7" t="str">
        <f t="shared" si="15"/>
        <v>Aug</v>
      </c>
      <c r="Q363" s="7">
        <f t="shared" si="16"/>
        <v>2025</v>
      </c>
      <c r="R363" s="23">
        <f t="shared" si="17"/>
        <v>0.29109832368079708</v>
      </c>
    </row>
    <row r="364" spans="1:18">
      <c r="A364" s="7" t="s">
        <v>1413</v>
      </c>
      <c r="B364" s="8">
        <v>46104</v>
      </c>
      <c r="C364" s="7" t="s">
        <v>348</v>
      </c>
      <c r="D364" s="7" t="s">
        <v>47</v>
      </c>
      <c r="E364" s="7" t="s">
        <v>61</v>
      </c>
      <c r="F364" s="7" t="s">
        <v>84</v>
      </c>
      <c r="G364" s="7">
        <v>6</v>
      </c>
      <c r="H364" s="18">
        <v>1793.27</v>
      </c>
      <c r="I364" s="22">
        <v>0.15</v>
      </c>
      <c r="J364" s="18">
        <v>9145.68</v>
      </c>
      <c r="K364" s="18">
        <v>7281.17</v>
      </c>
      <c r="L364" s="18">
        <v>1864.51</v>
      </c>
      <c r="M364" s="7" t="s">
        <v>35</v>
      </c>
      <c r="N364" s="7" t="s">
        <v>71</v>
      </c>
      <c r="O364" s="7" t="s">
        <v>44</v>
      </c>
      <c r="P364" s="7" t="str">
        <f t="shared" si="15"/>
        <v>Mar</v>
      </c>
      <c r="Q364" s="7">
        <f t="shared" si="16"/>
        <v>2026</v>
      </c>
      <c r="R364" s="23">
        <f t="shared" si="17"/>
        <v>0.20386783705530917</v>
      </c>
    </row>
    <row r="365" spans="1:18">
      <c r="A365" s="7" t="s">
        <v>787</v>
      </c>
      <c r="B365" s="8">
        <v>46087</v>
      </c>
      <c r="C365" s="7" t="s">
        <v>312</v>
      </c>
      <c r="D365" s="7" t="s">
        <v>40</v>
      </c>
      <c r="E365" s="7" t="s">
        <v>61</v>
      </c>
      <c r="F365" s="7" t="s">
        <v>89</v>
      </c>
      <c r="G365" s="7">
        <v>6</v>
      </c>
      <c r="H365" s="18">
        <v>1795.81</v>
      </c>
      <c r="I365" s="22">
        <v>0</v>
      </c>
      <c r="J365" s="18">
        <v>10774.86</v>
      </c>
      <c r="K365" s="18">
        <v>5974.88</v>
      </c>
      <c r="L365" s="18">
        <v>4799.9799999999996</v>
      </c>
      <c r="M365" s="7" t="s">
        <v>35</v>
      </c>
      <c r="N365" s="7" t="s">
        <v>43</v>
      </c>
      <c r="O365" s="7" t="s">
        <v>44</v>
      </c>
      <c r="P365" s="7" t="str">
        <f t="shared" si="15"/>
        <v>Mar</v>
      </c>
      <c r="Q365" s="7">
        <f t="shared" si="16"/>
        <v>2026</v>
      </c>
      <c r="R365" s="23">
        <f t="shared" si="17"/>
        <v>0.44547957003617672</v>
      </c>
    </row>
    <row r="366" spans="1:18">
      <c r="A366" s="7" t="s">
        <v>744</v>
      </c>
      <c r="B366" s="8">
        <v>46240</v>
      </c>
      <c r="C366" s="7" t="s">
        <v>286</v>
      </c>
      <c r="D366" s="7" t="s">
        <v>47</v>
      </c>
      <c r="E366" s="7" t="s">
        <v>61</v>
      </c>
      <c r="F366" s="7" t="s">
        <v>89</v>
      </c>
      <c r="G366" s="7">
        <v>1</v>
      </c>
      <c r="H366" s="18">
        <v>1803.96</v>
      </c>
      <c r="I366" s="22">
        <v>0.2</v>
      </c>
      <c r="J366" s="18">
        <v>1443.17</v>
      </c>
      <c r="K366" s="18">
        <v>1011.12</v>
      </c>
      <c r="L366" s="18">
        <v>432.05</v>
      </c>
      <c r="M366" s="7" t="s">
        <v>35</v>
      </c>
      <c r="N366" s="7" t="s">
        <v>36</v>
      </c>
      <c r="O366" s="7" t="s">
        <v>44</v>
      </c>
      <c r="P366" s="7" t="str">
        <f t="shared" si="15"/>
        <v>Aug</v>
      </c>
      <c r="Q366" s="7">
        <f t="shared" si="16"/>
        <v>2026</v>
      </c>
      <c r="R366" s="23">
        <f t="shared" si="17"/>
        <v>0.29937567992682773</v>
      </c>
    </row>
    <row r="367" spans="1:18">
      <c r="A367" s="7" t="s">
        <v>585</v>
      </c>
      <c r="B367" s="8">
        <v>46216</v>
      </c>
      <c r="C367" s="7" t="s">
        <v>472</v>
      </c>
      <c r="D367" s="7" t="s">
        <v>32</v>
      </c>
      <c r="E367" s="7" t="s">
        <v>61</v>
      </c>
      <c r="F367" s="7" t="s">
        <v>84</v>
      </c>
      <c r="G367" s="7">
        <v>5</v>
      </c>
      <c r="H367" s="18">
        <v>1805.82</v>
      </c>
      <c r="I367" s="22">
        <v>0</v>
      </c>
      <c r="J367" s="18">
        <v>9029.1</v>
      </c>
      <c r="K367" s="18">
        <v>5093.3900000000003</v>
      </c>
      <c r="L367" s="18">
        <v>3935.71</v>
      </c>
      <c r="M367" s="7" t="s">
        <v>57</v>
      </c>
      <c r="N367" s="7" t="s">
        <v>71</v>
      </c>
      <c r="O367" s="7" t="s">
        <v>37</v>
      </c>
      <c r="P367" s="7" t="str">
        <f t="shared" si="15"/>
        <v>Jul</v>
      </c>
      <c r="Q367" s="7">
        <f t="shared" si="16"/>
        <v>2026</v>
      </c>
      <c r="R367" s="23">
        <f t="shared" si="17"/>
        <v>0.43589172785770453</v>
      </c>
    </row>
    <row r="368" spans="1:18">
      <c r="A368" s="7" t="s">
        <v>1736</v>
      </c>
      <c r="B368" s="8">
        <v>45907</v>
      </c>
      <c r="C368" s="7" t="s">
        <v>577</v>
      </c>
      <c r="D368" s="7" t="s">
        <v>60</v>
      </c>
      <c r="E368" s="7" t="s">
        <v>61</v>
      </c>
      <c r="F368" s="7" t="s">
        <v>81</v>
      </c>
      <c r="G368" s="7">
        <v>5</v>
      </c>
      <c r="H368" s="18">
        <v>1808.84</v>
      </c>
      <c r="I368" s="22">
        <v>0</v>
      </c>
      <c r="J368" s="18">
        <v>9044.2000000000007</v>
      </c>
      <c r="K368" s="18">
        <v>7492.64</v>
      </c>
      <c r="L368" s="18">
        <v>1551.56</v>
      </c>
      <c r="M368" s="7" t="s">
        <v>57</v>
      </c>
      <c r="N368" s="7" t="s">
        <v>43</v>
      </c>
      <c r="O368" s="7" t="s">
        <v>44</v>
      </c>
      <c r="P368" s="7" t="str">
        <f t="shared" si="15"/>
        <v>Sep</v>
      </c>
      <c r="Q368" s="7">
        <f t="shared" si="16"/>
        <v>2025</v>
      </c>
      <c r="R368" s="23">
        <f t="shared" si="17"/>
        <v>0.17155303951703851</v>
      </c>
    </row>
    <row r="369" spans="1:18">
      <c r="A369" s="7" t="s">
        <v>500</v>
      </c>
      <c r="B369" s="8">
        <v>46265</v>
      </c>
      <c r="C369" s="7" t="s">
        <v>112</v>
      </c>
      <c r="D369" s="7" t="s">
        <v>52</v>
      </c>
      <c r="E369" s="7" t="s">
        <v>61</v>
      </c>
      <c r="F369" s="7" t="s">
        <v>62</v>
      </c>
      <c r="G369" s="7">
        <v>3</v>
      </c>
      <c r="H369" s="18">
        <v>1814.19</v>
      </c>
      <c r="I369" s="22">
        <v>0.05</v>
      </c>
      <c r="J369" s="18">
        <v>5170.4399999999996</v>
      </c>
      <c r="K369" s="18">
        <v>3530.77</v>
      </c>
      <c r="L369" s="18">
        <v>1639.67</v>
      </c>
      <c r="M369" s="7" t="s">
        <v>57</v>
      </c>
      <c r="N369" s="7" t="s">
        <v>36</v>
      </c>
      <c r="O369" s="7" t="s">
        <v>44</v>
      </c>
      <c r="P369" s="7" t="str">
        <f t="shared" si="15"/>
        <v>Aug</v>
      </c>
      <c r="Q369" s="7">
        <f t="shared" si="16"/>
        <v>2026</v>
      </c>
      <c r="R369" s="23">
        <f t="shared" si="17"/>
        <v>0.31712388113970963</v>
      </c>
    </row>
    <row r="370" spans="1:18">
      <c r="A370" s="7" t="s">
        <v>1747</v>
      </c>
      <c r="B370" s="8">
        <v>45810</v>
      </c>
      <c r="C370" s="7" t="s">
        <v>98</v>
      </c>
      <c r="D370" s="7" t="s">
        <v>47</v>
      </c>
      <c r="E370" s="7" t="s">
        <v>61</v>
      </c>
      <c r="F370" s="7" t="s">
        <v>62</v>
      </c>
      <c r="G370" s="7">
        <v>6</v>
      </c>
      <c r="H370" s="18">
        <v>1815.43</v>
      </c>
      <c r="I370" s="22">
        <v>0</v>
      </c>
      <c r="J370" s="18">
        <v>10892.58</v>
      </c>
      <c r="K370" s="18">
        <v>7334.27</v>
      </c>
      <c r="L370" s="18">
        <v>3558.31</v>
      </c>
      <c r="M370" s="7" t="s">
        <v>35</v>
      </c>
      <c r="N370" s="7" t="s">
        <v>43</v>
      </c>
      <c r="O370" s="7" t="s">
        <v>44</v>
      </c>
      <c r="P370" s="7" t="str">
        <f t="shared" si="15"/>
        <v>Jun</v>
      </c>
      <c r="Q370" s="7">
        <f t="shared" si="16"/>
        <v>2025</v>
      </c>
      <c r="R370" s="23">
        <f t="shared" si="17"/>
        <v>0.32667283600395863</v>
      </c>
    </row>
    <row r="371" spans="1:18">
      <c r="A371" s="7" t="s">
        <v>1578</v>
      </c>
      <c r="B371" s="8">
        <v>45991</v>
      </c>
      <c r="C371" s="7" t="s">
        <v>1364</v>
      </c>
      <c r="D371" s="7" t="s">
        <v>52</v>
      </c>
      <c r="E371" s="7" t="s">
        <v>41</v>
      </c>
      <c r="F371" s="7" t="s">
        <v>119</v>
      </c>
      <c r="G371" s="7">
        <v>4</v>
      </c>
      <c r="H371" s="18">
        <v>1822.22</v>
      </c>
      <c r="I371" s="22">
        <v>0</v>
      </c>
      <c r="J371" s="18">
        <v>7288.88</v>
      </c>
      <c r="K371" s="18">
        <v>5128.49</v>
      </c>
      <c r="L371" s="18">
        <v>2160.39</v>
      </c>
      <c r="M371" s="7" t="s">
        <v>35</v>
      </c>
      <c r="N371" s="7" t="s">
        <v>43</v>
      </c>
      <c r="O371" s="7" t="s">
        <v>37</v>
      </c>
      <c r="P371" s="7" t="str">
        <f t="shared" si="15"/>
        <v>Nov</v>
      </c>
      <c r="Q371" s="7">
        <f t="shared" si="16"/>
        <v>2025</v>
      </c>
      <c r="R371" s="23">
        <f t="shared" si="17"/>
        <v>0.29639533096991577</v>
      </c>
    </row>
    <row r="372" spans="1:18">
      <c r="A372" s="7" t="s">
        <v>1543</v>
      </c>
      <c r="B372" s="8">
        <v>45697</v>
      </c>
      <c r="C372" s="7" t="s">
        <v>1544</v>
      </c>
      <c r="D372" s="7" t="s">
        <v>32</v>
      </c>
      <c r="E372" s="7" t="s">
        <v>33</v>
      </c>
      <c r="F372" s="7" t="s">
        <v>34</v>
      </c>
      <c r="G372" s="7">
        <v>1</v>
      </c>
      <c r="H372" s="18">
        <v>1823.59</v>
      </c>
      <c r="I372" s="22">
        <v>0.2</v>
      </c>
      <c r="J372" s="18">
        <v>1458.87</v>
      </c>
      <c r="K372" s="18">
        <v>1124.3</v>
      </c>
      <c r="L372" s="18">
        <v>334.57</v>
      </c>
      <c r="M372" s="7" t="s">
        <v>35</v>
      </c>
      <c r="N372" s="7" t="s">
        <v>43</v>
      </c>
      <c r="O372" s="7" t="s">
        <v>44</v>
      </c>
      <c r="P372" s="7" t="str">
        <f t="shared" si="15"/>
        <v>Feb</v>
      </c>
      <c r="Q372" s="7">
        <f t="shared" si="16"/>
        <v>2025</v>
      </c>
      <c r="R372" s="23">
        <f t="shared" si="17"/>
        <v>0.22933503327918184</v>
      </c>
    </row>
    <row r="373" spans="1:18">
      <c r="A373" s="7" t="s">
        <v>1536</v>
      </c>
      <c r="B373" s="8">
        <v>46238</v>
      </c>
      <c r="C373" s="7" t="s">
        <v>507</v>
      </c>
      <c r="D373" s="7" t="s">
        <v>52</v>
      </c>
      <c r="E373" s="7" t="s">
        <v>41</v>
      </c>
      <c r="F373" s="7" t="s">
        <v>119</v>
      </c>
      <c r="G373" s="7">
        <v>4</v>
      </c>
      <c r="H373" s="18">
        <v>1823.71</v>
      </c>
      <c r="I373" s="22">
        <v>0.1</v>
      </c>
      <c r="J373" s="18">
        <v>6565.36</v>
      </c>
      <c r="K373" s="18">
        <v>4994.3999999999996</v>
      </c>
      <c r="L373" s="18">
        <v>1570.96</v>
      </c>
      <c r="M373" s="7" t="s">
        <v>57</v>
      </c>
      <c r="N373" s="7" t="s">
        <v>43</v>
      </c>
      <c r="O373" s="7" t="s">
        <v>37</v>
      </c>
      <c r="P373" s="7" t="str">
        <f t="shared" si="15"/>
        <v>Aug</v>
      </c>
      <c r="Q373" s="7">
        <f t="shared" si="16"/>
        <v>2026</v>
      </c>
      <c r="R373" s="23">
        <f t="shared" si="17"/>
        <v>0.23928010040576603</v>
      </c>
    </row>
    <row r="374" spans="1:18">
      <c r="A374" s="7" t="s">
        <v>605</v>
      </c>
      <c r="B374" s="8">
        <v>45781</v>
      </c>
      <c r="C374" s="7" t="s">
        <v>273</v>
      </c>
      <c r="D374" s="7" t="s">
        <v>32</v>
      </c>
      <c r="E374" s="7" t="s">
        <v>33</v>
      </c>
      <c r="F374" s="7" t="s">
        <v>96</v>
      </c>
      <c r="G374" s="7">
        <v>5</v>
      </c>
      <c r="H374" s="18">
        <v>1832.89</v>
      </c>
      <c r="I374" s="22">
        <v>0.2</v>
      </c>
      <c r="J374" s="18">
        <v>7331.56</v>
      </c>
      <c r="K374" s="18">
        <v>4069.89</v>
      </c>
      <c r="L374" s="18">
        <v>3261.67</v>
      </c>
      <c r="M374" s="7" t="s">
        <v>35</v>
      </c>
      <c r="N374" s="7" t="s">
        <v>36</v>
      </c>
      <c r="O374" s="7" t="s">
        <v>44</v>
      </c>
      <c r="P374" s="7" t="str">
        <f t="shared" si="15"/>
        <v>May</v>
      </c>
      <c r="Q374" s="7">
        <f t="shared" si="16"/>
        <v>2025</v>
      </c>
      <c r="R374" s="23">
        <f t="shared" si="17"/>
        <v>0.44488076207519273</v>
      </c>
    </row>
    <row r="375" spans="1:18">
      <c r="A375" s="7" t="s">
        <v>1652</v>
      </c>
      <c r="B375" s="8">
        <v>45892</v>
      </c>
      <c r="C375" s="7" t="s">
        <v>509</v>
      </c>
      <c r="D375" s="7" t="s">
        <v>74</v>
      </c>
      <c r="E375" s="7" t="s">
        <v>33</v>
      </c>
      <c r="F375" s="7" t="s">
        <v>67</v>
      </c>
      <c r="G375" s="7">
        <v>5</v>
      </c>
      <c r="H375" s="18">
        <v>1840.5</v>
      </c>
      <c r="I375" s="22">
        <v>0.1</v>
      </c>
      <c r="J375" s="18">
        <v>8282.25</v>
      </c>
      <c r="K375" s="18">
        <v>4691.91</v>
      </c>
      <c r="L375" s="18">
        <v>3590.34</v>
      </c>
      <c r="M375" s="7" t="s">
        <v>35</v>
      </c>
      <c r="N375" s="7" t="s">
        <v>63</v>
      </c>
      <c r="O375" s="7" t="s">
        <v>44</v>
      </c>
      <c r="P375" s="7" t="str">
        <f t="shared" si="15"/>
        <v>Aug</v>
      </c>
      <c r="Q375" s="7">
        <f t="shared" si="16"/>
        <v>2025</v>
      </c>
      <c r="R375" s="23">
        <f t="shared" si="17"/>
        <v>0.43349814362039302</v>
      </c>
    </row>
    <row r="376" spans="1:18">
      <c r="A376" s="7" t="s">
        <v>913</v>
      </c>
      <c r="B376" s="8">
        <v>46061</v>
      </c>
      <c r="C376" s="7" t="s">
        <v>914</v>
      </c>
      <c r="D376" s="7" t="s">
        <v>32</v>
      </c>
      <c r="E376" s="7" t="s">
        <v>41</v>
      </c>
      <c r="F376" s="7" t="s">
        <v>42</v>
      </c>
      <c r="G376" s="7">
        <v>4</v>
      </c>
      <c r="H376" s="18">
        <v>1844.55</v>
      </c>
      <c r="I376" s="22">
        <v>0.05</v>
      </c>
      <c r="J376" s="18">
        <v>7009.29</v>
      </c>
      <c r="K376" s="18">
        <v>5391.82</v>
      </c>
      <c r="L376" s="18">
        <v>1617.47</v>
      </c>
      <c r="M376" s="7" t="s">
        <v>57</v>
      </c>
      <c r="N376" s="7" t="s">
        <v>71</v>
      </c>
      <c r="O376" s="7" t="s">
        <v>44</v>
      </c>
      <c r="P376" s="7" t="str">
        <f t="shared" si="15"/>
        <v>Feb</v>
      </c>
      <c r="Q376" s="7">
        <f t="shared" si="16"/>
        <v>2026</v>
      </c>
      <c r="R376" s="23">
        <f t="shared" si="17"/>
        <v>0.23076089019001925</v>
      </c>
    </row>
    <row r="377" spans="1:18">
      <c r="A377" s="7" t="s">
        <v>216</v>
      </c>
      <c r="B377" s="8">
        <v>45660</v>
      </c>
      <c r="C377" s="7" t="s">
        <v>217</v>
      </c>
      <c r="D377" s="7" t="s">
        <v>218</v>
      </c>
      <c r="E377" s="7" t="s">
        <v>48</v>
      </c>
      <c r="F377" s="7" t="s">
        <v>113</v>
      </c>
      <c r="G377" s="7">
        <v>5</v>
      </c>
      <c r="H377" s="18">
        <v>1847.34</v>
      </c>
      <c r="I377" s="22">
        <v>0</v>
      </c>
      <c r="J377" s="18">
        <v>9236.7000000000007</v>
      </c>
      <c r="K377" s="18">
        <v>5171.6499999999996</v>
      </c>
      <c r="L377" s="18">
        <v>4065.05</v>
      </c>
      <c r="M377" s="7" t="s">
        <v>35</v>
      </c>
      <c r="N377" s="7" t="s">
        <v>36</v>
      </c>
      <c r="O377" s="7" t="s">
        <v>37</v>
      </c>
      <c r="P377" s="7" t="str">
        <f t="shared" si="15"/>
        <v>Jan</v>
      </c>
      <c r="Q377" s="7">
        <f t="shared" si="16"/>
        <v>2025</v>
      </c>
      <c r="R377" s="23">
        <f t="shared" si="17"/>
        <v>0.44009765392402045</v>
      </c>
    </row>
    <row r="378" spans="1:18">
      <c r="A378" s="7" t="s">
        <v>683</v>
      </c>
      <c r="B378" s="8">
        <v>45790</v>
      </c>
      <c r="C378" s="7" t="s">
        <v>316</v>
      </c>
      <c r="D378" s="7" t="s">
        <v>47</v>
      </c>
      <c r="E378" s="7" t="s">
        <v>48</v>
      </c>
      <c r="F378" s="7" t="s">
        <v>49</v>
      </c>
      <c r="G378" s="7">
        <v>2</v>
      </c>
      <c r="H378" s="18">
        <v>1849.23</v>
      </c>
      <c r="I378" s="22">
        <v>0</v>
      </c>
      <c r="J378" s="18">
        <v>3698.46</v>
      </c>
      <c r="K378" s="18">
        <v>2905.96</v>
      </c>
      <c r="L378" s="18">
        <v>792.5</v>
      </c>
      <c r="M378" s="7" t="s">
        <v>57</v>
      </c>
      <c r="N378" s="7" t="s">
        <v>71</v>
      </c>
      <c r="O378" s="7" t="s">
        <v>37</v>
      </c>
      <c r="P378" s="7" t="str">
        <f t="shared" si="15"/>
        <v>May</v>
      </c>
      <c r="Q378" s="7">
        <f t="shared" si="16"/>
        <v>2025</v>
      </c>
      <c r="R378" s="23">
        <f t="shared" si="17"/>
        <v>0.21427837532378341</v>
      </c>
    </row>
    <row r="379" spans="1:18">
      <c r="A379" s="7" t="s">
        <v>400</v>
      </c>
      <c r="B379" s="8">
        <v>46157</v>
      </c>
      <c r="C379" s="7" t="s">
        <v>401</v>
      </c>
      <c r="D379" s="7" t="s">
        <v>52</v>
      </c>
      <c r="E379" s="7" t="s">
        <v>33</v>
      </c>
      <c r="F379" s="7" t="s">
        <v>67</v>
      </c>
      <c r="G379" s="7">
        <v>2</v>
      </c>
      <c r="H379" s="18">
        <v>1855.21</v>
      </c>
      <c r="I379" s="22">
        <v>0.2</v>
      </c>
      <c r="J379" s="18">
        <v>2968.34</v>
      </c>
      <c r="K379" s="18">
        <v>2096.44</v>
      </c>
      <c r="L379" s="18">
        <v>871.9</v>
      </c>
      <c r="M379" s="7" t="s">
        <v>35</v>
      </c>
      <c r="N379" s="7" t="s">
        <v>36</v>
      </c>
      <c r="O379" s="7" t="s">
        <v>44</v>
      </c>
      <c r="P379" s="7" t="str">
        <f t="shared" si="15"/>
        <v>May</v>
      </c>
      <c r="Q379" s="7">
        <f t="shared" si="16"/>
        <v>2026</v>
      </c>
      <c r="R379" s="23">
        <f t="shared" si="17"/>
        <v>0.29373319767951106</v>
      </c>
    </row>
    <row r="380" spans="1:18">
      <c r="A380" s="7" t="s">
        <v>1686</v>
      </c>
      <c r="B380" s="8">
        <v>46212</v>
      </c>
      <c r="C380" s="7" t="s">
        <v>1054</v>
      </c>
      <c r="D380" s="7" t="s">
        <v>60</v>
      </c>
      <c r="E380" s="7" t="s">
        <v>61</v>
      </c>
      <c r="F380" s="7" t="s">
        <v>89</v>
      </c>
      <c r="G380" s="7">
        <v>3</v>
      </c>
      <c r="H380" s="18">
        <v>1860.97</v>
      </c>
      <c r="I380" s="22">
        <v>0.05</v>
      </c>
      <c r="J380" s="18">
        <v>5303.76</v>
      </c>
      <c r="K380" s="18">
        <v>4474.38</v>
      </c>
      <c r="L380" s="18">
        <v>829.38</v>
      </c>
      <c r="M380" s="7" t="s">
        <v>57</v>
      </c>
      <c r="N380" s="7" t="s">
        <v>36</v>
      </c>
      <c r="O380" s="7" t="s">
        <v>44</v>
      </c>
      <c r="P380" s="7" t="str">
        <f t="shared" si="15"/>
        <v>Jul</v>
      </c>
      <c r="Q380" s="7">
        <f t="shared" si="16"/>
        <v>2026</v>
      </c>
      <c r="R380" s="23">
        <f t="shared" si="17"/>
        <v>0.15637585411104574</v>
      </c>
    </row>
    <row r="381" spans="1:18">
      <c r="A381" s="7" t="s">
        <v>1546</v>
      </c>
      <c r="B381" s="8">
        <v>45915</v>
      </c>
      <c r="C381" s="7" t="s">
        <v>1231</v>
      </c>
      <c r="D381" s="7" t="s">
        <v>265</v>
      </c>
      <c r="E381" s="7" t="s">
        <v>48</v>
      </c>
      <c r="F381" s="7" t="s">
        <v>70</v>
      </c>
      <c r="G381" s="7">
        <v>4</v>
      </c>
      <c r="H381" s="18">
        <v>1864.25</v>
      </c>
      <c r="I381" s="22">
        <v>0.15</v>
      </c>
      <c r="J381" s="18">
        <v>6338.45</v>
      </c>
      <c r="K381" s="18">
        <v>5115.7299999999996</v>
      </c>
      <c r="L381" s="18">
        <v>1222.72</v>
      </c>
      <c r="M381" s="7" t="s">
        <v>57</v>
      </c>
      <c r="N381" s="7" t="s">
        <v>43</v>
      </c>
      <c r="O381" s="7" t="s">
        <v>44</v>
      </c>
      <c r="P381" s="7" t="str">
        <f t="shared" si="15"/>
        <v>Sep</v>
      </c>
      <c r="Q381" s="7">
        <f t="shared" si="16"/>
        <v>2025</v>
      </c>
      <c r="R381" s="23">
        <f t="shared" si="17"/>
        <v>0.19290520553132076</v>
      </c>
    </row>
    <row r="382" spans="1:18">
      <c r="A382" s="7" t="s">
        <v>1728</v>
      </c>
      <c r="B382" s="8">
        <v>45784</v>
      </c>
      <c r="C382" s="7" t="s">
        <v>590</v>
      </c>
      <c r="D382" s="7" t="s">
        <v>60</v>
      </c>
      <c r="E382" s="7" t="s">
        <v>33</v>
      </c>
      <c r="F382" s="7" t="s">
        <v>96</v>
      </c>
      <c r="G382" s="7">
        <v>5</v>
      </c>
      <c r="H382" s="18">
        <v>1870.52</v>
      </c>
      <c r="I382" s="22">
        <v>0.1</v>
      </c>
      <c r="J382" s="18">
        <v>8417.34</v>
      </c>
      <c r="K382" s="18">
        <v>6658.5</v>
      </c>
      <c r="L382" s="18">
        <v>1758.84</v>
      </c>
      <c r="M382" s="7" t="s">
        <v>35</v>
      </c>
      <c r="N382" s="7" t="s">
        <v>63</v>
      </c>
      <c r="O382" s="7" t="s">
        <v>37</v>
      </c>
      <c r="P382" s="7" t="str">
        <f t="shared" si="15"/>
        <v>May</v>
      </c>
      <c r="Q382" s="7">
        <f t="shared" si="16"/>
        <v>2025</v>
      </c>
      <c r="R382" s="23">
        <f t="shared" si="17"/>
        <v>0.20895437275909015</v>
      </c>
    </row>
    <row r="383" spans="1:18">
      <c r="A383" s="7" t="s">
        <v>1590</v>
      </c>
      <c r="B383" s="8">
        <v>45770</v>
      </c>
      <c r="C383" s="7" t="s">
        <v>203</v>
      </c>
      <c r="D383" s="7" t="s">
        <v>66</v>
      </c>
      <c r="E383" s="7" t="s">
        <v>33</v>
      </c>
      <c r="F383" s="7" t="s">
        <v>176</v>
      </c>
      <c r="G383" s="7">
        <v>2</v>
      </c>
      <c r="H383" s="18">
        <v>1871.45</v>
      </c>
      <c r="I383" s="22">
        <v>0</v>
      </c>
      <c r="J383" s="18">
        <v>3742.9</v>
      </c>
      <c r="K383" s="18">
        <v>2992.67</v>
      </c>
      <c r="L383" s="18">
        <v>750.23</v>
      </c>
      <c r="M383" s="7" t="s">
        <v>35</v>
      </c>
      <c r="N383" s="7" t="s">
        <v>36</v>
      </c>
      <c r="O383" s="7" t="s">
        <v>44</v>
      </c>
      <c r="P383" s="7" t="str">
        <f t="shared" si="15"/>
        <v>Apr</v>
      </c>
      <c r="Q383" s="7">
        <f t="shared" si="16"/>
        <v>2025</v>
      </c>
      <c r="R383" s="23">
        <f t="shared" si="17"/>
        <v>0.20044083464693152</v>
      </c>
    </row>
    <row r="384" spans="1:18">
      <c r="A384" s="7" t="s">
        <v>1629</v>
      </c>
      <c r="B384" s="8">
        <v>45989</v>
      </c>
      <c r="C384" s="7" t="s">
        <v>667</v>
      </c>
      <c r="D384" s="7" t="s">
        <v>32</v>
      </c>
      <c r="E384" s="7" t="s">
        <v>41</v>
      </c>
      <c r="F384" s="7" t="s">
        <v>53</v>
      </c>
      <c r="G384" s="7">
        <v>5</v>
      </c>
      <c r="H384" s="18">
        <v>1872.68</v>
      </c>
      <c r="I384" s="22">
        <v>0.15</v>
      </c>
      <c r="J384" s="18">
        <v>7958.89</v>
      </c>
      <c r="K384" s="18">
        <v>6449.58</v>
      </c>
      <c r="L384" s="18">
        <v>1509.31</v>
      </c>
      <c r="M384" s="7" t="s">
        <v>57</v>
      </c>
      <c r="N384" s="7" t="s">
        <v>71</v>
      </c>
      <c r="O384" s="7" t="s">
        <v>44</v>
      </c>
      <c r="P384" s="7" t="str">
        <f t="shared" si="15"/>
        <v>Nov</v>
      </c>
      <c r="Q384" s="7">
        <f t="shared" si="16"/>
        <v>2025</v>
      </c>
      <c r="R384" s="23">
        <f t="shared" si="17"/>
        <v>0.18963825357556141</v>
      </c>
    </row>
    <row r="385" spans="1:18">
      <c r="A385" s="7" t="s">
        <v>487</v>
      </c>
      <c r="B385" s="8">
        <v>45853</v>
      </c>
      <c r="C385" s="7" t="s">
        <v>464</v>
      </c>
      <c r="D385" s="7" t="s">
        <v>60</v>
      </c>
      <c r="E385" s="7" t="s">
        <v>33</v>
      </c>
      <c r="F385" s="7" t="s">
        <v>34</v>
      </c>
      <c r="G385" s="7">
        <v>6</v>
      </c>
      <c r="H385" s="18">
        <v>1880.49</v>
      </c>
      <c r="I385" s="22">
        <v>0</v>
      </c>
      <c r="J385" s="18">
        <v>11282.94</v>
      </c>
      <c r="K385" s="18">
        <v>8076.84</v>
      </c>
      <c r="L385" s="18">
        <v>3206.1</v>
      </c>
      <c r="M385" s="7" t="s">
        <v>57</v>
      </c>
      <c r="N385" s="7" t="s">
        <v>63</v>
      </c>
      <c r="O385" s="7" t="s">
        <v>37</v>
      </c>
      <c r="P385" s="7" t="str">
        <f t="shared" si="15"/>
        <v>Jul</v>
      </c>
      <c r="Q385" s="7">
        <f t="shared" si="16"/>
        <v>2025</v>
      </c>
      <c r="R385" s="23">
        <f t="shared" si="17"/>
        <v>0.28415466181686688</v>
      </c>
    </row>
    <row r="386" spans="1:18">
      <c r="A386" s="7" t="s">
        <v>1561</v>
      </c>
      <c r="B386" s="8">
        <v>46213</v>
      </c>
      <c r="C386" s="7" t="s">
        <v>1368</v>
      </c>
      <c r="D386" s="7" t="s">
        <v>32</v>
      </c>
      <c r="E386" s="7" t="s">
        <v>33</v>
      </c>
      <c r="F386" s="7" t="s">
        <v>92</v>
      </c>
      <c r="G386" s="7">
        <v>4</v>
      </c>
      <c r="H386" s="18">
        <v>1880.74</v>
      </c>
      <c r="I386" s="22">
        <v>0.1</v>
      </c>
      <c r="J386" s="18">
        <v>6770.66</v>
      </c>
      <c r="K386" s="18">
        <v>4650.3599999999997</v>
      </c>
      <c r="L386" s="18">
        <v>2120.3000000000002</v>
      </c>
      <c r="M386" s="7" t="s">
        <v>57</v>
      </c>
      <c r="N386" s="7" t="s">
        <v>63</v>
      </c>
      <c r="O386" s="7" t="s">
        <v>37</v>
      </c>
      <c r="P386" s="7" t="str">
        <f t="shared" ref="P386:P449" si="18">TEXT(B386,"mmm")</f>
        <v>Jul</v>
      </c>
      <c r="Q386" s="7">
        <f t="shared" ref="Q386:Q449" si="19">YEAR(B386)</f>
        <v>2026</v>
      </c>
      <c r="R386" s="23">
        <f t="shared" ref="R386:R449" si="20">IFERROR(L386/J386,0)</f>
        <v>0.31316001689643258</v>
      </c>
    </row>
    <row r="387" spans="1:18">
      <c r="A387" s="7" t="s">
        <v>1704</v>
      </c>
      <c r="B387" s="8">
        <v>46064</v>
      </c>
      <c r="C387" s="7" t="s">
        <v>768</v>
      </c>
      <c r="D387" s="7" t="s">
        <v>47</v>
      </c>
      <c r="E387" s="7" t="s">
        <v>48</v>
      </c>
      <c r="F387" s="7" t="s">
        <v>70</v>
      </c>
      <c r="G387" s="7">
        <v>4</v>
      </c>
      <c r="H387" s="18">
        <v>1883.71</v>
      </c>
      <c r="I387" s="22">
        <v>0.2</v>
      </c>
      <c r="J387" s="18">
        <v>6027.87</v>
      </c>
      <c r="K387" s="18">
        <v>4075.05</v>
      </c>
      <c r="L387" s="18">
        <v>1952.82</v>
      </c>
      <c r="M387" s="7" t="s">
        <v>57</v>
      </c>
      <c r="N387" s="7" t="s">
        <v>36</v>
      </c>
      <c r="O387" s="7" t="s">
        <v>37</v>
      </c>
      <c r="P387" s="7" t="str">
        <f t="shared" si="18"/>
        <v>Feb</v>
      </c>
      <c r="Q387" s="7">
        <f t="shared" si="19"/>
        <v>2026</v>
      </c>
      <c r="R387" s="23">
        <f t="shared" si="20"/>
        <v>0.32396518173086014</v>
      </c>
    </row>
    <row r="388" spans="1:18">
      <c r="A388" s="7" t="s">
        <v>1456</v>
      </c>
      <c r="B388" s="8">
        <v>46065</v>
      </c>
      <c r="C388" s="7" t="s">
        <v>131</v>
      </c>
      <c r="D388" s="7" t="s">
        <v>52</v>
      </c>
      <c r="E388" s="7" t="s">
        <v>48</v>
      </c>
      <c r="F388" s="7" t="s">
        <v>99</v>
      </c>
      <c r="G388" s="7">
        <v>6</v>
      </c>
      <c r="H388" s="18">
        <v>1890.41</v>
      </c>
      <c r="I388" s="22">
        <v>0</v>
      </c>
      <c r="J388" s="18">
        <v>11342.46</v>
      </c>
      <c r="K388" s="18">
        <v>6743.83</v>
      </c>
      <c r="L388" s="18">
        <v>4598.63</v>
      </c>
      <c r="M388" s="7" t="s">
        <v>35</v>
      </c>
      <c r="N388" s="7" t="s">
        <v>36</v>
      </c>
      <c r="O388" s="7" t="s">
        <v>44</v>
      </c>
      <c r="P388" s="7" t="str">
        <f t="shared" si="18"/>
        <v>Feb</v>
      </c>
      <c r="Q388" s="7">
        <f t="shared" si="19"/>
        <v>2026</v>
      </c>
      <c r="R388" s="23">
        <f t="shared" si="20"/>
        <v>0.40543497618682373</v>
      </c>
    </row>
    <row r="389" spans="1:18">
      <c r="A389" s="7" t="s">
        <v>1422</v>
      </c>
      <c r="B389" s="8">
        <v>45684</v>
      </c>
      <c r="C389" s="7" t="s">
        <v>259</v>
      </c>
      <c r="D389" s="7" t="s">
        <v>95</v>
      </c>
      <c r="E389" s="7" t="s">
        <v>61</v>
      </c>
      <c r="F389" s="7" t="s">
        <v>84</v>
      </c>
      <c r="G389" s="7">
        <v>6</v>
      </c>
      <c r="H389" s="18">
        <v>1893.65</v>
      </c>
      <c r="I389" s="22">
        <v>0</v>
      </c>
      <c r="J389" s="18">
        <v>11361.9</v>
      </c>
      <c r="K389" s="18">
        <v>9605.43</v>
      </c>
      <c r="L389" s="18">
        <v>1756.47</v>
      </c>
      <c r="M389" s="7" t="s">
        <v>35</v>
      </c>
      <c r="N389" s="7" t="s">
        <v>43</v>
      </c>
      <c r="O389" s="7" t="s">
        <v>37</v>
      </c>
      <c r="P389" s="7" t="str">
        <f t="shared" si="18"/>
        <v>Jan</v>
      </c>
      <c r="Q389" s="7">
        <f t="shared" si="19"/>
        <v>2025</v>
      </c>
      <c r="R389" s="23">
        <f t="shared" si="20"/>
        <v>0.15459298180762021</v>
      </c>
    </row>
    <row r="390" spans="1:18">
      <c r="A390" s="7" t="s">
        <v>1695</v>
      </c>
      <c r="B390" s="8">
        <v>46129</v>
      </c>
      <c r="C390" s="7" t="s">
        <v>166</v>
      </c>
      <c r="D390" s="7" t="s">
        <v>32</v>
      </c>
      <c r="E390" s="7" t="s">
        <v>41</v>
      </c>
      <c r="F390" s="7" t="s">
        <v>119</v>
      </c>
      <c r="G390" s="7">
        <v>5</v>
      </c>
      <c r="H390" s="18">
        <v>1899.26</v>
      </c>
      <c r="I390" s="22">
        <v>0.2</v>
      </c>
      <c r="J390" s="18">
        <v>7597.04</v>
      </c>
      <c r="K390" s="18">
        <v>5183.87</v>
      </c>
      <c r="L390" s="18">
        <v>2413.17</v>
      </c>
      <c r="M390" s="7" t="s">
        <v>57</v>
      </c>
      <c r="N390" s="7" t="s">
        <v>71</v>
      </c>
      <c r="O390" s="7" t="s">
        <v>44</v>
      </c>
      <c r="P390" s="7" t="str">
        <f t="shared" si="18"/>
        <v>Apr</v>
      </c>
      <c r="Q390" s="7">
        <f t="shared" si="19"/>
        <v>2026</v>
      </c>
      <c r="R390" s="23">
        <f t="shared" si="20"/>
        <v>0.31764608321135601</v>
      </c>
    </row>
    <row r="391" spans="1:18">
      <c r="A391" s="7" t="s">
        <v>214</v>
      </c>
      <c r="B391" s="8">
        <v>45673</v>
      </c>
      <c r="C391" s="7" t="s">
        <v>215</v>
      </c>
      <c r="D391" s="7" t="s">
        <v>66</v>
      </c>
      <c r="E391" s="7" t="s">
        <v>48</v>
      </c>
      <c r="F391" s="7" t="s">
        <v>102</v>
      </c>
      <c r="G391" s="7">
        <v>6</v>
      </c>
      <c r="H391" s="18">
        <v>1901.1</v>
      </c>
      <c r="I391" s="22">
        <v>0</v>
      </c>
      <c r="J391" s="18">
        <v>11406.6</v>
      </c>
      <c r="K391" s="18">
        <v>7113.88</v>
      </c>
      <c r="L391" s="18">
        <v>4292.72</v>
      </c>
      <c r="M391" s="7" t="s">
        <v>35</v>
      </c>
      <c r="N391" s="7" t="s">
        <v>43</v>
      </c>
      <c r="O391" s="7" t="s">
        <v>37</v>
      </c>
      <c r="P391" s="7" t="str">
        <f t="shared" si="18"/>
        <v>Jan</v>
      </c>
      <c r="Q391" s="7">
        <f t="shared" si="19"/>
        <v>2025</v>
      </c>
      <c r="R391" s="23">
        <f t="shared" si="20"/>
        <v>0.37633650693458176</v>
      </c>
    </row>
    <row r="392" spans="1:18">
      <c r="A392" s="7" t="s">
        <v>1365</v>
      </c>
      <c r="B392" s="8">
        <v>46124</v>
      </c>
      <c r="C392" s="7" t="s">
        <v>1366</v>
      </c>
      <c r="D392" s="7" t="s">
        <v>32</v>
      </c>
      <c r="E392" s="7" t="s">
        <v>33</v>
      </c>
      <c r="F392" s="7" t="s">
        <v>67</v>
      </c>
      <c r="G392" s="7">
        <v>3</v>
      </c>
      <c r="H392" s="18">
        <v>1902.62</v>
      </c>
      <c r="I392" s="22">
        <v>0.1</v>
      </c>
      <c r="J392" s="18">
        <v>5137.07</v>
      </c>
      <c r="K392" s="18">
        <v>3341.4</v>
      </c>
      <c r="L392" s="18">
        <v>1795.67</v>
      </c>
      <c r="M392" s="7" t="s">
        <v>57</v>
      </c>
      <c r="N392" s="7" t="s">
        <v>63</v>
      </c>
      <c r="O392" s="7" t="s">
        <v>44</v>
      </c>
      <c r="P392" s="7" t="str">
        <f t="shared" si="18"/>
        <v>Apr</v>
      </c>
      <c r="Q392" s="7">
        <f t="shared" si="19"/>
        <v>2026</v>
      </c>
      <c r="R392" s="23">
        <f t="shared" si="20"/>
        <v>0.34955139797588902</v>
      </c>
    </row>
    <row r="393" spans="1:18">
      <c r="A393" s="7" t="s">
        <v>151</v>
      </c>
      <c r="B393" s="8">
        <v>45971</v>
      </c>
      <c r="C393" s="7" t="s">
        <v>152</v>
      </c>
      <c r="D393" s="7" t="s">
        <v>74</v>
      </c>
      <c r="E393" s="7" t="s">
        <v>41</v>
      </c>
      <c r="F393" s="7" t="s">
        <v>153</v>
      </c>
      <c r="G393" s="7">
        <v>3</v>
      </c>
      <c r="H393" s="18">
        <v>1902.85</v>
      </c>
      <c r="I393" s="22">
        <v>0</v>
      </c>
      <c r="J393" s="18">
        <v>5708.55</v>
      </c>
      <c r="K393" s="18">
        <v>3255.08</v>
      </c>
      <c r="L393" s="18">
        <v>2453.4699999999998</v>
      </c>
      <c r="M393" s="7" t="s">
        <v>57</v>
      </c>
      <c r="N393" s="7" t="s">
        <v>71</v>
      </c>
      <c r="O393" s="7" t="s">
        <v>37</v>
      </c>
      <c r="P393" s="7" t="str">
        <f t="shared" si="18"/>
        <v>Nov</v>
      </c>
      <c r="Q393" s="7">
        <f t="shared" si="19"/>
        <v>2025</v>
      </c>
      <c r="R393" s="23">
        <f t="shared" si="20"/>
        <v>0.42978865035779656</v>
      </c>
    </row>
    <row r="394" spans="1:18">
      <c r="A394" s="7" t="s">
        <v>1632</v>
      </c>
      <c r="B394" s="8">
        <v>45788</v>
      </c>
      <c r="C394" s="7" t="s">
        <v>1633</v>
      </c>
      <c r="D394" s="7" t="s">
        <v>74</v>
      </c>
      <c r="E394" s="7" t="s">
        <v>48</v>
      </c>
      <c r="F394" s="7" t="s">
        <v>102</v>
      </c>
      <c r="G394" s="7">
        <v>6</v>
      </c>
      <c r="H394" s="18">
        <v>1903.98</v>
      </c>
      <c r="I394" s="22">
        <v>0.2</v>
      </c>
      <c r="J394" s="18">
        <v>9139.1</v>
      </c>
      <c r="K394" s="18">
        <v>7623.29</v>
      </c>
      <c r="L394" s="18">
        <v>1515.81</v>
      </c>
      <c r="M394" s="7" t="s">
        <v>35</v>
      </c>
      <c r="N394" s="7" t="s">
        <v>36</v>
      </c>
      <c r="O394" s="7" t="s">
        <v>44</v>
      </c>
      <c r="P394" s="7" t="str">
        <f t="shared" si="18"/>
        <v>May</v>
      </c>
      <c r="Q394" s="7">
        <f t="shared" si="19"/>
        <v>2025</v>
      </c>
      <c r="R394" s="23">
        <f t="shared" si="20"/>
        <v>0.16585987679311967</v>
      </c>
    </row>
    <row r="395" spans="1:18">
      <c r="A395" s="7" t="s">
        <v>1178</v>
      </c>
      <c r="B395" s="8">
        <v>46005</v>
      </c>
      <c r="C395" s="7" t="s">
        <v>1179</v>
      </c>
      <c r="D395" s="7" t="s">
        <v>95</v>
      </c>
      <c r="E395" s="7" t="s">
        <v>61</v>
      </c>
      <c r="F395" s="7" t="s">
        <v>129</v>
      </c>
      <c r="G395" s="7">
        <v>1</v>
      </c>
      <c r="H395" s="18">
        <v>1906.97</v>
      </c>
      <c r="I395" s="22">
        <v>0</v>
      </c>
      <c r="J395" s="18">
        <v>1906.97</v>
      </c>
      <c r="K395" s="18">
        <v>1482.05</v>
      </c>
      <c r="L395" s="18">
        <v>424.92</v>
      </c>
      <c r="M395" s="7" t="s">
        <v>57</v>
      </c>
      <c r="N395" s="7" t="s">
        <v>63</v>
      </c>
      <c r="O395" s="7" t="s">
        <v>44</v>
      </c>
      <c r="P395" s="7" t="str">
        <f t="shared" si="18"/>
        <v>Dec</v>
      </c>
      <c r="Q395" s="7">
        <f t="shared" si="19"/>
        <v>2025</v>
      </c>
      <c r="R395" s="23">
        <f t="shared" si="20"/>
        <v>0.2228246904775639</v>
      </c>
    </row>
    <row r="396" spans="1:18">
      <c r="A396" s="7" t="s">
        <v>852</v>
      </c>
      <c r="B396" s="8">
        <v>46090</v>
      </c>
      <c r="C396" s="7" t="s">
        <v>499</v>
      </c>
      <c r="D396" s="7" t="s">
        <v>134</v>
      </c>
      <c r="E396" s="7" t="s">
        <v>41</v>
      </c>
      <c r="F396" s="7" t="s">
        <v>53</v>
      </c>
      <c r="G396" s="7">
        <v>3</v>
      </c>
      <c r="H396" s="18">
        <v>1909.6</v>
      </c>
      <c r="I396" s="22">
        <v>0.1</v>
      </c>
      <c r="J396" s="18">
        <v>5155.92</v>
      </c>
      <c r="K396" s="18">
        <v>2905.8</v>
      </c>
      <c r="L396" s="18">
        <v>2250.12</v>
      </c>
      <c r="M396" s="7" t="s">
        <v>35</v>
      </c>
      <c r="N396" s="7" t="s">
        <v>71</v>
      </c>
      <c r="O396" s="7" t="s">
        <v>37</v>
      </c>
      <c r="P396" s="7" t="str">
        <f t="shared" si="18"/>
        <v>Mar</v>
      </c>
      <c r="Q396" s="7">
        <f t="shared" si="19"/>
        <v>2026</v>
      </c>
      <c r="R396" s="23">
        <f t="shared" si="20"/>
        <v>0.43641483964064609</v>
      </c>
    </row>
    <row r="397" spans="1:18">
      <c r="A397" s="7" t="s">
        <v>1138</v>
      </c>
      <c r="B397" s="8">
        <v>46196</v>
      </c>
      <c r="C397" s="7" t="s">
        <v>1139</v>
      </c>
      <c r="D397" s="7" t="s">
        <v>74</v>
      </c>
      <c r="E397" s="7" t="s">
        <v>33</v>
      </c>
      <c r="F397" s="7" t="s">
        <v>92</v>
      </c>
      <c r="G397" s="7">
        <v>2</v>
      </c>
      <c r="H397" s="18">
        <v>1911.09</v>
      </c>
      <c r="I397" s="22">
        <v>0</v>
      </c>
      <c r="J397" s="18">
        <v>3822.18</v>
      </c>
      <c r="K397" s="18">
        <v>2675.48</v>
      </c>
      <c r="L397" s="18">
        <v>1146.7</v>
      </c>
      <c r="M397" s="7" t="s">
        <v>35</v>
      </c>
      <c r="N397" s="7" t="s">
        <v>71</v>
      </c>
      <c r="O397" s="7" t="s">
        <v>44</v>
      </c>
      <c r="P397" s="7" t="str">
        <f t="shared" si="18"/>
        <v>Jun</v>
      </c>
      <c r="Q397" s="7">
        <f t="shared" si="19"/>
        <v>2026</v>
      </c>
      <c r="R397" s="23">
        <f t="shared" si="20"/>
        <v>0.3000120350166659</v>
      </c>
    </row>
    <row r="398" spans="1:18">
      <c r="A398" s="7" t="s">
        <v>624</v>
      </c>
      <c r="B398" s="8">
        <v>46103</v>
      </c>
      <c r="C398" s="7" t="s">
        <v>625</v>
      </c>
      <c r="D398" s="7" t="s">
        <v>56</v>
      </c>
      <c r="E398" s="7" t="s">
        <v>41</v>
      </c>
      <c r="F398" s="7" t="s">
        <v>42</v>
      </c>
      <c r="G398" s="7">
        <v>2</v>
      </c>
      <c r="H398" s="18">
        <v>1916.24</v>
      </c>
      <c r="I398" s="22">
        <v>0.2</v>
      </c>
      <c r="J398" s="18">
        <v>3065.98</v>
      </c>
      <c r="K398" s="18">
        <v>2521.61</v>
      </c>
      <c r="L398" s="18">
        <v>544.37</v>
      </c>
      <c r="M398" s="7" t="s">
        <v>35</v>
      </c>
      <c r="N398" s="7" t="s">
        <v>43</v>
      </c>
      <c r="O398" s="7" t="s">
        <v>44</v>
      </c>
      <c r="P398" s="7" t="str">
        <f t="shared" si="18"/>
        <v>Mar</v>
      </c>
      <c r="Q398" s="7">
        <f t="shared" si="19"/>
        <v>2026</v>
      </c>
      <c r="R398" s="23">
        <f t="shared" si="20"/>
        <v>0.17755171266609698</v>
      </c>
    </row>
    <row r="399" spans="1:18">
      <c r="A399" s="7" t="s">
        <v>1051</v>
      </c>
      <c r="B399" s="8">
        <v>46211</v>
      </c>
      <c r="C399" s="7" t="s">
        <v>1052</v>
      </c>
      <c r="D399" s="7" t="s">
        <v>66</v>
      </c>
      <c r="E399" s="7" t="s">
        <v>61</v>
      </c>
      <c r="F399" s="7" t="s">
        <v>81</v>
      </c>
      <c r="G399" s="7">
        <v>3</v>
      </c>
      <c r="H399" s="18">
        <v>1922.91</v>
      </c>
      <c r="I399" s="22">
        <v>0</v>
      </c>
      <c r="J399" s="18">
        <v>5768.73</v>
      </c>
      <c r="K399" s="18">
        <v>3893.92</v>
      </c>
      <c r="L399" s="18">
        <v>1874.81</v>
      </c>
      <c r="M399" s="7" t="s">
        <v>35</v>
      </c>
      <c r="N399" s="7" t="s">
        <v>43</v>
      </c>
      <c r="O399" s="7" t="s">
        <v>44</v>
      </c>
      <c r="P399" s="7" t="str">
        <f t="shared" si="18"/>
        <v>Jul</v>
      </c>
      <c r="Q399" s="7">
        <f t="shared" si="19"/>
        <v>2026</v>
      </c>
      <c r="R399" s="23">
        <f t="shared" si="20"/>
        <v>0.32499527625664576</v>
      </c>
    </row>
    <row r="400" spans="1:18">
      <c r="A400" s="7" t="s">
        <v>510</v>
      </c>
      <c r="B400" s="8">
        <v>46136</v>
      </c>
      <c r="C400" s="7" t="s">
        <v>511</v>
      </c>
      <c r="D400" s="7" t="s">
        <v>74</v>
      </c>
      <c r="E400" s="7" t="s">
        <v>61</v>
      </c>
      <c r="F400" s="7" t="s">
        <v>89</v>
      </c>
      <c r="G400" s="7">
        <v>6</v>
      </c>
      <c r="H400" s="18">
        <v>1935.65</v>
      </c>
      <c r="I400" s="22">
        <v>0.05</v>
      </c>
      <c r="J400" s="18">
        <v>11033.21</v>
      </c>
      <c r="K400" s="18">
        <v>8389.91</v>
      </c>
      <c r="L400" s="18">
        <v>2643.3</v>
      </c>
      <c r="M400" s="7" t="s">
        <v>57</v>
      </c>
      <c r="N400" s="7" t="s">
        <v>63</v>
      </c>
      <c r="O400" s="7" t="s">
        <v>44</v>
      </c>
      <c r="P400" s="7" t="str">
        <f t="shared" si="18"/>
        <v>Apr</v>
      </c>
      <c r="Q400" s="7">
        <f t="shared" si="19"/>
        <v>2026</v>
      </c>
      <c r="R400" s="23">
        <f t="shared" si="20"/>
        <v>0.23957669617454941</v>
      </c>
    </row>
    <row r="401" spans="1:18">
      <c r="A401" s="7" t="s">
        <v>1160</v>
      </c>
      <c r="B401" s="8">
        <v>45696</v>
      </c>
      <c r="C401" s="7" t="s">
        <v>193</v>
      </c>
      <c r="D401" s="7" t="s">
        <v>66</v>
      </c>
      <c r="E401" s="7" t="s">
        <v>48</v>
      </c>
      <c r="F401" s="7" t="s">
        <v>102</v>
      </c>
      <c r="G401" s="7">
        <v>1</v>
      </c>
      <c r="H401" s="18">
        <v>1935.78</v>
      </c>
      <c r="I401" s="22">
        <v>0.05</v>
      </c>
      <c r="J401" s="18">
        <v>1838.99</v>
      </c>
      <c r="K401" s="18">
        <v>1196.83</v>
      </c>
      <c r="L401" s="18">
        <v>642.16</v>
      </c>
      <c r="M401" s="7" t="s">
        <v>35</v>
      </c>
      <c r="N401" s="7" t="s">
        <v>43</v>
      </c>
      <c r="O401" s="7" t="s">
        <v>44</v>
      </c>
      <c r="P401" s="7" t="str">
        <f t="shared" si="18"/>
        <v>Feb</v>
      </c>
      <c r="Q401" s="7">
        <f t="shared" si="19"/>
        <v>2025</v>
      </c>
      <c r="R401" s="23">
        <f t="shared" si="20"/>
        <v>0.34919167586555661</v>
      </c>
    </row>
    <row r="402" spans="1:18">
      <c r="A402" s="7" t="s">
        <v>763</v>
      </c>
      <c r="B402" s="8">
        <v>45933</v>
      </c>
      <c r="C402" s="7" t="s">
        <v>764</v>
      </c>
      <c r="D402" s="7" t="s">
        <v>60</v>
      </c>
      <c r="E402" s="7" t="s">
        <v>48</v>
      </c>
      <c r="F402" s="7" t="s">
        <v>113</v>
      </c>
      <c r="G402" s="7">
        <v>6</v>
      </c>
      <c r="H402" s="18">
        <v>1940.13</v>
      </c>
      <c r="I402" s="22">
        <v>0.2</v>
      </c>
      <c r="J402" s="18">
        <v>9312.6200000000008</v>
      </c>
      <c r="K402" s="18">
        <v>7520.87</v>
      </c>
      <c r="L402" s="18">
        <v>1791.75</v>
      </c>
      <c r="M402" s="7" t="s">
        <v>35</v>
      </c>
      <c r="N402" s="7" t="s">
        <v>71</v>
      </c>
      <c r="O402" s="7" t="s">
        <v>44</v>
      </c>
      <c r="P402" s="7" t="str">
        <f t="shared" si="18"/>
        <v>Oct</v>
      </c>
      <c r="Q402" s="7">
        <f t="shared" si="19"/>
        <v>2025</v>
      </c>
      <c r="R402" s="23">
        <f t="shared" si="20"/>
        <v>0.19240020531279059</v>
      </c>
    </row>
    <row r="403" spans="1:18">
      <c r="A403" s="7" t="s">
        <v>154</v>
      </c>
      <c r="B403" s="8">
        <v>45853</v>
      </c>
      <c r="C403" s="7" t="s">
        <v>155</v>
      </c>
      <c r="D403" s="7" t="s">
        <v>95</v>
      </c>
      <c r="E403" s="7" t="s">
        <v>33</v>
      </c>
      <c r="F403" s="7" t="s">
        <v>34</v>
      </c>
      <c r="G403" s="7">
        <v>1</v>
      </c>
      <c r="H403" s="18">
        <v>1950.59</v>
      </c>
      <c r="I403" s="22">
        <v>0.1</v>
      </c>
      <c r="J403" s="18">
        <v>1755.53</v>
      </c>
      <c r="K403" s="18">
        <v>1303.9000000000001</v>
      </c>
      <c r="L403" s="18">
        <v>451.63</v>
      </c>
      <c r="M403" s="7" t="s">
        <v>57</v>
      </c>
      <c r="N403" s="7" t="s">
        <v>43</v>
      </c>
      <c r="O403" s="7" t="s">
        <v>37</v>
      </c>
      <c r="P403" s="7" t="str">
        <f t="shared" si="18"/>
        <v>Jul</v>
      </c>
      <c r="Q403" s="7">
        <f t="shared" si="19"/>
        <v>2025</v>
      </c>
      <c r="R403" s="23">
        <f t="shared" si="20"/>
        <v>0.25726133988026406</v>
      </c>
    </row>
    <row r="404" spans="1:18">
      <c r="A404" s="7" t="s">
        <v>1607</v>
      </c>
      <c r="B404" s="8">
        <v>45834</v>
      </c>
      <c r="C404" s="7" t="s">
        <v>418</v>
      </c>
      <c r="D404" s="7" t="s">
        <v>74</v>
      </c>
      <c r="E404" s="7" t="s">
        <v>33</v>
      </c>
      <c r="F404" s="7" t="s">
        <v>176</v>
      </c>
      <c r="G404" s="7">
        <v>5</v>
      </c>
      <c r="H404" s="18">
        <v>1952.49</v>
      </c>
      <c r="I404" s="22">
        <v>0.2</v>
      </c>
      <c r="J404" s="18">
        <v>7809.96</v>
      </c>
      <c r="K404" s="18">
        <v>6408.46</v>
      </c>
      <c r="L404" s="18">
        <v>1401.5</v>
      </c>
      <c r="M404" s="7" t="s">
        <v>57</v>
      </c>
      <c r="N404" s="7" t="s">
        <v>43</v>
      </c>
      <c r="O404" s="7" t="s">
        <v>44</v>
      </c>
      <c r="P404" s="7" t="str">
        <f t="shared" si="18"/>
        <v>Jun</v>
      </c>
      <c r="Q404" s="7">
        <f t="shared" si="19"/>
        <v>2025</v>
      </c>
      <c r="R404" s="23">
        <f t="shared" si="20"/>
        <v>0.17945034289548217</v>
      </c>
    </row>
    <row r="405" spans="1:18">
      <c r="A405" s="7" t="s">
        <v>309</v>
      </c>
      <c r="B405" s="8">
        <v>46079</v>
      </c>
      <c r="C405" s="7" t="s">
        <v>310</v>
      </c>
      <c r="D405" s="7" t="s">
        <v>95</v>
      </c>
      <c r="E405" s="7" t="s">
        <v>61</v>
      </c>
      <c r="F405" s="7" t="s">
        <v>62</v>
      </c>
      <c r="G405" s="7">
        <v>2</v>
      </c>
      <c r="H405" s="18">
        <v>1970.68</v>
      </c>
      <c r="I405" s="22">
        <v>0.2</v>
      </c>
      <c r="J405" s="18">
        <v>3153.09</v>
      </c>
      <c r="K405" s="18">
        <v>1896.57</v>
      </c>
      <c r="L405" s="18">
        <v>1256.52</v>
      </c>
      <c r="M405" s="7" t="s">
        <v>57</v>
      </c>
      <c r="N405" s="7" t="s">
        <v>36</v>
      </c>
      <c r="O405" s="7" t="s">
        <v>44</v>
      </c>
      <c r="P405" s="7" t="str">
        <f t="shared" si="18"/>
        <v>Feb</v>
      </c>
      <c r="Q405" s="7">
        <f t="shared" si="19"/>
        <v>2026</v>
      </c>
      <c r="R405" s="23">
        <f t="shared" si="20"/>
        <v>0.39850432432946725</v>
      </c>
    </row>
    <row r="406" spans="1:18">
      <c r="A406" s="7" t="s">
        <v>1618</v>
      </c>
      <c r="B406" s="8">
        <v>46117</v>
      </c>
      <c r="C406" s="7" t="s">
        <v>144</v>
      </c>
      <c r="D406" s="7" t="s">
        <v>66</v>
      </c>
      <c r="E406" s="7" t="s">
        <v>33</v>
      </c>
      <c r="F406" s="7" t="s">
        <v>96</v>
      </c>
      <c r="G406" s="7">
        <v>5</v>
      </c>
      <c r="H406" s="18">
        <v>1971.98</v>
      </c>
      <c r="I406" s="22">
        <v>0.05</v>
      </c>
      <c r="J406" s="18">
        <v>9366.9</v>
      </c>
      <c r="K406" s="18">
        <v>7086.66</v>
      </c>
      <c r="L406" s="18">
        <v>2280.2399999999998</v>
      </c>
      <c r="M406" s="7" t="s">
        <v>35</v>
      </c>
      <c r="N406" s="7" t="s">
        <v>36</v>
      </c>
      <c r="O406" s="7" t="s">
        <v>37</v>
      </c>
      <c r="P406" s="7" t="str">
        <f t="shared" si="18"/>
        <v>Apr</v>
      </c>
      <c r="Q406" s="7">
        <f t="shared" si="19"/>
        <v>2026</v>
      </c>
      <c r="R406" s="23">
        <f t="shared" si="20"/>
        <v>0.24343592864234698</v>
      </c>
    </row>
    <row r="407" spans="1:18">
      <c r="A407" s="7" t="s">
        <v>1522</v>
      </c>
      <c r="B407" s="8">
        <v>46101</v>
      </c>
      <c r="C407" s="7" t="s">
        <v>493</v>
      </c>
      <c r="D407" s="7" t="s">
        <v>95</v>
      </c>
      <c r="E407" s="7" t="s">
        <v>48</v>
      </c>
      <c r="F407" s="7" t="s">
        <v>99</v>
      </c>
      <c r="G407" s="7">
        <v>4</v>
      </c>
      <c r="H407" s="18">
        <v>1977.42</v>
      </c>
      <c r="I407" s="22">
        <v>0.1</v>
      </c>
      <c r="J407" s="18">
        <v>7118.71</v>
      </c>
      <c r="K407" s="18">
        <v>5574.67</v>
      </c>
      <c r="L407" s="18">
        <v>1544.04</v>
      </c>
      <c r="M407" s="7" t="s">
        <v>57</v>
      </c>
      <c r="N407" s="7" t="s">
        <v>63</v>
      </c>
      <c r="O407" s="7" t="s">
        <v>44</v>
      </c>
      <c r="P407" s="7" t="str">
        <f t="shared" si="18"/>
        <v>Mar</v>
      </c>
      <c r="Q407" s="7">
        <f t="shared" si="19"/>
        <v>2026</v>
      </c>
      <c r="R407" s="23">
        <f t="shared" si="20"/>
        <v>0.2168988482463817</v>
      </c>
    </row>
    <row r="408" spans="1:18">
      <c r="A408" s="7" t="s">
        <v>1562</v>
      </c>
      <c r="B408" s="8">
        <v>45858</v>
      </c>
      <c r="C408" s="7" t="s">
        <v>1412</v>
      </c>
      <c r="D408" s="7" t="s">
        <v>134</v>
      </c>
      <c r="E408" s="7" t="s">
        <v>33</v>
      </c>
      <c r="F408" s="7" t="s">
        <v>92</v>
      </c>
      <c r="G408" s="7">
        <v>4</v>
      </c>
      <c r="H408" s="18">
        <v>1980.98</v>
      </c>
      <c r="I408" s="22">
        <v>0.1</v>
      </c>
      <c r="J408" s="18">
        <v>7131.53</v>
      </c>
      <c r="K408" s="18">
        <v>4463.96</v>
      </c>
      <c r="L408" s="18">
        <v>2667.57</v>
      </c>
      <c r="M408" s="7" t="s">
        <v>57</v>
      </c>
      <c r="N408" s="7" t="s">
        <v>43</v>
      </c>
      <c r="O408" s="7" t="s">
        <v>37</v>
      </c>
      <c r="P408" s="7" t="str">
        <f t="shared" si="18"/>
        <v>Jul</v>
      </c>
      <c r="Q408" s="7">
        <f t="shared" si="19"/>
        <v>2025</v>
      </c>
      <c r="R408" s="23">
        <f t="shared" si="20"/>
        <v>0.37405297320490838</v>
      </c>
    </row>
    <row r="409" spans="1:18">
      <c r="A409" s="7" t="s">
        <v>702</v>
      </c>
      <c r="B409" s="8">
        <v>46218</v>
      </c>
      <c r="C409" s="7" t="s">
        <v>703</v>
      </c>
      <c r="D409" s="7" t="s">
        <v>56</v>
      </c>
      <c r="E409" s="7" t="s">
        <v>48</v>
      </c>
      <c r="F409" s="7" t="s">
        <v>113</v>
      </c>
      <c r="G409" s="7">
        <v>5</v>
      </c>
      <c r="H409" s="18">
        <v>1981.58</v>
      </c>
      <c r="I409" s="22">
        <v>0</v>
      </c>
      <c r="J409" s="18">
        <v>9907.9</v>
      </c>
      <c r="K409" s="18">
        <v>7052.82</v>
      </c>
      <c r="L409" s="18">
        <v>2855.08</v>
      </c>
      <c r="M409" s="7" t="s">
        <v>35</v>
      </c>
      <c r="N409" s="7" t="s">
        <v>43</v>
      </c>
      <c r="O409" s="7" t="s">
        <v>44</v>
      </c>
      <c r="P409" s="7" t="str">
        <f t="shared" si="18"/>
        <v>Jul</v>
      </c>
      <c r="Q409" s="7">
        <f t="shared" si="19"/>
        <v>2026</v>
      </c>
      <c r="R409" s="23">
        <f t="shared" si="20"/>
        <v>0.28816197175990876</v>
      </c>
    </row>
    <row r="410" spans="1:18">
      <c r="A410" s="7" t="s">
        <v>225</v>
      </c>
      <c r="B410" s="8">
        <v>45962</v>
      </c>
      <c r="C410" s="7" t="s">
        <v>226</v>
      </c>
      <c r="D410" s="7" t="s">
        <v>95</v>
      </c>
      <c r="E410" s="7" t="s">
        <v>33</v>
      </c>
      <c r="F410" s="7" t="s">
        <v>34</v>
      </c>
      <c r="G410" s="7">
        <v>2</v>
      </c>
      <c r="H410" s="18">
        <v>1983.41</v>
      </c>
      <c r="I410" s="22">
        <v>0</v>
      </c>
      <c r="J410" s="18">
        <v>3966.82</v>
      </c>
      <c r="K410" s="18">
        <v>2998.55</v>
      </c>
      <c r="L410" s="18">
        <v>968.27</v>
      </c>
      <c r="M410" s="7" t="s">
        <v>35</v>
      </c>
      <c r="N410" s="7" t="s">
        <v>36</v>
      </c>
      <c r="O410" s="7" t="s">
        <v>37</v>
      </c>
      <c r="P410" s="7" t="str">
        <f t="shared" si="18"/>
        <v>Nov</v>
      </c>
      <c r="Q410" s="7">
        <f t="shared" si="19"/>
        <v>2025</v>
      </c>
      <c r="R410" s="23">
        <f t="shared" si="20"/>
        <v>0.24409224517371597</v>
      </c>
    </row>
    <row r="411" spans="1:18">
      <c r="A411" s="7" t="s">
        <v>1498</v>
      </c>
      <c r="B411" s="8">
        <v>45923</v>
      </c>
      <c r="C411" s="7" t="s">
        <v>1499</v>
      </c>
      <c r="D411" s="7" t="s">
        <v>66</v>
      </c>
      <c r="E411" s="7" t="s">
        <v>61</v>
      </c>
      <c r="F411" s="7" t="s">
        <v>62</v>
      </c>
      <c r="G411" s="7">
        <v>5</v>
      </c>
      <c r="H411" s="18">
        <v>1988.89</v>
      </c>
      <c r="I411" s="22">
        <v>0.1</v>
      </c>
      <c r="J411" s="18">
        <v>8950.01</v>
      </c>
      <c r="K411" s="18">
        <v>6086.48</v>
      </c>
      <c r="L411" s="18">
        <v>2863.53</v>
      </c>
      <c r="M411" s="7" t="s">
        <v>57</v>
      </c>
      <c r="N411" s="7" t="s">
        <v>36</v>
      </c>
      <c r="O411" s="7" t="s">
        <v>37</v>
      </c>
      <c r="P411" s="7" t="str">
        <f t="shared" si="18"/>
        <v>Sep</v>
      </c>
      <c r="Q411" s="7">
        <f t="shared" si="19"/>
        <v>2025</v>
      </c>
      <c r="R411" s="23">
        <f t="shared" si="20"/>
        <v>0.31994712855069435</v>
      </c>
    </row>
    <row r="412" spans="1:18">
      <c r="A412" s="7" t="s">
        <v>1416</v>
      </c>
      <c r="B412" s="8">
        <v>45748</v>
      </c>
      <c r="C412" s="7" t="s">
        <v>170</v>
      </c>
      <c r="D412" s="7" t="s">
        <v>56</v>
      </c>
      <c r="E412" s="7" t="s">
        <v>61</v>
      </c>
      <c r="F412" s="7" t="s">
        <v>81</v>
      </c>
      <c r="G412" s="7">
        <v>4</v>
      </c>
      <c r="H412" s="18">
        <v>1991.39</v>
      </c>
      <c r="I412" s="22">
        <v>0</v>
      </c>
      <c r="J412" s="18">
        <v>7965.56</v>
      </c>
      <c r="K412" s="18">
        <v>6086.58</v>
      </c>
      <c r="L412" s="18">
        <v>1878.98</v>
      </c>
      <c r="M412" s="7" t="s">
        <v>57</v>
      </c>
      <c r="N412" s="7" t="s">
        <v>63</v>
      </c>
      <c r="O412" s="7" t="s">
        <v>44</v>
      </c>
      <c r="P412" s="7" t="str">
        <f t="shared" si="18"/>
        <v>Apr</v>
      </c>
      <c r="Q412" s="7">
        <f t="shared" si="19"/>
        <v>2025</v>
      </c>
      <c r="R412" s="23">
        <f t="shared" si="20"/>
        <v>0.23588799783066097</v>
      </c>
    </row>
    <row r="413" spans="1:18">
      <c r="A413" s="7" t="s">
        <v>1714</v>
      </c>
      <c r="B413" s="8">
        <v>45841</v>
      </c>
      <c r="C413" s="7" t="s">
        <v>941</v>
      </c>
      <c r="D413" s="7" t="s">
        <v>1715</v>
      </c>
      <c r="E413" s="7" t="s">
        <v>33</v>
      </c>
      <c r="F413" s="7" t="s">
        <v>176</v>
      </c>
      <c r="G413" s="7">
        <v>5</v>
      </c>
      <c r="H413" s="18">
        <v>1991.63</v>
      </c>
      <c r="I413" s="22">
        <v>0.1</v>
      </c>
      <c r="J413" s="18">
        <v>8962.34</v>
      </c>
      <c r="K413" s="18">
        <v>5069.8</v>
      </c>
      <c r="L413" s="18">
        <v>3892.54</v>
      </c>
      <c r="M413" s="7" t="s">
        <v>35</v>
      </c>
      <c r="N413" s="7" t="s">
        <v>36</v>
      </c>
      <c r="O413" s="7" t="s">
        <v>44</v>
      </c>
      <c r="P413" s="7" t="str">
        <f t="shared" si="18"/>
        <v>Jul</v>
      </c>
      <c r="Q413" s="7">
        <f t="shared" si="19"/>
        <v>2025</v>
      </c>
      <c r="R413" s="23">
        <f t="shared" si="20"/>
        <v>0.43432184005516417</v>
      </c>
    </row>
    <row r="414" spans="1:18">
      <c r="A414" s="7" t="s">
        <v>1419</v>
      </c>
      <c r="B414" s="8">
        <v>45836</v>
      </c>
      <c r="C414" s="7" t="s">
        <v>1360</v>
      </c>
      <c r="D414" s="7" t="s">
        <v>74</v>
      </c>
      <c r="E414" s="7" t="s">
        <v>41</v>
      </c>
      <c r="F414" s="7" t="s">
        <v>124</v>
      </c>
      <c r="G414" s="7">
        <v>4</v>
      </c>
      <c r="H414" s="18">
        <v>1993.39</v>
      </c>
      <c r="I414" s="22">
        <v>0.05</v>
      </c>
      <c r="J414" s="18">
        <v>7574.88</v>
      </c>
      <c r="K414" s="18">
        <v>5694.76</v>
      </c>
      <c r="L414" s="18">
        <v>1880.12</v>
      </c>
      <c r="M414" s="7" t="s">
        <v>57</v>
      </c>
      <c r="N414" s="7" t="s">
        <v>71</v>
      </c>
      <c r="O414" s="7" t="s">
        <v>44</v>
      </c>
      <c r="P414" s="7" t="str">
        <f t="shared" si="18"/>
        <v>Jun</v>
      </c>
      <c r="Q414" s="7">
        <f t="shared" si="19"/>
        <v>2025</v>
      </c>
      <c r="R414" s="23">
        <f t="shared" si="20"/>
        <v>0.24820459201993958</v>
      </c>
    </row>
    <row r="415" spans="1:18">
      <c r="A415" s="7" t="s">
        <v>1224</v>
      </c>
      <c r="B415" s="8">
        <v>45838</v>
      </c>
      <c r="C415" s="7" t="s">
        <v>234</v>
      </c>
      <c r="D415" s="7" t="s">
        <v>1045</v>
      </c>
      <c r="E415" s="7" t="s">
        <v>48</v>
      </c>
      <c r="F415" s="7" t="s">
        <v>70</v>
      </c>
      <c r="G415" s="7">
        <v>4</v>
      </c>
      <c r="H415" s="18">
        <v>1997.44</v>
      </c>
      <c r="I415" s="22">
        <v>0.1</v>
      </c>
      <c r="J415" s="18">
        <v>7190.78</v>
      </c>
      <c r="K415" s="18">
        <v>4566.91</v>
      </c>
      <c r="L415" s="18">
        <v>2623.87</v>
      </c>
      <c r="M415" s="7" t="s">
        <v>35</v>
      </c>
      <c r="N415" s="7" t="s">
        <v>63</v>
      </c>
      <c r="O415" s="7" t="s">
        <v>44</v>
      </c>
      <c r="P415" s="7" t="str">
        <f t="shared" si="18"/>
        <v>Jun</v>
      </c>
      <c r="Q415" s="7">
        <f t="shared" si="19"/>
        <v>2025</v>
      </c>
      <c r="R415" s="23">
        <f t="shared" si="20"/>
        <v>0.36489365548660924</v>
      </c>
    </row>
    <row r="416" spans="1:18">
      <c r="A416" s="7" t="s">
        <v>386</v>
      </c>
      <c r="B416" s="8">
        <v>46083</v>
      </c>
      <c r="C416" s="7" t="s">
        <v>387</v>
      </c>
      <c r="D416" s="7" t="s">
        <v>40</v>
      </c>
      <c r="E416" s="7" t="s">
        <v>33</v>
      </c>
      <c r="F416" s="7" t="s">
        <v>67</v>
      </c>
      <c r="G416" s="7">
        <v>5</v>
      </c>
      <c r="H416" s="18">
        <v>1997.94</v>
      </c>
      <c r="I416" s="22">
        <v>0.05</v>
      </c>
      <c r="J416" s="18">
        <v>9490.2199999999993</v>
      </c>
      <c r="K416" s="18">
        <v>5746.72</v>
      </c>
      <c r="L416" s="18">
        <v>3743.5</v>
      </c>
      <c r="M416" s="7" t="s">
        <v>57</v>
      </c>
      <c r="N416" s="7" t="s">
        <v>63</v>
      </c>
      <c r="O416" s="7" t="s">
        <v>37</v>
      </c>
      <c r="P416" s="7" t="str">
        <f t="shared" si="18"/>
        <v>Mar</v>
      </c>
      <c r="Q416" s="7">
        <f t="shared" si="19"/>
        <v>2026</v>
      </c>
      <c r="R416" s="23">
        <f t="shared" si="20"/>
        <v>0.39445871644703706</v>
      </c>
    </row>
    <row r="417" spans="1:18">
      <c r="A417" s="7" t="s">
        <v>635</v>
      </c>
      <c r="B417" s="8">
        <v>45842</v>
      </c>
      <c r="C417" s="7" t="s">
        <v>226</v>
      </c>
      <c r="D417" s="7" t="s">
        <v>95</v>
      </c>
      <c r="E417" s="7" t="s">
        <v>48</v>
      </c>
      <c r="F417" s="7" t="s">
        <v>99</v>
      </c>
      <c r="G417" s="7">
        <v>3</v>
      </c>
      <c r="H417" s="18">
        <v>1998.55</v>
      </c>
      <c r="I417" s="22">
        <v>0</v>
      </c>
      <c r="J417" s="18">
        <v>5995.65</v>
      </c>
      <c r="K417" s="18">
        <v>4165.6000000000004</v>
      </c>
      <c r="L417" s="18">
        <v>1830.05</v>
      </c>
      <c r="M417" s="7" t="s">
        <v>57</v>
      </c>
      <c r="N417" s="7" t="s">
        <v>71</v>
      </c>
      <c r="O417" s="7" t="s">
        <v>37</v>
      </c>
      <c r="P417" s="7" t="str">
        <f t="shared" si="18"/>
        <v>Jul</v>
      </c>
      <c r="Q417" s="7">
        <f t="shared" si="19"/>
        <v>2025</v>
      </c>
      <c r="R417" s="23">
        <f t="shared" si="20"/>
        <v>0.30522962481132154</v>
      </c>
    </row>
    <row r="418" spans="1:18">
      <c r="A418" s="7" t="s">
        <v>114</v>
      </c>
      <c r="B418" s="8">
        <v>45766</v>
      </c>
      <c r="C418" s="7" t="s">
        <v>115</v>
      </c>
      <c r="D418" s="7" t="s">
        <v>32</v>
      </c>
      <c r="E418" s="7" t="s">
        <v>48</v>
      </c>
      <c r="F418" s="7" t="s">
        <v>49</v>
      </c>
      <c r="G418" s="7">
        <v>5</v>
      </c>
      <c r="H418" s="18">
        <v>2001.81</v>
      </c>
      <c r="I418" s="22">
        <v>0</v>
      </c>
      <c r="J418" s="18">
        <v>10009.049999999999</v>
      </c>
      <c r="K418" s="18">
        <v>7152.5</v>
      </c>
      <c r="L418" s="18">
        <v>2856.55</v>
      </c>
      <c r="M418" s="7" t="s">
        <v>35</v>
      </c>
      <c r="N418" s="7" t="s">
        <v>71</v>
      </c>
      <c r="O418" s="7" t="s">
        <v>37</v>
      </c>
      <c r="P418" s="7" t="str">
        <f t="shared" si="18"/>
        <v>Apr</v>
      </c>
      <c r="Q418" s="7">
        <f t="shared" si="19"/>
        <v>2025</v>
      </c>
      <c r="R418" s="23">
        <f t="shared" si="20"/>
        <v>0.28539671597204536</v>
      </c>
    </row>
    <row r="419" spans="1:18">
      <c r="A419" s="7" t="s">
        <v>177</v>
      </c>
      <c r="B419" s="8">
        <v>45676</v>
      </c>
      <c r="C419" s="7" t="s">
        <v>80</v>
      </c>
      <c r="D419" s="7" t="s">
        <v>74</v>
      </c>
      <c r="E419" s="7" t="s">
        <v>48</v>
      </c>
      <c r="F419" s="7" t="s">
        <v>70</v>
      </c>
      <c r="G419" s="7">
        <v>6</v>
      </c>
      <c r="H419" s="18">
        <v>2005.05</v>
      </c>
      <c r="I419" s="22">
        <v>0.15</v>
      </c>
      <c r="J419" s="18">
        <v>10225.75</v>
      </c>
      <c r="K419" s="18">
        <v>7841.07</v>
      </c>
      <c r="L419" s="18">
        <v>2384.6799999999998</v>
      </c>
      <c r="M419" s="7" t="s">
        <v>57</v>
      </c>
      <c r="N419" s="7" t="s">
        <v>71</v>
      </c>
      <c r="O419" s="7" t="s">
        <v>44</v>
      </c>
      <c r="P419" s="7" t="str">
        <f t="shared" si="18"/>
        <v>Jan</v>
      </c>
      <c r="Q419" s="7">
        <f t="shared" si="19"/>
        <v>2025</v>
      </c>
      <c r="R419" s="23">
        <f t="shared" si="20"/>
        <v>0.23320343251106274</v>
      </c>
    </row>
    <row r="420" spans="1:18">
      <c r="A420" s="7" t="s">
        <v>1331</v>
      </c>
      <c r="B420" s="8">
        <v>45993</v>
      </c>
      <c r="C420" s="7" t="s">
        <v>1332</v>
      </c>
      <c r="D420" s="7" t="s">
        <v>56</v>
      </c>
      <c r="E420" s="7" t="s">
        <v>33</v>
      </c>
      <c r="F420" s="7" t="s">
        <v>67</v>
      </c>
      <c r="G420" s="7">
        <v>2</v>
      </c>
      <c r="H420" s="18">
        <v>2010.31</v>
      </c>
      <c r="I420" s="22">
        <v>0</v>
      </c>
      <c r="J420" s="18">
        <v>4020.62</v>
      </c>
      <c r="K420" s="18">
        <v>2369.7600000000002</v>
      </c>
      <c r="L420" s="18">
        <v>1650.86</v>
      </c>
      <c r="M420" s="7" t="s">
        <v>57</v>
      </c>
      <c r="N420" s="7" t="s">
        <v>63</v>
      </c>
      <c r="O420" s="7" t="s">
        <v>44</v>
      </c>
      <c r="P420" s="7" t="str">
        <f t="shared" si="18"/>
        <v>Dec</v>
      </c>
      <c r="Q420" s="7">
        <f t="shared" si="19"/>
        <v>2025</v>
      </c>
      <c r="R420" s="23">
        <f t="shared" si="20"/>
        <v>0.4105983654262278</v>
      </c>
    </row>
    <row r="421" spans="1:18">
      <c r="A421" s="7" t="s">
        <v>1248</v>
      </c>
      <c r="B421" s="8">
        <v>45664</v>
      </c>
      <c r="C421" s="7" t="s">
        <v>374</v>
      </c>
      <c r="D421" s="7" t="s">
        <v>32</v>
      </c>
      <c r="E421" s="7" t="s">
        <v>48</v>
      </c>
      <c r="F421" s="7" t="s">
        <v>113</v>
      </c>
      <c r="G421" s="7">
        <v>1</v>
      </c>
      <c r="H421" s="18">
        <v>2018.16</v>
      </c>
      <c r="I421" s="22">
        <v>0.1</v>
      </c>
      <c r="J421" s="18">
        <v>1816.34</v>
      </c>
      <c r="K421" s="18">
        <v>1210.4000000000001</v>
      </c>
      <c r="L421" s="18">
        <v>605.94000000000005</v>
      </c>
      <c r="M421" s="7" t="s">
        <v>35</v>
      </c>
      <c r="N421" s="7" t="s">
        <v>71</v>
      </c>
      <c r="O421" s="7" t="s">
        <v>44</v>
      </c>
      <c r="P421" s="7" t="str">
        <f t="shared" si="18"/>
        <v>Jan</v>
      </c>
      <c r="Q421" s="7">
        <f t="shared" si="19"/>
        <v>2025</v>
      </c>
      <c r="R421" s="23">
        <f t="shared" si="20"/>
        <v>0.33360494180604955</v>
      </c>
    </row>
    <row r="422" spans="1:18">
      <c r="A422" s="7" t="s">
        <v>566</v>
      </c>
      <c r="B422" s="8">
        <v>45673</v>
      </c>
      <c r="C422" s="7" t="s">
        <v>294</v>
      </c>
      <c r="D422" s="7" t="s">
        <v>40</v>
      </c>
      <c r="E422" s="7" t="s">
        <v>61</v>
      </c>
      <c r="F422" s="7" t="s">
        <v>81</v>
      </c>
      <c r="G422" s="7">
        <v>1</v>
      </c>
      <c r="H422" s="18">
        <v>2020</v>
      </c>
      <c r="I422" s="22">
        <v>0</v>
      </c>
      <c r="J422" s="18">
        <v>2020</v>
      </c>
      <c r="K422" s="18">
        <v>1427.55</v>
      </c>
      <c r="L422" s="18">
        <v>592.45000000000005</v>
      </c>
      <c r="M422" s="7" t="s">
        <v>35</v>
      </c>
      <c r="N422" s="7" t="s">
        <v>43</v>
      </c>
      <c r="O422" s="7" t="s">
        <v>44</v>
      </c>
      <c r="P422" s="7" t="str">
        <f t="shared" si="18"/>
        <v>Jan</v>
      </c>
      <c r="Q422" s="7">
        <f t="shared" si="19"/>
        <v>2025</v>
      </c>
      <c r="R422" s="23">
        <f t="shared" si="20"/>
        <v>0.29329207920792083</v>
      </c>
    </row>
    <row r="423" spans="1:18">
      <c r="A423" s="7" t="s">
        <v>1237</v>
      </c>
      <c r="B423" s="8">
        <v>45823</v>
      </c>
      <c r="C423" s="7" t="s">
        <v>310</v>
      </c>
      <c r="D423" s="7" t="s">
        <v>74</v>
      </c>
      <c r="E423" s="7" t="s">
        <v>33</v>
      </c>
      <c r="F423" s="7" t="s">
        <v>34</v>
      </c>
      <c r="G423" s="7">
        <v>1</v>
      </c>
      <c r="H423" s="18">
        <v>2025.17</v>
      </c>
      <c r="I423" s="22">
        <v>0</v>
      </c>
      <c r="J423" s="18">
        <v>2025.17</v>
      </c>
      <c r="K423" s="18">
        <v>1145.19</v>
      </c>
      <c r="L423" s="18">
        <v>879.98</v>
      </c>
      <c r="M423" s="7" t="s">
        <v>57</v>
      </c>
      <c r="N423" s="7" t="s">
        <v>71</v>
      </c>
      <c r="O423" s="7" t="s">
        <v>44</v>
      </c>
      <c r="P423" s="7" t="str">
        <f t="shared" si="18"/>
        <v>Jun</v>
      </c>
      <c r="Q423" s="7">
        <f t="shared" si="19"/>
        <v>2025</v>
      </c>
      <c r="R423" s="23">
        <f t="shared" si="20"/>
        <v>0.43452154633931966</v>
      </c>
    </row>
    <row r="424" spans="1:18">
      <c r="A424" s="7" t="s">
        <v>1717</v>
      </c>
      <c r="B424" s="8">
        <v>46079</v>
      </c>
      <c r="C424" s="7" t="s">
        <v>1718</v>
      </c>
      <c r="D424" s="7" t="s">
        <v>134</v>
      </c>
      <c r="E424" s="7" t="s">
        <v>33</v>
      </c>
      <c r="F424" s="7" t="s">
        <v>92</v>
      </c>
      <c r="G424" s="7">
        <v>5</v>
      </c>
      <c r="H424" s="18">
        <v>2026.86</v>
      </c>
      <c r="I424" s="22">
        <v>0.1</v>
      </c>
      <c r="J424" s="18">
        <v>9120.8700000000008</v>
      </c>
      <c r="K424" s="18">
        <v>5528.78</v>
      </c>
      <c r="L424" s="18">
        <v>3592.09</v>
      </c>
      <c r="M424" s="7" t="s">
        <v>35</v>
      </c>
      <c r="N424" s="7" t="s">
        <v>36</v>
      </c>
      <c r="O424" s="7" t="s">
        <v>44</v>
      </c>
      <c r="P424" s="7" t="str">
        <f t="shared" si="18"/>
        <v>Feb</v>
      </c>
      <c r="Q424" s="7">
        <f t="shared" si="19"/>
        <v>2026</v>
      </c>
      <c r="R424" s="23">
        <f t="shared" si="20"/>
        <v>0.39383194804881549</v>
      </c>
    </row>
    <row r="425" spans="1:18">
      <c r="A425" s="7" t="s">
        <v>1175</v>
      </c>
      <c r="B425" s="8">
        <v>46122</v>
      </c>
      <c r="C425" s="7" t="s">
        <v>1176</v>
      </c>
      <c r="D425" s="7" t="s">
        <v>56</v>
      </c>
      <c r="E425" s="7" t="s">
        <v>33</v>
      </c>
      <c r="F425" s="7" t="s">
        <v>96</v>
      </c>
      <c r="G425" s="7">
        <v>4</v>
      </c>
      <c r="H425" s="18">
        <v>2029.32</v>
      </c>
      <c r="I425" s="22">
        <v>0.2</v>
      </c>
      <c r="J425" s="18">
        <v>6493.82</v>
      </c>
      <c r="K425" s="18">
        <v>4609.6099999999997</v>
      </c>
      <c r="L425" s="18">
        <v>1884.21</v>
      </c>
      <c r="M425" s="7" t="s">
        <v>57</v>
      </c>
      <c r="N425" s="7" t="s">
        <v>63</v>
      </c>
      <c r="O425" s="7" t="s">
        <v>44</v>
      </c>
      <c r="P425" s="7" t="str">
        <f t="shared" si="18"/>
        <v>Apr</v>
      </c>
      <c r="Q425" s="7">
        <f t="shared" si="19"/>
        <v>2026</v>
      </c>
      <c r="R425" s="23">
        <f t="shared" si="20"/>
        <v>0.29015433134888252</v>
      </c>
    </row>
    <row r="426" spans="1:18">
      <c r="A426" s="7" t="s">
        <v>847</v>
      </c>
      <c r="B426" s="8">
        <v>45982</v>
      </c>
      <c r="C426" s="7" t="s">
        <v>708</v>
      </c>
      <c r="D426" s="7" t="s">
        <v>40</v>
      </c>
      <c r="E426" s="7" t="s">
        <v>48</v>
      </c>
      <c r="F426" s="7" t="s">
        <v>70</v>
      </c>
      <c r="G426" s="7">
        <v>6</v>
      </c>
      <c r="H426" s="18">
        <v>2041.35</v>
      </c>
      <c r="I426" s="22">
        <v>0.05</v>
      </c>
      <c r="J426" s="18">
        <v>11635.69</v>
      </c>
      <c r="K426" s="18">
        <v>6935.36</v>
      </c>
      <c r="L426" s="18">
        <v>4700.33</v>
      </c>
      <c r="M426" s="7" t="s">
        <v>57</v>
      </c>
      <c r="N426" s="7" t="s">
        <v>71</v>
      </c>
      <c r="O426" s="7" t="s">
        <v>44</v>
      </c>
      <c r="P426" s="7" t="str">
        <f t="shared" si="18"/>
        <v>Nov</v>
      </c>
      <c r="Q426" s="7">
        <f t="shared" si="19"/>
        <v>2025</v>
      </c>
      <c r="R426" s="23">
        <f t="shared" si="20"/>
        <v>0.40395799475579014</v>
      </c>
    </row>
    <row r="427" spans="1:18">
      <c r="A427" s="7" t="s">
        <v>1084</v>
      </c>
      <c r="B427" s="8">
        <v>45721</v>
      </c>
      <c r="C427" s="7" t="s">
        <v>1085</v>
      </c>
      <c r="D427" s="7" t="s">
        <v>74</v>
      </c>
      <c r="E427" s="7" t="s">
        <v>41</v>
      </c>
      <c r="F427" s="7" t="s">
        <v>119</v>
      </c>
      <c r="G427" s="7">
        <v>2</v>
      </c>
      <c r="H427" s="18">
        <v>2045.35</v>
      </c>
      <c r="I427" s="22">
        <v>0.15</v>
      </c>
      <c r="J427" s="18">
        <v>3477.09</v>
      </c>
      <c r="K427" s="18">
        <v>2542.7600000000002</v>
      </c>
      <c r="L427" s="18">
        <v>934.33</v>
      </c>
      <c r="M427" s="7" t="s">
        <v>35</v>
      </c>
      <c r="N427" s="7" t="s">
        <v>71</v>
      </c>
      <c r="O427" s="7" t="s">
        <v>44</v>
      </c>
      <c r="P427" s="7" t="str">
        <f t="shared" si="18"/>
        <v>Mar</v>
      </c>
      <c r="Q427" s="7">
        <f t="shared" si="19"/>
        <v>2025</v>
      </c>
      <c r="R427" s="23">
        <f t="shared" si="20"/>
        <v>0.26871032961470653</v>
      </c>
    </row>
    <row r="428" spans="1:18">
      <c r="A428" s="7" t="s">
        <v>1743</v>
      </c>
      <c r="B428" s="8">
        <v>46154</v>
      </c>
      <c r="C428" s="7" t="s">
        <v>288</v>
      </c>
      <c r="D428" s="7" t="s">
        <v>32</v>
      </c>
      <c r="E428" s="7" t="s">
        <v>41</v>
      </c>
      <c r="F428" s="7" t="s">
        <v>153</v>
      </c>
      <c r="G428" s="7">
        <v>4</v>
      </c>
      <c r="H428" s="18">
        <v>2047.43</v>
      </c>
      <c r="I428" s="22">
        <v>0</v>
      </c>
      <c r="J428" s="18">
        <v>8189.72</v>
      </c>
      <c r="K428" s="18">
        <v>6499.85</v>
      </c>
      <c r="L428" s="18">
        <v>1689.87</v>
      </c>
      <c r="M428" s="7" t="s">
        <v>57</v>
      </c>
      <c r="N428" s="7" t="s">
        <v>43</v>
      </c>
      <c r="O428" s="7" t="s">
        <v>44</v>
      </c>
      <c r="P428" s="7" t="str">
        <f t="shared" si="18"/>
        <v>May</v>
      </c>
      <c r="Q428" s="7">
        <f t="shared" si="19"/>
        <v>2026</v>
      </c>
      <c r="R428" s="23">
        <f t="shared" si="20"/>
        <v>0.20634038770556257</v>
      </c>
    </row>
    <row r="429" spans="1:18">
      <c r="A429" s="7" t="s">
        <v>54</v>
      </c>
      <c r="B429" s="8">
        <v>46207</v>
      </c>
      <c r="C429" s="7" t="s">
        <v>55</v>
      </c>
      <c r="D429" s="7" t="s">
        <v>56</v>
      </c>
      <c r="E429" s="7" t="s">
        <v>41</v>
      </c>
      <c r="F429" s="7" t="s">
        <v>53</v>
      </c>
      <c r="G429" s="7">
        <v>5</v>
      </c>
      <c r="H429" s="18">
        <v>2051.83</v>
      </c>
      <c r="I429" s="22">
        <v>0.2</v>
      </c>
      <c r="J429" s="18">
        <v>8207.32</v>
      </c>
      <c r="K429" s="18">
        <v>6877.01</v>
      </c>
      <c r="L429" s="18">
        <v>1330.31</v>
      </c>
      <c r="M429" s="7" t="s">
        <v>57</v>
      </c>
      <c r="N429" s="7" t="s">
        <v>43</v>
      </c>
      <c r="O429" s="7" t="s">
        <v>44</v>
      </c>
      <c r="P429" s="7" t="str">
        <f t="shared" si="18"/>
        <v>Jul</v>
      </c>
      <c r="Q429" s="7">
        <f t="shared" si="19"/>
        <v>2026</v>
      </c>
      <c r="R429" s="23">
        <f t="shared" si="20"/>
        <v>0.16208823343064485</v>
      </c>
    </row>
    <row r="430" spans="1:18">
      <c r="A430" s="7" t="s">
        <v>1636</v>
      </c>
      <c r="B430" s="8">
        <v>45934</v>
      </c>
      <c r="C430" s="7" t="s">
        <v>1472</v>
      </c>
      <c r="D430" s="7" t="s">
        <v>95</v>
      </c>
      <c r="E430" s="7" t="s">
        <v>41</v>
      </c>
      <c r="F430" s="7" t="s">
        <v>53</v>
      </c>
      <c r="G430" s="7">
        <v>4</v>
      </c>
      <c r="H430" s="18">
        <v>2052.81</v>
      </c>
      <c r="I430" s="22">
        <v>0.1</v>
      </c>
      <c r="J430" s="18">
        <v>7390.12</v>
      </c>
      <c r="K430" s="18">
        <v>5116.05</v>
      </c>
      <c r="L430" s="18">
        <v>2274.0700000000002</v>
      </c>
      <c r="M430" s="7" t="s">
        <v>35</v>
      </c>
      <c r="N430" s="7" t="s">
        <v>43</v>
      </c>
      <c r="O430" s="7" t="s">
        <v>44</v>
      </c>
      <c r="P430" s="7" t="str">
        <f t="shared" si="18"/>
        <v>Oct</v>
      </c>
      <c r="Q430" s="7">
        <f t="shared" si="19"/>
        <v>2025</v>
      </c>
      <c r="R430" s="23">
        <f t="shared" si="20"/>
        <v>0.30771760133800263</v>
      </c>
    </row>
    <row r="431" spans="1:18">
      <c r="A431" s="7" t="s">
        <v>45</v>
      </c>
      <c r="B431" s="8">
        <v>46014</v>
      </c>
      <c r="C431" s="7" t="s">
        <v>46</v>
      </c>
      <c r="D431" s="7" t="s">
        <v>47</v>
      </c>
      <c r="E431" s="7" t="s">
        <v>48</v>
      </c>
      <c r="F431" s="7" t="s">
        <v>49</v>
      </c>
      <c r="G431" s="7">
        <v>6</v>
      </c>
      <c r="H431" s="18">
        <v>2053.1799999999998</v>
      </c>
      <c r="I431" s="22">
        <v>0.1</v>
      </c>
      <c r="J431" s="18">
        <v>11087.17</v>
      </c>
      <c r="K431" s="18">
        <v>6103.16</v>
      </c>
      <c r="L431" s="18">
        <v>4984.01</v>
      </c>
      <c r="M431" s="7" t="s">
        <v>35</v>
      </c>
      <c r="N431" s="7" t="s">
        <v>43</v>
      </c>
      <c r="O431" s="7" t="s">
        <v>44</v>
      </c>
      <c r="P431" s="7" t="str">
        <f t="shared" si="18"/>
        <v>Dec</v>
      </c>
      <c r="Q431" s="7">
        <f t="shared" si="19"/>
        <v>2025</v>
      </c>
      <c r="R431" s="23">
        <f t="shared" si="20"/>
        <v>0.44952950121627072</v>
      </c>
    </row>
    <row r="432" spans="1:18">
      <c r="A432" s="7" t="s">
        <v>558</v>
      </c>
      <c r="B432" s="8">
        <v>45874</v>
      </c>
      <c r="C432" s="7" t="s">
        <v>245</v>
      </c>
      <c r="D432" s="7" t="s">
        <v>52</v>
      </c>
      <c r="E432" s="7" t="s">
        <v>48</v>
      </c>
      <c r="F432" s="7" t="s">
        <v>49</v>
      </c>
      <c r="G432" s="7">
        <v>3</v>
      </c>
      <c r="H432" s="18">
        <v>2054.83</v>
      </c>
      <c r="I432" s="22">
        <v>0.05</v>
      </c>
      <c r="J432" s="18">
        <v>5856.27</v>
      </c>
      <c r="K432" s="18">
        <v>4052.08</v>
      </c>
      <c r="L432" s="18">
        <v>1804.19</v>
      </c>
      <c r="M432" s="7" t="s">
        <v>57</v>
      </c>
      <c r="N432" s="7" t="s">
        <v>43</v>
      </c>
      <c r="O432" s="7" t="s">
        <v>44</v>
      </c>
      <c r="P432" s="7" t="str">
        <f t="shared" si="18"/>
        <v>Aug</v>
      </c>
      <c r="Q432" s="7">
        <f t="shared" si="19"/>
        <v>2025</v>
      </c>
      <c r="R432" s="23">
        <f t="shared" si="20"/>
        <v>0.30807835021267804</v>
      </c>
    </row>
    <row r="433" spans="1:18">
      <c r="A433" s="7" t="s">
        <v>593</v>
      </c>
      <c r="B433" s="8">
        <v>45802</v>
      </c>
      <c r="C433" s="7" t="s">
        <v>594</v>
      </c>
      <c r="D433" s="7" t="s">
        <v>40</v>
      </c>
      <c r="E433" s="7" t="s">
        <v>48</v>
      </c>
      <c r="F433" s="7" t="s">
        <v>99</v>
      </c>
      <c r="G433" s="7">
        <v>2</v>
      </c>
      <c r="H433" s="18">
        <v>2065.1999999999998</v>
      </c>
      <c r="I433" s="22">
        <v>0.1</v>
      </c>
      <c r="J433" s="18">
        <v>3717.36</v>
      </c>
      <c r="K433" s="18">
        <v>3122.43</v>
      </c>
      <c r="L433" s="18">
        <v>594.92999999999995</v>
      </c>
      <c r="M433" s="7" t="s">
        <v>35</v>
      </c>
      <c r="N433" s="7" t="s">
        <v>71</v>
      </c>
      <c r="O433" s="7" t="s">
        <v>37</v>
      </c>
      <c r="P433" s="7" t="str">
        <f t="shared" si="18"/>
        <v>May</v>
      </c>
      <c r="Q433" s="7">
        <f t="shared" si="19"/>
        <v>2025</v>
      </c>
      <c r="R433" s="23">
        <f t="shared" si="20"/>
        <v>0.16004099683646456</v>
      </c>
    </row>
    <row r="434" spans="1:18">
      <c r="A434" s="7" t="s">
        <v>1711</v>
      </c>
      <c r="B434" s="8">
        <v>46251</v>
      </c>
      <c r="C434" s="7" t="s">
        <v>833</v>
      </c>
      <c r="D434" s="7" t="s">
        <v>40</v>
      </c>
      <c r="E434" s="7" t="s">
        <v>33</v>
      </c>
      <c r="F434" s="7" t="s">
        <v>67</v>
      </c>
      <c r="G434" s="7">
        <v>2</v>
      </c>
      <c r="H434" s="18">
        <v>2066.08</v>
      </c>
      <c r="I434" s="22">
        <v>0</v>
      </c>
      <c r="J434" s="18">
        <v>4132.16</v>
      </c>
      <c r="K434" s="18">
        <v>2457.62</v>
      </c>
      <c r="L434" s="18">
        <v>1674.54</v>
      </c>
      <c r="M434" s="7" t="s">
        <v>35</v>
      </c>
      <c r="N434" s="7" t="s">
        <v>43</v>
      </c>
      <c r="O434" s="7" t="s">
        <v>44</v>
      </c>
      <c r="P434" s="7" t="str">
        <f t="shared" si="18"/>
        <v>Aug</v>
      </c>
      <c r="Q434" s="7">
        <f t="shared" si="19"/>
        <v>2026</v>
      </c>
      <c r="R434" s="23">
        <f t="shared" si="20"/>
        <v>0.40524568264539612</v>
      </c>
    </row>
    <row r="435" spans="1:18">
      <c r="A435" s="7" t="s">
        <v>1616</v>
      </c>
      <c r="B435" s="8">
        <v>45839</v>
      </c>
      <c r="C435" s="7" t="s">
        <v>1401</v>
      </c>
      <c r="D435" s="7" t="s">
        <v>52</v>
      </c>
      <c r="E435" s="7" t="s">
        <v>48</v>
      </c>
      <c r="F435" s="7" t="s">
        <v>113</v>
      </c>
      <c r="G435" s="7">
        <v>6</v>
      </c>
      <c r="H435" s="18">
        <v>2066.7399999999998</v>
      </c>
      <c r="I435" s="22">
        <v>0.1</v>
      </c>
      <c r="J435" s="18">
        <v>11160.4</v>
      </c>
      <c r="K435" s="18">
        <v>7306.51</v>
      </c>
      <c r="L435" s="18">
        <v>3853.89</v>
      </c>
      <c r="M435" s="7" t="s">
        <v>35</v>
      </c>
      <c r="N435" s="7" t="s">
        <v>63</v>
      </c>
      <c r="O435" s="7" t="s">
        <v>37</v>
      </c>
      <c r="P435" s="7" t="str">
        <f t="shared" si="18"/>
        <v>Jul</v>
      </c>
      <c r="Q435" s="7">
        <f t="shared" si="19"/>
        <v>2025</v>
      </c>
      <c r="R435" s="23">
        <f t="shared" si="20"/>
        <v>0.34531826816243144</v>
      </c>
    </row>
    <row r="436" spans="1:18">
      <c r="A436" s="7" t="s">
        <v>149</v>
      </c>
      <c r="B436" s="8">
        <v>46176</v>
      </c>
      <c r="C436" s="7" t="s">
        <v>150</v>
      </c>
      <c r="D436" s="7" t="s">
        <v>52</v>
      </c>
      <c r="E436" s="7" t="s">
        <v>41</v>
      </c>
      <c r="F436" s="7" t="s">
        <v>53</v>
      </c>
      <c r="G436" s="7">
        <v>4</v>
      </c>
      <c r="H436" s="18">
        <v>2077.66</v>
      </c>
      <c r="I436" s="22">
        <v>0.2</v>
      </c>
      <c r="J436" s="18">
        <v>6648.51</v>
      </c>
      <c r="K436" s="18">
        <v>4541.45</v>
      </c>
      <c r="L436" s="18">
        <v>2107.06</v>
      </c>
      <c r="M436" s="7" t="s">
        <v>35</v>
      </c>
      <c r="N436" s="7" t="s">
        <v>43</v>
      </c>
      <c r="O436" s="7" t="s">
        <v>44</v>
      </c>
      <c r="P436" s="7" t="str">
        <f t="shared" si="18"/>
        <v>Jun</v>
      </c>
      <c r="Q436" s="7">
        <f t="shared" si="19"/>
        <v>2026</v>
      </c>
      <c r="R436" s="23">
        <f t="shared" si="20"/>
        <v>0.31692213744132142</v>
      </c>
    </row>
    <row r="437" spans="1:18">
      <c r="A437" s="7" t="s">
        <v>467</v>
      </c>
      <c r="B437" s="8">
        <v>45811</v>
      </c>
      <c r="C437" s="7" t="s">
        <v>468</v>
      </c>
      <c r="D437" s="7" t="s">
        <v>74</v>
      </c>
      <c r="E437" s="7" t="s">
        <v>33</v>
      </c>
      <c r="F437" s="7" t="s">
        <v>176</v>
      </c>
      <c r="G437" s="7">
        <v>6</v>
      </c>
      <c r="H437" s="18">
        <v>2086.37</v>
      </c>
      <c r="I437" s="22">
        <v>0</v>
      </c>
      <c r="J437" s="18">
        <v>12518.22</v>
      </c>
      <c r="K437" s="18">
        <v>8282.0499999999993</v>
      </c>
      <c r="L437" s="18">
        <v>4236.17</v>
      </c>
      <c r="M437" s="7" t="s">
        <v>57</v>
      </c>
      <c r="N437" s="7" t="s">
        <v>63</v>
      </c>
      <c r="O437" s="7" t="s">
        <v>37</v>
      </c>
      <c r="P437" s="7" t="str">
        <f t="shared" si="18"/>
        <v>Jun</v>
      </c>
      <c r="Q437" s="7">
        <f t="shared" si="19"/>
        <v>2025</v>
      </c>
      <c r="R437" s="23">
        <f t="shared" si="20"/>
        <v>0.33840034765326066</v>
      </c>
    </row>
    <row r="438" spans="1:18">
      <c r="A438" s="7" t="s">
        <v>1436</v>
      </c>
      <c r="B438" s="8">
        <v>46060</v>
      </c>
      <c r="C438" s="7" t="s">
        <v>1354</v>
      </c>
      <c r="D438" s="7" t="s">
        <v>95</v>
      </c>
      <c r="E438" s="7" t="s">
        <v>48</v>
      </c>
      <c r="F438" s="7" t="s">
        <v>113</v>
      </c>
      <c r="G438" s="7">
        <v>6</v>
      </c>
      <c r="H438" s="18">
        <v>2086.4499999999998</v>
      </c>
      <c r="I438" s="22">
        <v>0</v>
      </c>
      <c r="J438" s="18">
        <v>12518.7</v>
      </c>
      <c r="K438" s="18">
        <v>6920.41</v>
      </c>
      <c r="L438" s="18">
        <v>5598.29</v>
      </c>
      <c r="M438" s="7" t="s">
        <v>35</v>
      </c>
      <c r="N438" s="7" t="s">
        <v>63</v>
      </c>
      <c r="O438" s="7" t="s">
        <v>37</v>
      </c>
      <c r="P438" s="7" t="str">
        <f t="shared" si="18"/>
        <v>Feb</v>
      </c>
      <c r="Q438" s="7">
        <f t="shared" si="19"/>
        <v>2026</v>
      </c>
      <c r="R438" s="23">
        <f t="shared" si="20"/>
        <v>0.44719419748056904</v>
      </c>
    </row>
    <row r="439" spans="1:18">
      <c r="A439" s="7" t="s">
        <v>1400</v>
      </c>
      <c r="B439" s="8">
        <v>45673</v>
      </c>
      <c r="C439" s="7" t="s">
        <v>1401</v>
      </c>
      <c r="D439" s="7" t="s">
        <v>56</v>
      </c>
      <c r="E439" s="7" t="s">
        <v>41</v>
      </c>
      <c r="F439" s="7" t="s">
        <v>153</v>
      </c>
      <c r="G439" s="7">
        <v>6</v>
      </c>
      <c r="H439" s="18">
        <v>2086.54</v>
      </c>
      <c r="I439" s="22">
        <v>0.05</v>
      </c>
      <c r="J439" s="18">
        <v>11893.28</v>
      </c>
      <c r="K439" s="18">
        <v>9349.14</v>
      </c>
      <c r="L439" s="18">
        <v>2544.14</v>
      </c>
      <c r="M439" s="7" t="s">
        <v>35</v>
      </c>
      <c r="N439" s="7" t="s">
        <v>71</v>
      </c>
      <c r="O439" s="7" t="s">
        <v>44</v>
      </c>
      <c r="P439" s="7" t="str">
        <f t="shared" si="18"/>
        <v>Jan</v>
      </c>
      <c r="Q439" s="7">
        <f t="shared" si="19"/>
        <v>2025</v>
      </c>
      <c r="R439" s="23">
        <f t="shared" si="20"/>
        <v>0.21391407584787372</v>
      </c>
    </row>
    <row r="440" spans="1:18">
      <c r="A440" s="7" t="s">
        <v>321</v>
      </c>
      <c r="B440" s="8">
        <v>46216</v>
      </c>
      <c r="C440" s="7" t="s">
        <v>322</v>
      </c>
      <c r="D440" s="7" t="s">
        <v>56</v>
      </c>
      <c r="E440" s="7" t="s">
        <v>61</v>
      </c>
      <c r="F440" s="7" t="s">
        <v>84</v>
      </c>
      <c r="G440" s="7">
        <v>4</v>
      </c>
      <c r="H440" s="18">
        <v>2095.58</v>
      </c>
      <c r="I440" s="22">
        <v>0.05</v>
      </c>
      <c r="J440" s="18">
        <v>7963.2</v>
      </c>
      <c r="K440" s="18">
        <v>6489.46</v>
      </c>
      <c r="L440" s="18">
        <v>1473.74</v>
      </c>
      <c r="M440" s="7" t="s">
        <v>57</v>
      </c>
      <c r="N440" s="7" t="s">
        <v>63</v>
      </c>
      <c r="O440" s="7" t="s">
        <v>44</v>
      </c>
      <c r="P440" s="7" t="str">
        <f t="shared" si="18"/>
        <v>Jul</v>
      </c>
      <c r="Q440" s="7">
        <f t="shared" si="19"/>
        <v>2026</v>
      </c>
      <c r="R440" s="23">
        <f t="shared" si="20"/>
        <v>0.18506881655615834</v>
      </c>
    </row>
    <row r="441" spans="1:18">
      <c r="A441" s="7" t="s">
        <v>1712</v>
      </c>
      <c r="B441" s="8">
        <v>46205</v>
      </c>
      <c r="C441" s="7" t="s">
        <v>829</v>
      </c>
      <c r="D441" s="7" t="s">
        <v>52</v>
      </c>
      <c r="E441" s="7" t="s">
        <v>41</v>
      </c>
      <c r="F441" s="7" t="s">
        <v>124</v>
      </c>
      <c r="G441" s="7">
        <v>2</v>
      </c>
      <c r="H441" s="18">
        <v>2097.44</v>
      </c>
      <c r="I441" s="22">
        <v>0</v>
      </c>
      <c r="J441" s="18">
        <v>4194.88</v>
      </c>
      <c r="K441" s="18">
        <v>3561.05</v>
      </c>
      <c r="L441" s="18">
        <v>633.83000000000004</v>
      </c>
      <c r="M441" s="7" t="s">
        <v>57</v>
      </c>
      <c r="N441" s="7" t="s">
        <v>43</v>
      </c>
      <c r="O441" s="7" t="s">
        <v>44</v>
      </c>
      <c r="P441" s="7" t="str">
        <f t="shared" si="18"/>
        <v>Jul</v>
      </c>
      <c r="Q441" s="7">
        <f t="shared" si="19"/>
        <v>2026</v>
      </c>
      <c r="R441" s="23">
        <f t="shared" si="20"/>
        <v>0.15109609810054161</v>
      </c>
    </row>
    <row r="442" spans="1:18">
      <c r="A442" s="7" t="s">
        <v>1174</v>
      </c>
      <c r="B442" s="8">
        <v>45922</v>
      </c>
      <c r="C442" s="7" t="s">
        <v>461</v>
      </c>
      <c r="D442" s="7" t="s">
        <v>134</v>
      </c>
      <c r="E442" s="7" t="s">
        <v>33</v>
      </c>
      <c r="F442" s="7" t="s">
        <v>34</v>
      </c>
      <c r="G442" s="7">
        <v>3</v>
      </c>
      <c r="H442" s="18">
        <v>2114.34</v>
      </c>
      <c r="I442" s="22">
        <v>0</v>
      </c>
      <c r="J442" s="18">
        <v>6343.02</v>
      </c>
      <c r="K442" s="18">
        <v>4359.37</v>
      </c>
      <c r="L442" s="18">
        <v>1983.65</v>
      </c>
      <c r="M442" s="7" t="s">
        <v>57</v>
      </c>
      <c r="N442" s="7" t="s">
        <v>36</v>
      </c>
      <c r="O442" s="7" t="s">
        <v>44</v>
      </c>
      <c r="P442" s="7" t="str">
        <f t="shared" si="18"/>
        <v>Sep</v>
      </c>
      <c r="Q442" s="7">
        <f t="shared" si="19"/>
        <v>2025</v>
      </c>
      <c r="R442" s="23">
        <f t="shared" si="20"/>
        <v>0.31272958306926352</v>
      </c>
    </row>
    <row r="443" spans="1:18">
      <c r="A443" s="7" t="s">
        <v>1673</v>
      </c>
      <c r="B443" s="8">
        <v>46259</v>
      </c>
      <c r="C443" s="7" t="s">
        <v>316</v>
      </c>
      <c r="D443" s="7" t="s">
        <v>74</v>
      </c>
      <c r="E443" s="7" t="s">
        <v>33</v>
      </c>
      <c r="F443" s="7" t="s">
        <v>92</v>
      </c>
      <c r="G443" s="7">
        <v>3</v>
      </c>
      <c r="H443" s="18">
        <v>2114.5100000000002</v>
      </c>
      <c r="I443" s="22">
        <v>0.15</v>
      </c>
      <c r="J443" s="18">
        <v>5392</v>
      </c>
      <c r="K443" s="18">
        <v>3747.11</v>
      </c>
      <c r="L443" s="18">
        <v>1644.89</v>
      </c>
      <c r="M443" s="7" t="s">
        <v>35</v>
      </c>
      <c r="N443" s="7" t="s">
        <v>71</v>
      </c>
      <c r="O443" s="7" t="s">
        <v>44</v>
      </c>
      <c r="P443" s="7" t="str">
        <f t="shared" si="18"/>
        <v>Aug</v>
      </c>
      <c r="Q443" s="7">
        <f t="shared" si="19"/>
        <v>2026</v>
      </c>
      <c r="R443" s="23">
        <f t="shared" si="20"/>
        <v>0.30506120178041546</v>
      </c>
    </row>
    <row r="444" spans="1:18">
      <c r="A444" s="7" t="s">
        <v>777</v>
      </c>
      <c r="B444" s="8">
        <v>46110</v>
      </c>
      <c r="C444" s="7" t="s">
        <v>385</v>
      </c>
      <c r="D444" s="7" t="s">
        <v>40</v>
      </c>
      <c r="E444" s="7" t="s">
        <v>61</v>
      </c>
      <c r="F444" s="7" t="s">
        <v>84</v>
      </c>
      <c r="G444" s="7">
        <v>4</v>
      </c>
      <c r="H444" s="18">
        <v>2119.3000000000002</v>
      </c>
      <c r="I444" s="22">
        <v>0</v>
      </c>
      <c r="J444" s="18">
        <v>8477.2000000000007</v>
      </c>
      <c r="K444" s="18">
        <v>5107.4399999999996</v>
      </c>
      <c r="L444" s="18">
        <v>3369.76</v>
      </c>
      <c r="M444" s="7" t="s">
        <v>35</v>
      </c>
      <c r="N444" s="7" t="s">
        <v>43</v>
      </c>
      <c r="O444" s="7" t="s">
        <v>44</v>
      </c>
      <c r="P444" s="7" t="str">
        <f t="shared" si="18"/>
        <v>Mar</v>
      </c>
      <c r="Q444" s="7">
        <f t="shared" si="19"/>
        <v>2026</v>
      </c>
      <c r="R444" s="23">
        <f t="shared" si="20"/>
        <v>0.39750861133393101</v>
      </c>
    </row>
    <row r="445" spans="1:18">
      <c r="A445" s="7" t="s">
        <v>778</v>
      </c>
      <c r="B445" s="8">
        <v>45868</v>
      </c>
      <c r="C445" s="7" t="s">
        <v>695</v>
      </c>
      <c r="D445" s="7" t="s">
        <v>32</v>
      </c>
      <c r="E445" s="7" t="s">
        <v>48</v>
      </c>
      <c r="F445" s="7" t="s">
        <v>70</v>
      </c>
      <c r="G445" s="7">
        <v>2</v>
      </c>
      <c r="H445" s="18">
        <v>2126.15</v>
      </c>
      <c r="I445" s="22">
        <v>0.1</v>
      </c>
      <c r="J445" s="18">
        <v>3827.07</v>
      </c>
      <c r="K445" s="18">
        <v>2646.94</v>
      </c>
      <c r="L445" s="18">
        <v>1180.1300000000001</v>
      </c>
      <c r="M445" s="7" t="s">
        <v>35</v>
      </c>
      <c r="N445" s="7" t="s">
        <v>36</v>
      </c>
      <c r="O445" s="7" t="s">
        <v>37</v>
      </c>
      <c r="P445" s="7" t="str">
        <f t="shared" si="18"/>
        <v>Jul</v>
      </c>
      <c r="Q445" s="7">
        <f t="shared" si="19"/>
        <v>2025</v>
      </c>
      <c r="R445" s="23">
        <f t="shared" si="20"/>
        <v>0.30836383969982262</v>
      </c>
    </row>
    <row r="446" spans="1:18">
      <c r="A446" s="7" t="s">
        <v>971</v>
      </c>
      <c r="B446" s="8">
        <v>45695</v>
      </c>
      <c r="C446" s="7" t="s">
        <v>712</v>
      </c>
      <c r="D446" s="7" t="s">
        <v>56</v>
      </c>
      <c r="E446" s="7" t="s">
        <v>33</v>
      </c>
      <c r="F446" s="7" t="s">
        <v>96</v>
      </c>
      <c r="G446" s="7">
        <v>4</v>
      </c>
      <c r="H446" s="18">
        <v>2131.98</v>
      </c>
      <c r="I446" s="22">
        <v>0.1</v>
      </c>
      <c r="J446" s="18">
        <v>7675.13</v>
      </c>
      <c r="K446" s="18">
        <v>5425.2</v>
      </c>
      <c r="L446" s="18">
        <v>2249.9299999999998</v>
      </c>
      <c r="M446" s="7" t="s">
        <v>35</v>
      </c>
      <c r="N446" s="7" t="s">
        <v>71</v>
      </c>
      <c r="O446" s="7" t="s">
        <v>37</v>
      </c>
      <c r="P446" s="7" t="str">
        <f t="shared" si="18"/>
        <v>Feb</v>
      </c>
      <c r="Q446" s="7">
        <f t="shared" si="19"/>
        <v>2025</v>
      </c>
      <c r="R446" s="23">
        <f t="shared" si="20"/>
        <v>0.29314552326800974</v>
      </c>
    </row>
    <row r="447" spans="1:18">
      <c r="A447" s="7" t="s">
        <v>1558</v>
      </c>
      <c r="B447" s="8">
        <v>46058</v>
      </c>
      <c r="C447" s="7" t="s">
        <v>1557</v>
      </c>
      <c r="D447" s="7" t="s">
        <v>32</v>
      </c>
      <c r="E447" s="7" t="s">
        <v>48</v>
      </c>
      <c r="F447" s="7" t="s">
        <v>113</v>
      </c>
      <c r="G447" s="7">
        <v>2</v>
      </c>
      <c r="H447" s="18">
        <v>2132.77</v>
      </c>
      <c r="I447" s="22">
        <v>0.1</v>
      </c>
      <c r="J447" s="18">
        <v>3838.99</v>
      </c>
      <c r="K447" s="18">
        <v>2619.9699999999998</v>
      </c>
      <c r="L447" s="18">
        <v>1219.02</v>
      </c>
      <c r="M447" s="7" t="s">
        <v>57</v>
      </c>
      <c r="N447" s="7" t="s">
        <v>36</v>
      </c>
      <c r="O447" s="7" t="s">
        <v>37</v>
      </c>
      <c r="P447" s="7" t="str">
        <f t="shared" si="18"/>
        <v>Feb</v>
      </c>
      <c r="Q447" s="7">
        <f t="shared" si="19"/>
        <v>2026</v>
      </c>
      <c r="R447" s="23">
        <f t="shared" si="20"/>
        <v>0.31753664375265372</v>
      </c>
    </row>
    <row r="448" spans="1:18">
      <c r="A448" s="7" t="s">
        <v>752</v>
      </c>
      <c r="B448" s="8">
        <v>46236</v>
      </c>
      <c r="C448" s="7" t="s">
        <v>433</v>
      </c>
      <c r="D448" s="7" t="s">
        <v>56</v>
      </c>
      <c r="E448" s="7" t="s">
        <v>61</v>
      </c>
      <c r="F448" s="7" t="s">
        <v>129</v>
      </c>
      <c r="G448" s="7">
        <v>2</v>
      </c>
      <c r="H448" s="18">
        <v>2144.08</v>
      </c>
      <c r="I448" s="22">
        <v>0.2</v>
      </c>
      <c r="J448" s="18">
        <v>3430.53</v>
      </c>
      <c r="K448" s="18">
        <v>2287.2800000000002</v>
      </c>
      <c r="L448" s="18">
        <v>1143.25</v>
      </c>
      <c r="M448" s="7" t="s">
        <v>35</v>
      </c>
      <c r="N448" s="7" t="s">
        <v>43</v>
      </c>
      <c r="O448" s="7" t="s">
        <v>44</v>
      </c>
      <c r="P448" s="7" t="str">
        <f t="shared" si="18"/>
        <v>Aug</v>
      </c>
      <c r="Q448" s="7">
        <f t="shared" si="19"/>
        <v>2026</v>
      </c>
      <c r="R448" s="23">
        <f t="shared" si="20"/>
        <v>0.33325754329505936</v>
      </c>
    </row>
    <row r="449" spans="1:18">
      <c r="A449" s="7" t="s">
        <v>257</v>
      </c>
      <c r="B449" s="8">
        <v>46190</v>
      </c>
      <c r="C449" s="7" t="s">
        <v>211</v>
      </c>
      <c r="D449" s="7" t="s">
        <v>74</v>
      </c>
      <c r="E449" s="7" t="s">
        <v>33</v>
      </c>
      <c r="F449" s="7" t="s">
        <v>92</v>
      </c>
      <c r="G449" s="7">
        <v>6</v>
      </c>
      <c r="H449" s="18">
        <v>2146.98</v>
      </c>
      <c r="I449" s="22">
        <v>0.15</v>
      </c>
      <c r="J449" s="18">
        <v>10949.6</v>
      </c>
      <c r="K449" s="18">
        <v>8209.91</v>
      </c>
      <c r="L449" s="18">
        <v>2739.69</v>
      </c>
      <c r="M449" s="7" t="s">
        <v>35</v>
      </c>
      <c r="N449" s="7" t="s">
        <v>43</v>
      </c>
      <c r="O449" s="7" t="s">
        <v>37</v>
      </c>
      <c r="P449" s="7" t="str">
        <f t="shared" si="18"/>
        <v>Jun</v>
      </c>
      <c r="Q449" s="7">
        <f t="shared" si="19"/>
        <v>2026</v>
      </c>
      <c r="R449" s="23">
        <f t="shared" si="20"/>
        <v>0.25020914005991085</v>
      </c>
    </row>
    <row r="450" spans="1:18">
      <c r="A450" s="7" t="s">
        <v>1315</v>
      </c>
      <c r="B450" s="8">
        <v>45991</v>
      </c>
      <c r="C450" s="7" t="s">
        <v>954</v>
      </c>
      <c r="D450" s="7" t="s">
        <v>40</v>
      </c>
      <c r="E450" s="7" t="s">
        <v>61</v>
      </c>
      <c r="F450" s="7" t="s">
        <v>89</v>
      </c>
      <c r="G450" s="7">
        <v>4</v>
      </c>
      <c r="H450" s="18">
        <v>2147.88</v>
      </c>
      <c r="I450" s="22">
        <v>0.2</v>
      </c>
      <c r="J450" s="18">
        <v>6873.22</v>
      </c>
      <c r="K450" s="18">
        <v>3875.82</v>
      </c>
      <c r="L450" s="18">
        <v>2997.4</v>
      </c>
      <c r="M450" s="7" t="s">
        <v>57</v>
      </c>
      <c r="N450" s="7" t="s">
        <v>36</v>
      </c>
      <c r="O450" s="7" t="s">
        <v>44</v>
      </c>
      <c r="P450" s="7" t="str">
        <f t="shared" ref="P450:P513" si="21">TEXT(B450,"mmm")</f>
        <v>Nov</v>
      </c>
      <c r="Q450" s="7">
        <f t="shared" ref="Q450:Q513" si="22">YEAR(B450)</f>
        <v>2025</v>
      </c>
      <c r="R450" s="23">
        <f t="shared" ref="R450:R513" si="23">IFERROR(L450/J450,0)</f>
        <v>0.43609836437652222</v>
      </c>
    </row>
    <row r="451" spans="1:18">
      <c r="A451" s="7" t="s">
        <v>612</v>
      </c>
      <c r="B451" s="8">
        <v>45942</v>
      </c>
      <c r="C451" s="7" t="s">
        <v>613</v>
      </c>
      <c r="D451" s="7" t="s">
        <v>52</v>
      </c>
      <c r="E451" s="7" t="s">
        <v>61</v>
      </c>
      <c r="F451" s="7" t="s">
        <v>89</v>
      </c>
      <c r="G451" s="7">
        <v>4</v>
      </c>
      <c r="H451" s="18">
        <v>2150.17</v>
      </c>
      <c r="I451" s="22">
        <v>0.05</v>
      </c>
      <c r="J451" s="18">
        <v>8170.65</v>
      </c>
      <c r="K451" s="18">
        <v>4787.24</v>
      </c>
      <c r="L451" s="18">
        <v>3383.41</v>
      </c>
      <c r="M451" s="7" t="s">
        <v>57</v>
      </c>
      <c r="N451" s="7" t="s">
        <v>43</v>
      </c>
      <c r="O451" s="7" t="s">
        <v>44</v>
      </c>
      <c r="P451" s="7" t="str">
        <f t="shared" si="21"/>
        <v>Oct</v>
      </c>
      <c r="Q451" s="7">
        <f t="shared" si="22"/>
        <v>2025</v>
      </c>
      <c r="R451" s="23">
        <f t="shared" si="23"/>
        <v>0.41409312600588694</v>
      </c>
    </row>
    <row r="452" spans="1:18">
      <c r="A452" s="7" t="s">
        <v>1630</v>
      </c>
      <c r="B452" s="8">
        <v>46111</v>
      </c>
      <c r="C452" s="7" t="s">
        <v>871</v>
      </c>
      <c r="D452" s="7" t="s">
        <v>74</v>
      </c>
      <c r="E452" s="7" t="s">
        <v>61</v>
      </c>
      <c r="F452" s="7" t="s">
        <v>84</v>
      </c>
      <c r="G452" s="7">
        <v>6</v>
      </c>
      <c r="H452" s="18">
        <v>2151.13</v>
      </c>
      <c r="I452" s="22">
        <v>0.15</v>
      </c>
      <c r="J452" s="18">
        <v>10970.76</v>
      </c>
      <c r="K452" s="18">
        <v>9218.3799999999992</v>
      </c>
      <c r="L452" s="18">
        <v>1752.38</v>
      </c>
      <c r="M452" s="7" t="s">
        <v>57</v>
      </c>
      <c r="N452" s="7" t="s">
        <v>43</v>
      </c>
      <c r="O452" s="7" t="s">
        <v>44</v>
      </c>
      <c r="P452" s="7" t="str">
        <f t="shared" si="21"/>
        <v>Mar</v>
      </c>
      <c r="Q452" s="7">
        <f t="shared" si="22"/>
        <v>2026</v>
      </c>
      <c r="R452" s="23">
        <f t="shared" si="23"/>
        <v>0.15973186907743858</v>
      </c>
    </row>
    <row r="453" spans="1:18">
      <c r="A453" s="7" t="s">
        <v>587</v>
      </c>
      <c r="B453" s="8">
        <v>46261</v>
      </c>
      <c r="C453" s="7" t="s">
        <v>588</v>
      </c>
      <c r="D453" s="7" t="s">
        <v>32</v>
      </c>
      <c r="E453" s="7" t="s">
        <v>33</v>
      </c>
      <c r="F453" s="7" t="s">
        <v>176</v>
      </c>
      <c r="G453" s="7">
        <v>4</v>
      </c>
      <c r="H453" s="18">
        <v>2152.04</v>
      </c>
      <c r="I453" s="22">
        <v>0</v>
      </c>
      <c r="J453" s="18">
        <v>8608.16</v>
      </c>
      <c r="K453" s="18">
        <v>4846.97</v>
      </c>
      <c r="L453" s="18">
        <v>3761.19</v>
      </c>
      <c r="M453" s="7" t="s">
        <v>35</v>
      </c>
      <c r="N453" s="7" t="s">
        <v>43</v>
      </c>
      <c r="O453" s="7" t="s">
        <v>44</v>
      </c>
      <c r="P453" s="7" t="str">
        <f t="shared" si="21"/>
        <v>Aug</v>
      </c>
      <c r="Q453" s="7">
        <f t="shared" si="22"/>
        <v>2026</v>
      </c>
      <c r="R453" s="23">
        <f t="shared" si="23"/>
        <v>0.43693309603910707</v>
      </c>
    </row>
    <row r="454" spans="1:18">
      <c r="A454" s="7" t="s">
        <v>1180</v>
      </c>
      <c r="B454" s="8">
        <v>45700</v>
      </c>
      <c r="C454" s="7" t="s">
        <v>665</v>
      </c>
      <c r="D454" s="7" t="s">
        <v>52</v>
      </c>
      <c r="E454" s="7" t="s">
        <v>61</v>
      </c>
      <c r="F454" s="7" t="s">
        <v>81</v>
      </c>
      <c r="G454" s="7">
        <v>1</v>
      </c>
      <c r="H454" s="18">
        <v>2152.13</v>
      </c>
      <c r="I454" s="22">
        <v>0.1</v>
      </c>
      <c r="J454" s="18">
        <v>1936.92</v>
      </c>
      <c r="K454" s="18">
        <v>1632.31</v>
      </c>
      <c r="L454" s="18">
        <v>304.61</v>
      </c>
      <c r="M454" s="7" t="s">
        <v>57</v>
      </c>
      <c r="N454" s="7" t="s">
        <v>36</v>
      </c>
      <c r="O454" s="7" t="s">
        <v>44</v>
      </c>
      <c r="P454" s="7" t="str">
        <f t="shared" si="21"/>
        <v>Feb</v>
      </c>
      <c r="Q454" s="7">
        <f t="shared" si="22"/>
        <v>2025</v>
      </c>
      <c r="R454" s="23">
        <f t="shared" si="23"/>
        <v>0.15726514259752597</v>
      </c>
    </row>
    <row r="455" spans="1:18">
      <c r="A455" s="7" t="s">
        <v>551</v>
      </c>
      <c r="B455" s="8">
        <v>45843</v>
      </c>
      <c r="C455" s="7" t="s">
        <v>431</v>
      </c>
      <c r="D455" s="7" t="s">
        <v>66</v>
      </c>
      <c r="E455" s="7" t="s">
        <v>48</v>
      </c>
      <c r="F455" s="7" t="s">
        <v>113</v>
      </c>
      <c r="G455" s="7">
        <v>4</v>
      </c>
      <c r="H455" s="18">
        <v>2157.42</v>
      </c>
      <c r="I455" s="22">
        <v>0.1</v>
      </c>
      <c r="J455" s="18">
        <v>7766.71</v>
      </c>
      <c r="K455" s="18">
        <v>6053.68</v>
      </c>
      <c r="L455" s="18">
        <v>1713.03</v>
      </c>
      <c r="M455" s="7" t="s">
        <v>57</v>
      </c>
      <c r="N455" s="7" t="s">
        <v>36</v>
      </c>
      <c r="O455" s="7" t="s">
        <v>44</v>
      </c>
      <c r="P455" s="7" t="str">
        <f t="shared" si="21"/>
        <v>Jul</v>
      </c>
      <c r="Q455" s="7">
        <f t="shared" si="22"/>
        <v>2025</v>
      </c>
      <c r="R455" s="23">
        <f t="shared" si="23"/>
        <v>0.22056057197964132</v>
      </c>
    </row>
    <row r="456" spans="1:18">
      <c r="A456" s="7" t="s">
        <v>686</v>
      </c>
      <c r="B456" s="8">
        <v>46134</v>
      </c>
      <c r="C456" s="7" t="s">
        <v>521</v>
      </c>
      <c r="D456" s="7" t="s">
        <v>52</v>
      </c>
      <c r="E456" s="7" t="s">
        <v>48</v>
      </c>
      <c r="F456" s="7" t="s">
        <v>102</v>
      </c>
      <c r="G456" s="7">
        <v>1</v>
      </c>
      <c r="H456" s="18">
        <v>2160.4299999999998</v>
      </c>
      <c r="I456" s="22">
        <v>0.2</v>
      </c>
      <c r="J456" s="18">
        <v>1728.34</v>
      </c>
      <c r="K456" s="18">
        <v>951.59</v>
      </c>
      <c r="L456" s="18">
        <v>776.75</v>
      </c>
      <c r="M456" s="7" t="s">
        <v>35</v>
      </c>
      <c r="N456" s="7" t="s">
        <v>43</v>
      </c>
      <c r="O456" s="7" t="s">
        <v>44</v>
      </c>
      <c r="P456" s="7" t="str">
        <f t="shared" si="21"/>
        <v>Apr</v>
      </c>
      <c r="Q456" s="7">
        <f t="shared" si="22"/>
        <v>2026</v>
      </c>
      <c r="R456" s="23">
        <f t="shared" si="23"/>
        <v>0.44941967436962638</v>
      </c>
    </row>
    <row r="457" spans="1:18">
      <c r="A457" s="7" t="s">
        <v>866</v>
      </c>
      <c r="B457" s="8">
        <v>46007</v>
      </c>
      <c r="C457" s="7" t="s">
        <v>290</v>
      </c>
      <c r="D457" s="7" t="s">
        <v>32</v>
      </c>
      <c r="E457" s="7" t="s">
        <v>41</v>
      </c>
      <c r="F457" s="7" t="s">
        <v>119</v>
      </c>
      <c r="G457" s="7">
        <v>4</v>
      </c>
      <c r="H457" s="18">
        <v>2162.0300000000002</v>
      </c>
      <c r="I457" s="22">
        <v>0.05</v>
      </c>
      <c r="J457" s="18">
        <v>8215.7099999999991</v>
      </c>
      <c r="K457" s="18">
        <v>6895.92</v>
      </c>
      <c r="L457" s="18">
        <v>1319.79</v>
      </c>
      <c r="M457" s="7" t="s">
        <v>57</v>
      </c>
      <c r="N457" s="7" t="s">
        <v>36</v>
      </c>
      <c r="O457" s="7" t="s">
        <v>44</v>
      </c>
      <c r="P457" s="7" t="str">
        <f t="shared" si="21"/>
        <v>Dec</v>
      </c>
      <c r="Q457" s="7">
        <f t="shared" si="22"/>
        <v>2025</v>
      </c>
      <c r="R457" s="23">
        <f t="shared" si="23"/>
        <v>0.16064223299021024</v>
      </c>
    </row>
    <row r="458" spans="1:18">
      <c r="A458" s="7" t="s">
        <v>1124</v>
      </c>
      <c r="B458" s="8">
        <v>46066</v>
      </c>
      <c r="C458" s="7" t="s">
        <v>209</v>
      </c>
      <c r="D458" s="7" t="s">
        <v>66</v>
      </c>
      <c r="E458" s="7" t="s">
        <v>41</v>
      </c>
      <c r="F458" s="7" t="s">
        <v>42</v>
      </c>
      <c r="G458" s="7">
        <v>5</v>
      </c>
      <c r="H458" s="18">
        <v>2162.63</v>
      </c>
      <c r="I458" s="22">
        <v>0.15</v>
      </c>
      <c r="J458" s="18">
        <v>9191.18</v>
      </c>
      <c r="K458" s="18">
        <v>6705.68</v>
      </c>
      <c r="L458" s="18">
        <v>2485.5</v>
      </c>
      <c r="M458" s="7" t="s">
        <v>57</v>
      </c>
      <c r="N458" s="7" t="s">
        <v>63</v>
      </c>
      <c r="O458" s="7" t="s">
        <v>37</v>
      </c>
      <c r="P458" s="7" t="str">
        <f t="shared" si="21"/>
        <v>Feb</v>
      </c>
      <c r="Q458" s="7">
        <f t="shared" si="22"/>
        <v>2026</v>
      </c>
      <c r="R458" s="23">
        <f t="shared" si="23"/>
        <v>0.27042229615783825</v>
      </c>
    </row>
    <row r="459" spans="1:18">
      <c r="A459" s="7" t="s">
        <v>1119</v>
      </c>
      <c r="B459" s="8">
        <v>45849</v>
      </c>
      <c r="C459" s="7" t="s">
        <v>372</v>
      </c>
      <c r="D459" s="7" t="s">
        <v>134</v>
      </c>
      <c r="E459" s="7" t="s">
        <v>48</v>
      </c>
      <c r="F459" s="7" t="s">
        <v>102</v>
      </c>
      <c r="G459" s="7">
        <v>4</v>
      </c>
      <c r="H459" s="18">
        <v>2171.5700000000002</v>
      </c>
      <c r="I459" s="22">
        <v>0</v>
      </c>
      <c r="J459" s="18">
        <v>8686.2800000000007</v>
      </c>
      <c r="K459" s="18">
        <v>5622.35</v>
      </c>
      <c r="L459" s="18">
        <v>3063.93</v>
      </c>
      <c r="M459" s="7" t="s">
        <v>35</v>
      </c>
      <c r="N459" s="7" t="s">
        <v>43</v>
      </c>
      <c r="O459" s="7" t="s">
        <v>44</v>
      </c>
      <c r="P459" s="7" t="str">
        <f t="shared" si="21"/>
        <v>Jul</v>
      </c>
      <c r="Q459" s="7">
        <f t="shared" si="22"/>
        <v>2025</v>
      </c>
      <c r="R459" s="23">
        <f t="shared" si="23"/>
        <v>0.35273212468398435</v>
      </c>
    </row>
    <row r="460" spans="1:18">
      <c r="A460" s="7" t="s">
        <v>1082</v>
      </c>
      <c r="B460" s="8">
        <v>46108</v>
      </c>
      <c r="C460" s="7" t="s">
        <v>1083</v>
      </c>
      <c r="D460" s="7" t="s">
        <v>52</v>
      </c>
      <c r="E460" s="7" t="s">
        <v>61</v>
      </c>
      <c r="F460" s="7" t="s">
        <v>62</v>
      </c>
      <c r="G460" s="7">
        <v>6</v>
      </c>
      <c r="H460" s="18">
        <v>2185.92</v>
      </c>
      <c r="I460" s="22">
        <v>0.15</v>
      </c>
      <c r="J460" s="18">
        <v>11148.19</v>
      </c>
      <c r="K460" s="18">
        <v>8074.16</v>
      </c>
      <c r="L460" s="18">
        <v>3074.03</v>
      </c>
      <c r="M460" s="7" t="s">
        <v>35</v>
      </c>
      <c r="N460" s="7" t="s">
        <v>71</v>
      </c>
      <c r="O460" s="7" t="s">
        <v>44</v>
      </c>
      <c r="P460" s="7" t="str">
        <f t="shared" si="21"/>
        <v>Mar</v>
      </c>
      <c r="Q460" s="7">
        <f t="shared" si="22"/>
        <v>2026</v>
      </c>
      <c r="R460" s="23">
        <f t="shared" si="23"/>
        <v>0.27574251963771695</v>
      </c>
    </row>
    <row r="461" spans="1:18">
      <c r="A461" s="7" t="s">
        <v>1353</v>
      </c>
      <c r="B461" s="8">
        <v>45753</v>
      </c>
      <c r="C461" s="7" t="s">
        <v>1354</v>
      </c>
      <c r="D461" s="7" t="s">
        <v>66</v>
      </c>
      <c r="E461" s="7" t="s">
        <v>61</v>
      </c>
      <c r="F461" s="7" t="s">
        <v>129</v>
      </c>
      <c r="G461" s="7">
        <v>2</v>
      </c>
      <c r="H461" s="18">
        <v>2186.6</v>
      </c>
      <c r="I461" s="22">
        <v>0</v>
      </c>
      <c r="J461" s="18">
        <v>4373.2</v>
      </c>
      <c r="K461" s="18">
        <v>3175.06</v>
      </c>
      <c r="L461" s="18">
        <v>1198.1400000000001</v>
      </c>
      <c r="M461" s="7" t="s">
        <v>57</v>
      </c>
      <c r="N461" s="7" t="s">
        <v>71</v>
      </c>
      <c r="O461" s="7" t="s">
        <v>44</v>
      </c>
      <c r="P461" s="7" t="str">
        <f t="shared" si="21"/>
        <v>Apr</v>
      </c>
      <c r="Q461" s="7">
        <f t="shared" si="22"/>
        <v>2025</v>
      </c>
      <c r="R461" s="23">
        <f t="shared" si="23"/>
        <v>0.27397329186865454</v>
      </c>
    </row>
    <row r="462" spans="1:18">
      <c r="A462" s="7" t="s">
        <v>669</v>
      </c>
      <c r="B462" s="8">
        <v>45726</v>
      </c>
      <c r="C462" s="7" t="s">
        <v>670</v>
      </c>
      <c r="D462" s="7" t="s">
        <v>56</v>
      </c>
      <c r="E462" s="7" t="s">
        <v>48</v>
      </c>
      <c r="F462" s="7" t="s">
        <v>49</v>
      </c>
      <c r="G462" s="7">
        <v>5</v>
      </c>
      <c r="H462" s="18">
        <v>2187.2399999999998</v>
      </c>
      <c r="I462" s="22">
        <v>0</v>
      </c>
      <c r="J462" s="18">
        <v>10936.2</v>
      </c>
      <c r="K462" s="18">
        <v>9089.61</v>
      </c>
      <c r="L462" s="18">
        <v>1846.59</v>
      </c>
      <c r="M462" s="7" t="s">
        <v>35</v>
      </c>
      <c r="N462" s="7" t="s">
        <v>71</v>
      </c>
      <c r="O462" s="7" t="s">
        <v>37</v>
      </c>
      <c r="P462" s="7" t="str">
        <f t="shared" si="21"/>
        <v>Mar</v>
      </c>
      <c r="Q462" s="7">
        <f t="shared" si="22"/>
        <v>2025</v>
      </c>
      <c r="R462" s="23">
        <f t="shared" si="23"/>
        <v>0.16885115488012287</v>
      </c>
    </row>
    <row r="463" spans="1:18">
      <c r="A463" s="7" t="s">
        <v>421</v>
      </c>
      <c r="B463" s="8">
        <v>45793</v>
      </c>
      <c r="C463" s="7" t="s">
        <v>422</v>
      </c>
      <c r="D463" s="7" t="s">
        <v>134</v>
      </c>
      <c r="E463" s="7" t="s">
        <v>41</v>
      </c>
      <c r="F463" s="7" t="s">
        <v>42</v>
      </c>
      <c r="G463" s="7">
        <v>3</v>
      </c>
      <c r="H463" s="18">
        <v>2192.77</v>
      </c>
      <c r="I463" s="22">
        <v>0.15</v>
      </c>
      <c r="J463" s="18">
        <v>5591.56</v>
      </c>
      <c r="K463" s="18">
        <v>3418.17</v>
      </c>
      <c r="L463" s="18">
        <v>2173.39</v>
      </c>
      <c r="M463" s="7" t="s">
        <v>35</v>
      </c>
      <c r="N463" s="7" t="s">
        <v>63</v>
      </c>
      <c r="O463" s="7" t="s">
        <v>37</v>
      </c>
      <c r="P463" s="7" t="str">
        <f t="shared" si="21"/>
        <v>May</v>
      </c>
      <c r="Q463" s="7">
        <f t="shared" si="22"/>
        <v>2025</v>
      </c>
      <c r="R463" s="23">
        <f t="shared" si="23"/>
        <v>0.3886911702637546</v>
      </c>
    </row>
    <row r="464" spans="1:18">
      <c r="A464" s="7" t="s">
        <v>1644</v>
      </c>
      <c r="B464" s="8">
        <v>45693</v>
      </c>
      <c r="C464" s="7" t="s">
        <v>1231</v>
      </c>
      <c r="D464" s="7" t="s">
        <v>52</v>
      </c>
      <c r="E464" s="7" t="s">
        <v>33</v>
      </c>
      <c r="F464" s="7" t="s">
        <v>96</v>
      </c>
      <c r="G464" s="7">
        <v>1</v>
      </c>
      <c r="H464" s="18">
        <v>2197.08</v>
      </c>
      <c r="I464" s="22">
        <v>0.1</v>
      </c>
      <c r="J464" s="18">
        <v>1977.37</v>
      </c>
      <c r="K464" s="18">
        <v>1453.04</v>
      </c>
      <c r="L464" s="18">
        <v>524.33000000000004</v>
      </c>
      <c r="M464" s="7" t="s">
        <v>57</v>
      </c>
      <c r="N464" s="7" t="s">
        <v>43</v>
      </c>
      <c r="O464" s="7" t="s">
        <v>44</v>
      </c>
      <c r="P464" s="7" t="str">
        <f t="shared" si="21"/>
        <v>Feb</v>
      </c>
      <c r="Q464" s="7">
        <f t="shared" si="22"/>
        <v>2025</v>
      </c>
      <c r="R464" s="23">
        <f t="shared" si="23"/>
        <v>0.26516534588873103</v>
      </c>
    </row>
    <row r="465" spans="1:18">
      <c r="A465" s="7" t="s">
        <v>1582</v>
      </c>
      <c r="B465" s="8">
        <v>46126</v>
      </c>
      <c r="C465" s="7" t="s">
        <v>486</v>
      </c>
      <c r="D465" s="7" t="s">
        <v>95</v>
      </c>
      <c r="E465" s="7" t="s">
        <v>33</v>
      </c>
      <c r="F465" s="7" t="s">
        <v>92</v>
      </c>
      <c r="G465" s="7">
        <v>3</v>
      </c>
      <c r="H465" s="18">
        <v>2198.6799999999998</v>
      </c>
      <c r="I465" s="22">
        <v>0.15</v>
      </c>
      <c r="J465" s="18">
        <v>5606.63</v>
      </c>
      <c r="K465" s="18">
        <v>3679.16</v>
      </c>
      <c r="L465" s="18">
        <v>1927.47</v>
      </c>
      <c r="M465" s="7" t="s">
        <v>35</v>
      </c>
      <c r="N465" s="7" t="s">
        <v>36</v>
      </c>
      <c r="O465" s="7" t="s">
        <v>44</v>
      </c>
      <c r="P465" s="7" t="str">
        <f t="shared" si="21"/>
        <v>Apr</v>
      </c>
      <c r="Q465" s="7">
        <f t="shared" si="22"/>
        <v>2026</v>
      </c>
      <c r="R465" s="23">
        <f t="shared" si="23"/>
        <v>0.34378405566267078</v>
      </c>
    </row>
    <row r="466" spans="1:18">
      <c r="A466" s="7" t="s">
        <v>1361</v>
      </c>
      <c r="B466" s="8">
        <v>46045</v>
      </c>
      <c r="C466" s="7" t="s">
        <v>743</v>
      </c>
      <c r="D466" s="7" t="s">
        <v>47</v>
      </c>
      <c r="E466" s="7" t="s">
        <v>61</v>
      </c>
      <c r="F466" s="7" t="s">
        <v>89</v>
      </c>
      <c r="G466" s="7">
        <v>6</v>
      </c>
      <c r="H466" s="18">
        <v>2206.69</v>
      </c>
      <c r="I466" s="22">
        <v>0</v>
      </c>
      <c r="J466" s="18">
        <v>13240.14</v>
      </c>
      <c r="K466" s="18">
        <v>7962.72</v>
      </c>
      <c r="L466" s="18">
        <v>5277.42</v>
      </c>
      <c r="M466" s="7" t="s">
        <v>57</v>
      </c>
      <c r="N466" s="7" t="s">
        <v>43</v>
      </c>
      <c r="O466" s="7" t="s">
        <v>44</v>
      </c>
      <c r="P466" s="7" t="str">
        <f t="shared" si="21"/>
        <v>Jan</v>
      </c>
      <c r="Q466" s="7">
        <f t="shared" si="22"/>
        <v>2026</v>
      </c>
      <c r="R466" s="23">
        <f t="shared" si="23"/>
        <v>0.39859246201324156</v>
      </c>
    </row>
    <row r="467" spans="1:18">
      <c r="A467" s="7" t="s">
        <v>1511</v>
      </c>
      <c r="B467" s="8">
        <v>45675</v>
      </c>
      <c r="C467" s="7" t="s">
        <v>159</v>
      </c>
      <c r="D467" s="7" t="s">
        <v>60</v>
      </c>
      <c r="E467" s="7" t="s">
        <v>41</v>
      </c>
      <c r="F467" s="7" t="s">
        <v>42</v>
      </c>
      <c r="G467" s="7">
        <v>3</v>
      </c>
      <c r="H467" s="18">
        <v>2207.9</v>
      </c>
      <c r="I467" s="22">
        <v>0.15</v>
      </c>
      <c r="J467" s="18">
        <v>5630.15</v>
      </c>
      <c r="K467" s="18">
        <v>4453.24</v>
      </c>
      <c r="L467" s="18">
        <v>1176.9100000000001</v>
      </c>
      <c r="M467" s="7" t="s">
        <v>57</v>
      </c>
      <c r="N467" s="7" t="s">
        <v>36</v>
      </c>
      <c r="O467" s="7" t="s">
        <v>44</v>
      </c>
      <c r="P467" s="7" t="str">
        <f t="shared" si="21"/>
        <v>Jan</v>
      </c>
      <c r="Q467" s="7">
        <f t="shared" si="22"/>
        <v>2025</v>
      </c>
      <c r="R467" s="23">
        <f t="shared" si="23"/>
        <v>0.20903705940339071</v>
      </c>
    </row>
    <row r="468" spans="1:18">
      <c r="A468" s="7" t="s">
        <v>662</v>
      </c>
      <c r="B468" s="8">
        <v>45824</v>
      </c>
      <c r="C468" s="7" t="s">
        <v>663</v>
      </c>
      <c r="D468" s="7" t="s">
        <v>52</v>
      </c>
      <c r="E468" s="7" t="s">
        <v>41</v>
      </c>
      <c r="F468" s="7" t="s">
        <v>124</v>
      </c>
      <c r="G468" s="7">
        <v>1</v>
      </c>
      <c r="H468" s="18">
        <v>2210.08</v>
      </c>
      <c r="I468" s="22">
        <v>0</v>
      </c>
      <c r="J468" s="18">
        <v>2210.08</v>
      </c>
      <c r="K468" s="18">
        <v>1697.96</v>
      </c>
      <c r="L468" s="18">
        <v>512.12</v>
      </c>
      <c r="M468" s="7" t="s">
        <v>57</v>
      </c>
      <c r="N468" s="7" t="s">
        <v>43</v>
      </c>
      <c r="O468" s="7" t="s">
        <v>44</v>
      </c>
      <c r="P468" s="7" t="str">
        <f t="shared" si="21"/>
        <v>Jun</v>
      </c>
      <c r="Q468" s="7">
        <f t="shared" si="22"/>
        <v>2025</v>
      </c>
      <c r="R468" s="23">
        <f t="shared" si="23"/>
        <v>0.2317201187287338</v>
      </c>
    </row>
    <row r="469" spans="1:18">
      <c r="A469" s="7" t="s">
        <v>715</v>
      </c>
      <c r="B469" s="8">
        <v>45999</v>
      </c>
      <c r="C469" s="7" t="s">
        <v>716</v>
      </c>
      <c r="D469" s="7" t="s">
        <v>40</v>
      </c>
      <c r="E469" s="7" t="s">
        <v>48</v>
      </c>
      <c r="F469" s="7" t="s">
        <v>102</v>
      </c>
      <c r="G469" s="7">
        <v>4</v>
      </c>
      <c r="H469" s="18">
        <v>2217.4299999999998</v>
      </c>
      <c r="I469" s="22">
        <v>0</v>
      </c>
      <c r="J469" s="18">
        <v>8869.7199999999993</v>
      </c>
      <c r="K469" s="18">
        <v>5603.06</v>
      </c>
      <c r="L469" s="18">
        <v>3266.66</v>
      </c>
      <c r="M469" s="7" t="s">
        <v>57</v>
      </c>
      <c r="N469" s="7" t="s">
        <v>43</v>
      </c>
      <c r="O469" s="7" t="s">
        <v>44</v>
      </c>
      <c r="P469" s="7" t="str">
        <f t="shared" si="21"/>
        <v>Dec</v>
      </c>
      <c r="Q469" s="7">
        <f t="shared" si="22"/>
        <v>2025</v>
      </c>
      <c r="R469" s="23">
        <f t="shared" si="23"/>
        <v>0.36829347487857567</v>
      </c>
    </row>
    <row r="470" spans="1:18">
      <c r="A470" s="7" t="s">
        <v>658</v>
      </c>
      <c r="B470" s="8">
        <v>45738</v>
      </c>
      <c r="C470" s="7" t="s">
        <v>659</v>
      </c>
      <c r="D470" s="7" t="s">
        <v>32</v>
      </c>
      <c r="E470" s="7" t="s">
        <v>33</v>
      </c>
      <c r="F470" s="7" t="s">
        <v>176</v>
      </c>
      <c r="G470" s="7">
        <v>1</v>
      </c>
      <c r="H470" s="18">
        <v>2219.08</v>
      </c>
      <c r="I470" s="22">
        <v>0.15</v>
      </c>
      <c r="J470" s="18">
        <v>1886.22</v>
      </c>
      <c r="K470" s="18">
        <v>1215.06</v>
      </c>
      <c r="L470" s="18">
        <v>671.16</v>
      </c>
      <c r="M470" s="7" t="s">
        <v>35</v>
      </c>
      <c r="N470" s="7" t="s">
        <v>63</v>
      </c>
      <c r="O470" s="7" t="s">
        <v>44</v>
      </c>
      <c r="P470" s="7" t="str">
        <f t="shared" si="21"/>
        <v>Mar</v>
      </c>
      <c r="Q470" s="7">
        <f t="shared" si="22"/>
        <v>2025</v>
      </c>
      <c r="R470" s="23">
        <f t="shared" si="23"/>
        <v>0.3558227566243598</v>
      </c>
    </row>
    <row r="471" spans="1:18">
      <c r="A471" s="7" t="s">
        <v>1317</v>
      </c>
      <c r="B471" s="8">
        <v>46232</v>
      </c>
      <c r="C471" s="7" t="s">
        <v>644</v>
      </c>
      <c r="D471" s="7" t="s">
        <v>40</v>
      </c>
      <c r="E471" s="7" t="s">
        <v>41</v>
      </c>
      <c r="F471" s="7" t="s">
        <v>124</v>
      </c>
      <c r="G471" s="7">
        <v>4</v>
      </c>
      <c r="H471" s="18">
        <v>2220.58</v>
      </c>
      <c r="I471" s="22">
        <v>0.15</v>
      </c>
      <c r="J471" s="18">
        <v>7549.97</v>
      </c>
      <c r="K471" s="18">
        <v>6193.92</v>
      </c>
      <c r="L471" s="18">
        <v>1356.05</v>
      </c>
      <c r="M471" s="7" t="s">
        <v>35</v>
      </c>
      <c r="N471" s="7" t="s">
        <v>43</v>
      </c>
      <c r="O471" s="7" t="s">
        <v>37</v>
      </c>
      <c r="P471" s="7" t="str">
        <f t="shared" si="21"/>
        <v>Jul</v>
      </c>
      <c r="Q471" s="7">
        <f t="shared" si="22"/>
        <v>2026</v>
      </c>
      <c r="R471" s="23">
        <f t="shared" si="23"/>
        <v>0.17960998520523921</v>
      </c>
    </row>
    <row r="472" spans="1:18">
      <c r="A472" s="7" t="s">
        <v>1061</v>
      </c>
      <c r="B472" s="8">
        <v>46176</v>
      </c>
      <c r="C472" s="7" t="s">
        <v>207</v>
      </c>
      <c r="D472" s="7" t="s">
        <v>134</v>
      </c>
      <c r="E472" s="7" t="s">
        <v>61</v>
      </c>
      <c r="F472" s="7" t="s">
        <v>62</v>
      </c>
      <c r="G472" s="7">
        <v>6</v>
      </c>
      <c r="H472" s="18">
        <v>2235.06</v>
      </c>
      <c r="I472" s="22">
        <v>0</v>
      </c>
      <c r="J472" s="18">
        <v>13410.36</v>
      </c>
      <c r="K472" s="18">
        <v>10850.24</v>
      </c>
      <c r="L472" s="18">
        <v>2560.12</v>
      </c>
      <c r="M472" s="7" t="s">
        <v>35</v>
      </c>
      <c r="N472" s="7" t="s">
        <v>71</v>
      </c>
      <c r="O472" s="7" t="s">
        <v>37</v>
      </c>
      <c r="P472" s="7" t="str">
        <f t="shared" si="21"/>
        <v>Jun</v>
      </c>
      <c r="Q472" s="7">
        <f t="shared" si="22"/>
        <v>2026</v>
      </c>
      <c r="R472" s="23">
        <f t="shared" si="23"/>
        <v>0.19090613525662248</v>
      </c>
    </row>
    <row r="473" spans="1:18">
      <c r="A473" s="7" t="s">
        <v>844</v>
      </c>
      <c r="B473" s="8">
        <v>46127</v>
      </c>
      <c r="C473" s="7" t="s">
        <v>611</v>
      </c>
      <c r="D473" s="7" t="s">
        <v>134</v>
      </c>
      <c r="E473" s="7" t="s">
        <v>61</v>
      </c>
      <c r="F473" s="7" t="s">
        <v>129</v>
      </c>
      <c r="G473" s="7">
        <v>4</v>
      </c>
      <c r="H473" s="18">
        <v>2239.38</v>
      </c>
      <c r="I473" s="22">
        <v>0.1</v>
      </c>
      <c r="J473" s="18">
        <v>8061.77</v>
      </c>
      <c r="K473" s="18">
        <v>6036.33</v>
      </c>
      <c r="L473" s="18">
        <v>2025.44</v>
      </c>
      <c r="M473" s="7" t="s">
        <v>57</v>
      </c>
      <c r="N473" s="7" t="s">
        <v>36</v>
      </c>
      <c r="O473" s="7" t="s">
        <v>44</v>
      </c>
      <c r="P473" s="7" t="str">
        <f t="shared" si="21"/>
        <v>Apr</v>
      </c>
      <c r="Q473" s="7">
        <f t="shared" si="22"/>
        <v>2026</v>
      </c>
      <c r="R473" s="23">
        <f t="shared" si="23"/>
        <v>0.25124011228303461</v>
      </c>
    </row>
    <row r="474" spans="1:18">
      <c r="A474" s="7" t="s">
        <v>1703</v>
      </c>
      <c r="B474" s="8">
        <v>45760</v>
      </c>
      <c r="C474" s="7" t="s">
        <v>161</v>
      </c>
      <c r="D474" s="7" t="s">
        <v>56</v>
      </c>
      <c r="E474" s="7" t="s">
        <v>41</v>
      </c>
      <c r="F474" s="7" t="s">
        <v>153</v>
      </c>
      <c r="G474" s="7">
        <v>4</v>
      </c>
      <c r="H474" s="18">
        <v>2241.15</v>
      </c>
      <c r="I474" s="22">
        <v>0</v>
      </c>
      <c r="J474" s="18">
        <v>8964.6</v>
      </c>
      <c r="K474" s="18">
        <v>6457.41</v>
      </c>
      <c r="L474" s="18">
        <v>2507.19</v>
      </c>
      <c r="M474" s="7" t="s">
        <v>57</v>
      </c>
      <c r="N474" s="7" t="s">
        <v>63</v>
      </c>
      <c r="O474" s="7" t="s">
        <v>37</v>
      </c>
      <c r="P474" s="7" t="str">
        <f t="shared" si="21"/>
        <v>Apr</v>
      </c>
      <c r="Q474" s="7">
        <f t="shared" si="22"/>
        <v>2025</v>
      </c>
      <c r="R474" s="23">
        <f t="shared" si="23"/>
        <v>0.27967672846529684</v>
      </c>
    </row>
    <row r="475" spans="1:18">
      <c r="A475" s="7" t="s">
        <v>652</v>
      </c>
      <c r="B475" s="8">
        <v>46079</v>
      </c>
      <c r="C475" s="7" t="s">
        <v>468</v>
      </c>
      <c r="D475" s="7" t="s">
        <v>74</v>
      </c>
      <c r="E475" s="7" t="s">
        <v>48</v>
      </c>
      <c r="F475" s="7" t="s">
        <v>102</v>
      </c>
      <c r="G475" s="7">
        <v>5</v>
      </c>
      <c r="H475" s="18">
        <v>2244.3000000000002</v>
      </c>
      <c r="I475" s="22">
        <v>0.05</v>
      </c>
      <c r="J475" s="18">
        <v>10660.42</v>
      </c>
      <c r="K475" s="18">
        <v>8926.41</v>
      </c>
      <c r="L475" s="18">
        <v>1734.01</v>
      </c>
      <c r="M475" s="7" t="s">
        <v>35</v>
      </c>
      <c r="N475" s="7" t="s">
        <v>43</v>
      </c>
      <c r="O475" s="7" t="s">
        <v>44</v>
      </c>
      <c r="P475" s="7" t="str">
        <f t="shared" si="21"/>
        <v>Feb</v>
      </c>
      <c r="Q475" s="7">
        <f t="shared" si="22"/>
        <v>2026</v>
      </c>
      <c r="R475" s="23">
        <f t="shared" si="23"/>
        <v>0.16265869449796536</v>
      </c>
    </row>
    <row r="476" spans="1:18">
      <c r="A476" s="7" t="s">
        <v>1287</v>
      </c>
      <c r="B476" s="8">
        <v>46175</v>
      </c>
      <c r="C476" s="7" t="s">
        <v>1184</v>
      </c>
      <c r="D476" s="7" t="s">
        <v>60</v>
      </c>
      <c r="E476" s="7" t="s">
        <v>61</v>
      </c>
      <c r="F476" s="7" t="s">
        <v>81</v>
      </c>
      <c r="G476" s="7">
        <v>4</v>
      </c>
      <c r="H476" s="18">
        <v>2254.2199999999998</v>
      </c>
      <c r="I476" s="22">
        <v>0</v>
      </c>
      <c r="J476" s="18">
        <v>9016.8799999999992</v>
      </c>
      <c r="K476" s="18">
        <v>7118.01</v>
      </c>
      <c r="L476" s="18">
        <v>1898.87</v>
      </c>
      <c r="M476" s="7" t="s">
        <v>57</v>
      </c>
      <c r="N476" s="7" t="s">
        <v>63</v>
      </c>
      <c r="O476" s="7" t="s">
        <v>44</v>
      </c>
      <c r="P476" s="7" t="str">
        <f t="shared" si="21"/>
        <v>Jun</v>
      </c>
      <c r="Q476" s="7">
        <f t="shared" si="22"/>
        <v>2026</v>
      </c>
      <c r="R476" s="23">
        <f t="shared" si="23"/>
        <v>0.21059058122099886</v>
      </c>
    </row>
    <row r="477" spans="1:18">
      <c r="A477" s="7" t="s">
        <v>1520</v>
      </c>
      <c r="B477" s="8">
        <v>45918</v>
      </c>
      <c r="C477" s="7" t="s">
        <v>1521</v>
      </c>
      <c r="D477" s="7" t="s">
        <v>95</v>
      </c>
      <c r="E477" s="7" t="s">
        <v>33</v>
      </c>
      <c r="F477" s="7" t="s">
        <v>176</v>
      </c>
      <c r="G477" s="7">
        <v>4</v>
      </c>
      <c r="H477" s="18">
        <v>2263.48</v>
      </c>
      <c r="I477" s="22">
        <v>0.05</v>
      </c>
      <c r="J477" s="18">
        <v>8601.2199999999993</v>
      </c>
      <c r="K477" s="18">
        <v>7136.85</v>
      </c>
      <c r="L477" s="18">
        <v>1464.37</v>
      </c>
      <c r="M477" s="7" t="s">
        <v>57</v>
      </c>
      <c r="N477" s="7" t="s">
        <v>71</v>
      </c>
      <c r="O477" s="7" t="s">
        <v>44</v>
      </c>
      <c r="P477" s="7" t="str">
        <f t="shared" si="21"/>
        <v>Sep</v>
      </c>
      <c r="Q477" s="7">
        <f t="shared" si="22"/>
        <v>2025</v>
      </c>
      <c r="R477" s="23">
        <f t="shared" si="23"/>
        <v>0.17025142944838059</v>
      </c>
    </row>
    <row r="478" spans="1:18">
      <c r="A478" s="7" t="s">
        <v>1541</v>
      </c>
      <c r="B478" s="8">
        <v>45817</v>
      </c>
      <c r="C478" s="7" t="s">
        <v>1542</v>
      </c>
      <c r="D478" s="7" t="s">
        <v>52</v>
      </c>
      <c r="E478" s="7" t="s">
        <v>41</v>
      </c>
      <c r="F478" s="7" t="s">
        <v>42</v>
      </c>
      <c r="G478" s="7">
        <v>4</v>
      </c>
      <c r="H478" s="18">
        <v>2265.1</v>
      </c>
      <c r="I478" s="22">
        <v>0.05</v>
      </c>
      <c r="J478" s="18">
        <v>8607.3799999999992</v>
      </c>
      <c r="K478" s="18">
        <v>5106.16</v>
      </c>
      <c r="L478" s="18">
        <v>3501.22</v>
      </c>
      <c r="M478" s="7" t="s">
        <v>35</v>
      </c>
      <c r="N478" s="7" t="s">
        <v>43</v>
      </c>
      <c r="O478" s="7" t="s">
        <v>44</v>
      </c>
      <c r="P478" s="7" t="str">
        <f t="shared" si="21"/>
        <v>Jun</v>
      </c>
      <c r="Q478" s="7">
        <f t="shared" si="22"/>
        <v>2025</v>
      </c>
      <c r="R478" s="23">
        <f t="shared" si="23"/>
        <v>0.40676953962762191</v>
      </c>
    </row>
    <row r="479" spans="1:18">
      <c r="A479" s="7" t="s">
        <v>907</v>
      </c>
      <c r="B479" s="8">
        <v>45715</v>
      </c>
      <c r="C479" s="7" t="s">
        <v>78</v>
      </c>
      <c r="D479" s="7" t="s">
        <v>95</v>
      </c>
      <c r="E479" s="7" t="s">
        <v>41</v>
      </c>
      <c r="F479" s="7" t="s">
        <v>153</v>
      </c>
      <c r="G479" s="7">
        <v>4</v>
      </c>
      <c r="H479" s="18">
        <v>2266.6999999999998</v>
      </c>
      <c r="I479" s="22">
        <v>0.2</v>
      </c>
      <c r="J479" s="18">
        <v>7253.44</v>
      </c>
      <c r="K479" s="18">
        <v>6126.86</v>
      </c>
      <c r="L479" s="18">
        <v>1126.58</v>
      </c>
      <c r="M479" s="7" t="s">
        <v>35</v>
      </c>
      <c r="N479" s="7" t="s">
        <v>71</v>
      </c>
      <c r="O479" s="7" t="s">
        <v>44</v>
      </c>
      <c r="P479" s="7" t="str">
        <f t="shared" si="21"/>
        <v>Feb</v>
      </c>
      <c r="Q479" s="7">
        <f t="shared" si="22"/>
        <v>2025</v>
      </c>
      <c r="R479" s="23">
        <f t="shared" si="23"/>
        <v>0.15531664975515067</v>
      </c>
    </row>
    <row r="480" spans="1:18">
      <c r="A480" s="7" t="s">
        <v>1065</v>
      </c>
      <c r="B480" s="8">
        <v>46120</v>
      </c>
      <c r="C480" s="7" t="s">
        <v>1066</v>
      </c>
      <c r="D480" s="7" t="s">
        <v>32</v>
      </c>
      <c r="E480" s="7" t="s">
        <v>48</v>
      </c>
      <c r="F480" s="7" t="s">
        <v>102</v>
      </c>
      <c r="G480" s="7">
        <v>2</v>
      </c>
      <c r="H480" s="18">
        <v>2273.44</v>
      </c>
      <c r="I480" s="22">
        <v>0.05</v>
      </c>
      <c r="J480" s="18">
        <v>4319.54</v>
      </c>
      <c r="K480" s="18">
        <v>2798.67</v>
      </c>
      <c r="L480" s="18">
        <v>1520.87</v>
      </c>
      <c r="M480" s="7" t="s">
        <v>35</v>
      </c>
      <c r="N480" s="7" t="s">
        <v>63</v>
      </c>
      <c r="O480" s="7" t="s">
        <v>44</v>
      </c>
      <c r="P480" s="7" t="str">
        <f t="shared" si="21"/>
        <v>Apr</v>
      </c>
      <c r="Q480" s="7">
        <f t="shared" si="22"/>
        <v>2026</v>
      </c>
      <c r="R480" s="23">
        <f t="shared" si="23"/>
        <v>0.35209073188348755</v>
      </c>
    </row>
    <row r="481" spans="1:18">
      <c r="A481" s="7" t="s">
        <v>1300</v>
      </c>
      <c r="B481" s="8">
        <v>45807</v>
      </c>
      <c r="C481" s="7" t="s">
        <v>1301</v>
      </c>
      <c r="D481" s="7" t="s">
        <v>40</v>
      </c>
      <c r="E481" s="7" t="s">
        <v>41</v>
      </c>
      <c r="F481" s="7" t="s">
        <v>53</v>
      </c>
      <c r="G481" s="7">
        <v>6</v>
      </c>
      <c r="H481" s="18">
        <v>2282.77</v>
      </c>
      <c r="I481" s="22">
        <v>0</v>
      </c>
      <c r="J481" s="18">
        <v>13696.62</v>
      </c>
      <c r="K481" s="18">
        <v>8415.69</v>
      </c>
      <c r="L481" s="18">
        <v>5280.93</v>
      </c>
      <c r="M481" s="7" t="s">
        <v>35</v>
      </c>
      <c r="N481" s="7" t="s">
        <v>63</v>
      </c>
      <c r="O481" s="7" t="s">
        <v>37</v>
      </c>
      <c r="P481" s="7" t="str">
        <f t="shared" si="21"/>
        <v>May</v>
      </c>
      <c r="Q481" s="7">
        <f t="shared" si="22"/>
        <v>2025</v>
      </c>
      <c r="R481" s="23">
        <f t="shared" si="23"/>
        <v>0.3855644677299947</v>
      </c>
    </row>
    <row r="482" spans="1:18">
      <c r="A482" s="7" t="s">
        <v>1634</v>
      </c>
      <c r="B482" s="8">
        <v>46033</v>
      </c>
      <c r="C482" s="7" t="s">
        <v>369</v>
      </c>
      <c r="D482" s="7" t="s">
        <v>134</v>
      </c>
      <c r="E482" s="7" t="s">
        <v>61</v>
      </c>
      <c r="F482" s="7" t="s">
        <v>89</v>
      </c>
      <c r="G482" s="7">
        <v>2</v>
      </c>
      <c r="H482" s="18">
        <v>2287.2800000000002</v>
      </c>
      <c r="I482" s="22">
        <v>0.2</v>
      </c>
      <c r="J482" s="18">
        <v>3659.65</v>
      </c>
      <c r="K482" s="18">
        <v>2028.58</v>
      </c>
      <c r="L482" s="18">
        <v>1631.07</v>
      </c>
      <c r="M482" s="7" t="s">
        <v>57</v>
      </c>
      <c r="N482" s="7" t="s">
        <v>71</v>
      </c>
      <c r="O482" s="7" t="s">
        <v>44</v>
      </c>
      <c r="P482" s="7" t="str">
        <f t="shared" si="21"/>
        <v>Jan</v>
      </c>
      <c r="Q482" s="7">
        <f t="shared" si="22"/>
        <v>2026</v>
      </c>
      <c r="R482" s="23">
        <f t="shared" si="23"/>
        <v>0.44569016162747799</v>
      </c>
    </row>
    <row r="483" spans="1:18">
      <c r="A483" s="7" t="s">
        <v>508</v>
      </c>
      <c r="B483" s="8">
        <v>46045</v>
      </c>
      <c r="C483" s="7" t="s">
        <v>509</v>
      </c>
      <c r="D483" s="7" t="s">
        <v>47</v>
      </c>
      <c r="E483" s="7" t="s">
        <v>61</v>
      </c>
      <c r="F483" s="7" t="s">
        <v>81</v>
      </c>
      <c r="G483" s="7">
        <v>2</v>
      </c>
      <c r="H483" s="18">
        <v>2288.08</v>
      </c>
      <c r="I483" s="22">
        <v>0.2</v>
      </c>
      <c r="J483" s="18">
        <v>3660.93</v>
      </c>
      <c r="K483" s="18">
        <v>2339.56</v>
      </c>
      <c r="L483" s="18">
        <v>1321.37</v>
      </c>
      <c r="M483" s="7" t="s">
        <v>35</v>
      </c>
      <c r="N483" s="7" t="s">
        <v>63</v>
      </c>
      <c r="O483" s="7" t="s">
        <v>37</v>
      </c>
      <c r="P483" s="7" t="str">
        <f t="shared" si="21"/>
        <v>Jan</v>
      </c>
      <c r="Q483" s="7">
        <f t="shared" si="22"/>
        <v>2026</v>
      </c>
      <c r="R483" s="23">
        <f t="shared" si="23"/>
        <v>0.36093834080411258</v>
      </c>
    </row>
    <row r="484" spans="1:18">
      <c r="A484" s="7" t="s">
        <v>1460</v>
      </c>
      <c r="B484" s="8">
        <v>45990</v>
      </c>
      <c r="C484" s="7" t="s">
        <v>1461</v>
      </c>
      <c r="D484" s="7" t="s">
        <v>52</v>
      </c>
      <c r="E484" s="7" t="s">
        <v>61</v>
      </c>
      <c r="F484" s="7" t="s">
        <v>84</v>
      </c>
      <c r="G484" s="7">
        <v>4</v>
      </c>
      <c r="H484" s="18">
        <v>2289.52</v>
      </c>
      <c r="I484" s="22">
        <v>0.15</v>
      </c>
      <c r="J484" s="18">
        <v>7784.37</v>
      </c>
      <c r="K484" s="18">
        <v>4798.28</v>
      </c>
      <c r="L484" s="18">
        <v>2986.09</v>
      </c>
      <c r="M484" s="7" t="s">
        <v>57</v>
      </c>
      <c r="N484" s="7" t="s">
        <v>63</v>
      </c>
      <c r="O484" s="7" t="s">
        <v>37</v>
      </c>
      <c r="P484" s="7" t="str">
        <f t="shared" si="21"/>
        <v>Nov</v>
      </c>
      <c r="Q484" s="7">
        <f t="shared" si="22"/>
        <v>2025</v>
      </c>
      <c r="R484" s="23">
        <f t="shared" si="23"/>
        <v>0.3836007281257186</v>
      </c>
    </row>
    <row r="485" spans="1:18">
      <c r="A485" s="7" t="s">
        <v>1648</v>
      </c>
      <c r="B485" s="8">
        <v>45830</v>
      </c>
      <c r="C485" s="7" t="s">
        <v>1499</v>
      </c>
      <c r="D485" s="7" t="s">
        <v>74</v>
      </c>
      <c r="E485" s="7" t="s">
        <v>33</v>
      </c>
      <c r="F485" s="7" t="s">
        <v>34</v>
      </c>
      <c r="G485" s="7">
        <v>6</v>
      </c>
      <c r="H485" s="18">
        <v>2289.5700000000002</v>
      </c>
      <c r="I485" s="22">
        <v>0</v>
      </c>
      <c r="J485" s="18">
        <v>13737.42</v>
      </c>
      <c r="K485" s="18">
        <v>10534.27</v>
      </c>
      <c r="L485" s="18">
        <v>3203.15</v>
      </c>
      <c r="M485" s="7" t="s">
        <v>35</v>
      </c>
      <c r="N485" s="7" t="s">
        <v>36</v>
      </c>
      <c r="O485" s="7" t="s">
        <v>44</v>
      </c>
      <c r="P485" s="7" t="str">
        <f t="shared" si="21"/>
        <v>Jun</v>
      </c>
      <c r="Q485" s="7">
        <f t="shared" si="22"/>
        <v>2025</v>
      </c>
      <c r="R485" s="23">
        <f t="shared" si="23"/>
        <v>0.23316969270794663</v>
      </c>
    </row>
    <row r="486" spans="1:18">
      <c r="A486" s="7" t="s">
        <v>130</v>
      </c>
      <c r="B486" s="8">
        <v>45977</v>
      </c>
      <c r="C486" s="7" t="s">
        <v>131</v>
      </c>
      <c r="D486" s="7" t="s">
        <v>40</v>
      </c>
      <c r="E486" s="7" t="s">
        <v>48</v>
      </c>
      <c r="F486" s="7" t="s">
        <v>102</v>
      </c>
      <c r="G486" s="7">
        <v>1</v>
      </c>
      <c r="H486" s="18">
        <v>2293.54</v>
      </c>
      <c r="I486" s="22">
        <v>0.05</v>
      </c>
      <c r="J486" s="18">
        <v>2178.86</v>
      </c>
      <c r="K486" s="18">
        <v>1746.43</v>
      </c>
      <c r="L486" s="18">
        <v>432.43</v>
      </c>
      <c r="M486" s="7" t="s">
        <v>57</v>
      </c>
      <c r="N486" s="7" t="s">
        <v>43</v>
      </c>
      <c r="O486" s="7" t="s">
        <v>44</v>
      </c>
      <c r="P486" s="7" t="str">
        <f t="shared" si="21"/>
        <v>Nov</v>
      </c>
      <c r="Q486" s="7">
        <f t="shared" si="22"/>
        <v>2025</v>
      </c>
      <c r="R486" s="23">
        <f t="shared" si="23"/>
        <v>0.19846617038267717</v>
      </c>
    </row>
    <row r="487" spans="1:18">
      <c r="A487" s="7" t="s">
        <v>1322</v>
      </c>
      <c r="B487" s="8">
        <v>46152</v>
      </c>
      <c r="C487" s="7" t="s">
        <v>604</v>
      </c>
      <c r="D487" s="7" t="s">
        <v>74</v>
      </c>
      <c r="E487" s="7" t="s">
        <v>33</v>
      </c>
      <c r="F487" s="7" t="s">
        <v>34</v>
      </c>
      <c r="G487" s="7">
        <v>1</v>
      </c>
      <c r="H487" s="18">
        <v>2294.38</v>
      </c>
      <c r="I487" s="22">
        <v>0</v>
      </c>
      <c r="J487" s="18">
        <v>2294.38</v>
      </c>
      <c r="K487" s="18">
        <v>1680.64</v>
      </c>
      <c r="L487" s="18">
        <v>613.74</v>
      </c>
      <c r="M487" s="7" t="s">
        <v>57</v>
      </c>
      <c r="N487" s="7" t="s">
        <v>63</v>
      </c>
      <c r="O487" s="7" t="s">
        <v>37</v>
      </c>
      <c r="P487" s="7" t="str">
        <f t="shared" si="21"/>
        <v>May</v>
      </c>
      <c r="Q487" s="7">
        <f t="shared" si="22"/>
        <v>2026</v>
      </c>
      <c r="R487" s="23">
        <f t="shared" si="23"/>
        <v>0.26749710161350776</v>
      </c>
    </row>
    <row r="488" spans="1:18">
      <c r="A488" s="7" t="s">
        <v>1339</v>
      </c>
      <c r="B488" s="8">
        <v>45906</v>
      </c>
      <c r="C488" s="7" t="s">
        <v>83</v>
      </c>
      <c r="D488" s="7" t="s">
        <v>95</v>
      </c>
      <c r="E488" s="7" t="s">
        <v>48</v>
      </c>
      <c r="F488" s="7" t="s">
        <v>70</v>
      </c>
      <c r="G488" s="7">
        <v>3</v>
      </c>
      <c r="H488" s="18">
        <v>2302.46</v>
      </c>
      <c r="I488" s="22">
        <v>0</v>
      </c>
      <c r="J488" s="18">
        <v>6907.38</v>
      </c>
      <c r="K488" s="18">
        <v>5148.1099999999997</v>
      </c>
      <c r="L488" s="18">
        <v>1759.27</v>
      </c>
      <c r="M488" s="7" t="s">
        <v>35</v>
      </c>
      <c r="N488" s="7" t="s">
        <v>71</v>
      </c>
      <c r="O488" s="7" t="s">
        <v>44</v>
      </c>
      <c r="P488" s="7" t="str">
        <f t="shared" si="21"/>
        <v>Sep</v>
      </c>
      <c r="Q488" s="7">
        <f t="shared" si="22"/>
        <v>2025</v>
      </c>
      <c r="R488" s="23">
        <f t="shared" si="23"/>
        <v>0.25469425455092959</v>
      </c>
    </row>
    <row r="489" spans="1:18">
      <c r="A489" s="7" t="s">
        <v>1350</v>
      </c>
      <c r="B489" s="8">
        <v>46116</v>
      </c>
      <c r="C489" s="7" t="s">
        <v>378</v>
      </c>
      <c r="D489" s="7" t="s">
        <v>66</v>
      </c>
      <c r="E489" s="7" t="s">
        <v>33</v>
      </c>
      <c r="F489" s="7" t="s">
        <v>34</v>
      </c>
      <c r="G489" s="7">
        <v>6</v>
      </c>
      <c r="H489" s="18">
        <v>2304.69</v>
      </c>
      <c r="I489" s="22">
        <v>0.1</v>
      </c>
      <c r="J489" s="18">
        <v>12445.33</v>
      </c>
      <c r="K489" s="18">
        <v>9354.32</v>
      </c>
      <c r="L489" s="18">
        <v>3091.01</v>
      </c>
      <c r="M489" s="7" t="s">
        <v>57</v>
      </c>
      <c r="N489" s="7" t="s">
        <v>71</v>
      </c>
      <c r="O489" s="7" t="s">
        <v>44</v>
      </c>
      <c r="P489" s="7" t="str">
        <f t="shared" si="21"/>
        <v>Apr</v>
      </c>
      <c r="Q489" s="7">
        <f t="shared" si="22"/>
        <v>2026</v>
      </c>
      <c r="R489" s="23">
        <f t="shared" si="23"/>
        <v>0.24836705816559307</v>
      </c>
    </row>
    <row r="490" spans="1:18">
      <c r="A490" s="7" t="s">
        <v>580</v>
      </c>
      <c r="B490" s="8">
        <v>46044</v>
      </c>
      <c r="C490" s="7" t="s">
        <v>304</v>
      </c>
      <c r="D490" s="7" t="s">
        <v>95</v>
      </c>
      <c r="E490" s="7" t="s">
        <v>61</v>
      </c>
      <c r="F490" s="7" t="s">
        <v>84</v>
      </c>
      <c r="G490" s="7">
        <v>1</v>
      </c>
      <c r="H490" s="18">
        <v>2310.52</v>
      </c>
      <c r="I490" s="22">
        <v>0</v>
      </c>
      <c r="J490" s="18">
        <v>2310.52</v>
      </c>
      <c r="K490" s="18">
        <v>1794.42</v>
      </c>
      <c r="L490" s="18">
        <v>516.1</v>
      </c>
      <c r="M490" s="7" t="s">
        <v>35</v>
      </c>
      <c r="N490" s="7" t="s">
        <v>71</v>
      </c>
      <c r="O490" s="7" t="s">
        <v>44</v>
      </c>
      <c r="P490" s="7" t="str">
        <f t="shared" si="21"/>
        <v>Jan</v>
      </c>
      <c r="Q490" s="7">
        <f t="shared" si="22"/>
        <v>2026</v>
      </c>
      <c r="R490" s="23">
        <f t="shared" si="23"/>
        <v>0.22336963107871821</v>
      </c>
    </row>
    <row r="491" spans="1:18">
      <c r="A491" s="7" t="s">
        <v>272</v>
      </c>
      <c r="B491" s="8">
        <v>45854</v>
      </c>
      <c r="C491" s="7" t="s">
        <v>273</v>
      </c>
      <c r="D491" s="7" t="s">
        <v>52</v>
      </c>
      <c r="E491" s="7" t="s">
        <v>41</v>
      </c>
      <c r="F491" s="7" t="s">
        <v>153</v>
      </c>
      <c r="G491" s="7">
        <v>2</v>
      </c>
      <c r="H491" s="18">
        <v>2318.2600000000002</v>
      </c>
      <c r="I491" s="22">
        <v>0</v>
      </c>
      <c r="J491" s="18">
        <v>4636.5200000000004</v>
      </c>
      <c r="K491" s="18">
        <v>3566.5</v>
      </c>
      <c r="L491" s="18">
        <v>1070.02</v>
      </c>
      <c r="M491" s="7" t="s">
        <v>35</v>
      </c>
      <c r="N491" s="7" t="s">
        <v>43</v>
      </c>
      <c r="O491" s="7" t="s">
        <v>37</v>
      </c>
      <c r="P491" s="7" t="str">
        <f t="shared" si="21"/>
        <v>Jul</v>
      </c>
      <c r="Q491" s="7">
        <f t="shared" si="22"/>
        <v>2025</v>
      </c>
      <c r="R491" s="23">
        <f t="shared" si="23"/>
        <v>0.23078084425388004</v>
      </c>
    </row>
    <row r="492" spans="1:18">
      <c r="A492" s="7" t="s">
        <v>1265</v>
      </c>
      <c r="B492" s="8">
        <v>45919</v>
      </c>
      <c r="C492" s="7" t="s">
        <v>51</v>
      </c>
      <c r="D492" s="7" t="s">
        <v>66</v>
      </c>
      <c r="E492" s="7" t="s">
        <v>61</v>
      </c>
      <c r="F492" s="7" t="s">
        <v>129</v>
      </c>
      <c r="G492" s="7">
        <v>1</v>
      </c>
      <c r="H492" s="18">
        <v>2323.6999999999998</v>
      </c>
      <c r="I492" s="22">
        <v>0.1</v>
      </c>
      <c r="J492" s="18">
        <v>2091.33</v>
      </c>
      <c r="K492" s="18">
        <v>1403.75</v>
      </c>
      <c r="L492" s="18">
        <v>687.58</v>
      </c>
      <c r="M492" s="7" t="s">
        <v>35</v>
      </c>
      <c r="N492" s="7" t="s">
        <v>43</v>
      </c>
      <c r="O492" s="7" t="s">
        <v>37</v>
      </c>
      <c r="P492" s="7" t="str">
        <f t="shared" si="21"/>
        <v>Sep</v>
      </c>
      <c r="Q492" s="7">
        <f t="shared" si="22"/>
        <v>2025</v>
      </c>
      <c r="R492" s="23">
        <f t="shared" si="23"/>
        <v>0.32877642457192319</v>
      </c>
    </row>
    <row r="493" spans="1:18">
      <c r="A493" s="7" t="s">
        <v>736</v>
      </c>
      <c r="B493" s="8">
        <v>45906</v>
      </c>
      <c r="C493" s="7" t="s">
        <v>737</v>
      </c>
      <c r="D493" s="7" t="s">
        <v>66</v>
      </c>
      <c r="E493" s="7" t="s">
        <v>48</v>
      </c>
      <c r="F493" s="7" t="s">
        <v>99</v>
      </c>
      <c r="G493" s="7">
        <v>4</v>
      </c>
      <c r="H493" s="18">
        <v>2326.98</v>
      </c>
      <c r="I493" s="22">
        <v>0.15</v>
      </c>
      <c r="J493" s="18">
        <v>7911.73</v>
      </c>
      <c r="K493" s="18">
        <v>6640.06</v>
      </c>
      <c r="L493" s="18">
        <v>1271.67</v>
      </c>
      <c r="M493" s="7" t="s">
        <v>35</v>
      </c>
      <c r="N493" s="7" t="s">
        <v>36</v>
      </c>
      <c r="O493" s="7" t="s">
        <v>44</v>
      </c>
      <c r="P493" s="7" t="str">
        <f t="shared" si="21"/>
        <v>Sep</v>
      </c>
      <c r="Q493" s="7">
        <f t="shared" si="22"/>
        <v>2025</v>
      </c>
      <c r="R493" s="23">
        <f t="shared" si="23"/>
        <v>0.16073222923431413</v>
      </c>
    </row>
    <row r="494" spans="1:18">
      <c r="A494" s="7" t="s">
        <v>534</v>
      </c>
      <c r="B494" s="8">
        <v>45676</v>
      </c>
      <c r="C494" s="7" t="s">
        <v>55</v>
      </c>
      <c r="D494" s="7" t="s">
        <v>40</v>
      </c>
      <c r="E494" s="7" t="s">
        <v>33</v>
      </c>
      <c r="F494" s="7" t="s">
        <v>96</v>
      </c>
      <c r="G494" s="7">
        <v>2</v>
      </c>
      <c r="H494" s="18">
        <v>2329.7199999999998</v>
      </c>
      <c r="I494" s="22">
        <v>0</v>
      </c>
      <c r="J494" s="18">
        <v>4659.4399999999996</v>
      </c>
      <c r="K494" s="18">
        <v>2590.5</v>
      </c>
      <c r="L494" s="18">
        <v>2068.94</v>
      </c>
      <c r="M494" s="7" t="s">
        <v>35</v>
      </c>
      <c r="N494" s="7" t="s">
        <v>71</v>
      </c>
      <c r="O494" s="7" t="s">
        <v>37</v>
      </c>
      <c r="P494" s="7" t="str">
        <f t="shared" si="21"/>
        <v>Jan</v>
      </c>
      <c r="Q494" s="7">
        <f t="shared" si="22"/>
        <v>2025</v>
      </c>
      <c r="R494" s="23">
        <f t="shared" si="23"/>
        <v>0.44403190082928423</v>
      </c>
    </row>
    <row r="495" spans="1:18">
      <c r="A495" s="7" t="s">
        <v>537</v>
      </c>
      <c r="B495" s="8">
        <v>45663</v>
      </c>
      <c r="C495" s="7" t="s">
        <v>538</v>
      </c>
      <c r="D495" s="7" t="s">
        <v>47</v>
      </c>
      <c r="E495" s="7" t="s">
        <v>41</v>
      </c>
      <c r="F495" s="7" t="s">
        <v>153</v>
      </c>
      <c r="G495" s="7">
        <v>5</v>
      </c>
      <c r="H495" s="18">
        <v>2343.5100000000002</v>
      </c>
      <c r="I495" s="22">
        <v>0.2</v>
      </c>
      <c r="J495" s="18">
        <v>9374.0400000000009</v>
      </c>
      <c r="K495" s="18">
        <v>7907.25</v>
      </c>
      <c r="L495" s="18">
        <v>1466.79</v>
      </c>
      <c r="M495" s="7" t="s">
        <v>35</v>
      </c>
      <c r="N495" s="7" t="s">
        <v>71</v>
      </c>
      <c r="O495" s="7" t="s">
        <v>44</v>
      </c>
      <c r="P495" s="7" t="str">
        <f t="shared" si="21"/>
        <v>Jan</v>
      </c>
      <c r="Q495" s="7">
        <f t="shared" si="22"/>
        <v>2025</v>
      </c>
      <c r="R495" s="23">
        <f t="shared" si="23"/>
        <v>0.15647362289898484</v>
      </c>
    </row>
    <row r="496" spans="1:18">
      <c r="A496" s="7" t="s">
        <v>1435</v>
      </c>
      <c r="B496" s="8">
        <v>46231</v>
      </c>
      <c r="C496" s="7" t="s">
        <v>927</v>
      </c>
      <c r="D496" s="7" t="s">
        <v>134</v>
      </c>
      <c r="E496" s="7" t="s">
        <v>61</v>
      </c>
      <c r="F496" s="7" t="s">
        <v>84</v>
      </c>
      <c r="G496" s="7">
        <v>2</v>
      </c>
      <c r="H496" s="18">
        <v>2360.42</v>
      </c>
      <c r="I496" s="22">
        <v>0.05</v>
      </c>
      <c r="J496" s="18">
        <v>4484.8</v>
      </c>
      <c r="K496" s="18">
        <v>2986.3</v>
      </c>
      <c r="L496" s="18">
        <v>1498.5</v>
      </c>
      <c r="M496" s="7" t="s">
        <v>35</v>
      </c>
      <c r="N496" s="7" t="s">
        <v>63</v>
      </c>
      <c r="O496" s="7" t="s">
        <v>44</v>
      </c>
      <c r="P496" s="7" t="str">
        <f t="shared" si="21"/>
        <v>Jul</v>
      </c>
      <c r="Q496" s="7">
        <f t="shared" si="22"/>
        <v>2026</v>
      </c>
      <c r="R496" s="23">
        <f t="shared" si="23"/>
        <v>0.33412861220121298</v>
      </c>
    </row>
    <row r="497" spans="1:18">
      <c r="A497" s="7" t="s">
        <v>1254</v>
      </c>
      <c r="B497" s="8">
        <v>46198</v>
      </c>
      <c r="C497" s="7" t="s">
        <v>1134</v>
      </c>
      <c r="D497" s="7" t="s">
        <v>47</v>
      </c>
      <c r="E497" s="7" t="s">
        <v>33</v>
      </c>
      <c r="F497" s="7" t="s">
        <v>92</v>
      </c>
      <c r="G497" s="7">
        <v>5</v>
      </c>
      <c r="H497" s="18">
        <v>2360.46</v>
      </c>
      <c r="I497" s="22">
        <v>0.1</v>
      </c>
      <c r="J497" s="18">
        <v>10622.07</v>
      </c>
      <c r="K497" s="18">
        <v>8382.8799999999992</v>
      </c>
      <c r="L497" s="18">
        <v>2239.19</v>
      </c>
      <c r="M497" s="7" t="s">
        <v>35</v>
      </c>
      <c r="N497" s="7" t="s">
        <v>36</v>
      </c>
      <c r="O497" s="7" t="s">
        <v>37</v>
      </c>
      <c r="P497" s="7" t="str">
        <f t="shared" si="21"/>
        <v>Jun</v>
      </c>
      <c r="Q497" s="7">
        <f t="shared" si="22"/>
        <v>2026</v>
      </c>
      <c r="R497" s="23">
        <f t="shared" si="23"/>
        <v>0.21080542681417089</v>
      </c>
    </row>
    <row r="498" spans="1:18">
      <c r="A498" s="7" t="s">
        <v>783</v>
      </c>
      <c r="B498" s="8">
        <v>45669</v>
      </c>
      <c r="C498" s="7" t="s">
        <v>784</v>
      </c>
      <c r="D498" s="7" t="s">
        <v>56</v>
      </c>
      <c r="E498" s="7" t="s">
        <v>33</v>
      </c>
      <c r="F498" s="7" t="s">
        <v>92</v>
      </c>
      <c r="G498" s="7">
        <v>4</v>
      </c>
      <c r="H498" s="18">
        <v>2363.2199999999998</v>
      </c>
      <c r="I498" s="22">
        <v>0.05</v>
      </c>
      <c r="J498" s="18">
        <v>8980.24</v>
      </c>
      <c r="K498" s="18">
        <v>6657.85</v>
      </c>
      <c r="L498" s="18">
        <v>2322.39</v>
      </c>
      <c r="M498" s="7" t="s">
        <v>57</v>
      </c>
      <c r="N498" s="7" t="s">
        <v>36</v>
      </c>
      <c r="O498" s="7" t="s">
        <v>44</v>
      </c>
      <c r="P498" s="7" t="str">
        <f t="shared" si="21"/>
        <v>Jan</v>
      </c>
      <c r="Q498" s="7">
        <f t="shared" si="22"/>
        <v>2025</v>
      </c>
      <c r="R498" s="23">
        <f t="shared" si="23"/>
        <v>0.25861112843309308</v>
      </c>
    </row>
    <row r="499" spans="1:18">
      <c r="A499" s="7" t="s">
        <v>1530</v>
      </c>
      <c r="B499" s="8">
        <v>45906</v>
      </c>
      <c r="C499" s="7" t="s">
        <v>1170</v>
      </c>
      <c r="D499" s="7" t="s">
        <v>52</v>
      </c>
      <c r="E499" s="7" t="s">
        <v>41</v>
      </c>
      <c r="F499" s="7" t="s">
        <v>124</v>
      </c>
      <c r="G499" s="7">
        <v>4</v>
      </c>
      <c r="H499" s="18">
        <v>2363.46</v>
      </c>
      <c r="I499" s="22">
        <v>0.2</v>
      </c>
      <c r="J499" s="18">
        <v>7563.07</v>
      </c>
      <c r="K499" s="18">
        <v>5801.16</v>
      </c>
      <c r="L499" s="18">
        <v>1761.91</v>
      </c>
      <c r="M499" s="7" t="s">
        <v>35</v>
      </c>
      <c r="N499" s="7" t="s">
        <v>43</v>
      </c>
      <c r="O499" s="7" t="s">
        <v>44</v>
      </c>
      <c r="P499" s="7" t="str">
        <f t="shared" si="21"/>
        <v>Sep</v>
      </c>
      <c r="Q499" s="7">
        <f t="shared" si="22"/>
        <v>2025</v>
      </c>
      <c r="R499" s="23">
        <f t="shared" si="23"/>
        <v>0.23296227590118829</v>
      </c>
    </row>
    <row r="500" spans="1:18">
      <c r="A500" s="7" t="s">
        <v>227</v>
      </c>
      <c r="B500" s="8">
        <v>45705</v>
      </c>
      <c r="C500" s="7" t="s">
        <v>228</v>
      </c>
      <c r="D500" s="7" t="s">
        <v>66</v>
      </c>
      <c r="E500" s="7" t="s">
        <v>41</v>
      </c>
      <c r="F500" s="7" t="s">
        <v>124</v>
      </c>
      <c r="G500" s="7">
        <v>5</v>
      </c>
      <c r="H500" s="18">
        <v>2376.7199999999998</v>
      </c>
      <c r="I500" s="22">
        <v>0.15</v>
      </c>
      <c r="J500" s="18">
        <v>10101.06</v>
      </c>
      <c r="K500" s="18">
        <v>7964.25</v>
      </c>
      <c r="L500" s="18">
        <v>2136.81</v>
      </c>
      <c r="M500" s="7" t="s">
        <v>57</v>
      </c>
      <c r="N500" s="7" t="s">
        <v>71</v>
      </c>
      <c r="O500" s="7" t="s">
        <v>44</v>
      </c>
      <c r="P500" s="7" t="str">
        <f t="shared" si="21"/>
        <v>Feb</v>
      </c>
      <c r="Q500" s="7">
        <f t="shared" si="22"/>
        <v>2025</v>
      </c>
      <c r="R500" s="23">
        <f t="shared" si="23"/>
        <v>0.21154314497686383</v>
      </c>
    </row>
    <row r="501" spans="1:18">
      <c r="A501" s="7" t="s">
        <v>813</v>
      </c>
      <c r="B501" s="8">
        <v>46197</v>
      </c>
      <c r="C501" s="7" t="s">
        <v>213</v>
      </c>
      <c r="D501" s="7" t="s">
        <v>32</v>
      </c>
      <c r="E501" s="7" t="s">
        <v>33</v>
      </c>
      <c r="F501" s="7" t="s">
        <v>96</v>
      </c>
      <c r="G501" s="7">
        <v>3</v>
      </c>
      <c r="H501" s="18">
        <v>2376.9699999999998</v>
      </c>
      <c r="I501" s="22">
        <v>0.05</v>
      </c>
      <c r="J501" s="18">
        <v>6774.36</v>
      </c>
      <c r="K501" s="18">
        <v>5525.11</v>
      </c>
      <c r="L501" s="18">
        <v>1249.25</v>
      </c>
      <c r="M501" s="7" t="s">
        <v>57</v>
      </c>
      <c r="N501" s="7" t="s">
        <v>43</v>
      </c>
      <c r="O501" s="7" t="s">
        <v>37</v>
      </c>
      <c r="P501" s="7" t="str">
        <f t="shared" si="21"/>
        <v>Jun</v>
      </c>
      <c r="Q501" s="7">
        <f t="shared" si="22"/>
        <v>2026</v>
      </c>
      <c r="R501" s="23">
        <f t="shared" si="23"/>
        <v>0.18440856405623557</v>
      </c>
    </row>
    <row r="502" spans="1:18">
      <c r="A502" s="7" t="s">
        <v>1076</v>
      </c>
      <c r="B502" s="8">
        <v>46136</v>
      </c>
      <c r="C502" s="7" t="s">
        <v>175</v>
      </c>
      <c r="D502" s="7" t="s">
        <v>52</v>
      </c>
      <c r="E502" s="7" t="s">
        <v>48</v>
      </c>
      <c r="F502" s="7" t="s">
        <v>49</v>
      </c>
      <c r="G502" s="7">
        <v>5</v>
      </c>
      <c r="H502" s="18">
        <v>2377.37</v>
      </c>
      <c r="I502" s="22">
        <v>0.15</v>
      </c>
      <c r="J502" s="18">
        <v>10103.82</v>
      </c>
      <c r="K502" s="18">
        <v>5709</v>
      </c>
      <c r="L502" s="18">
        <v>4394.82</v>
      </c>
      <c r="M502" s="7" t="s">
        <v>57</v>
      </c>
      <c r="N502" s="7" t="s">
        <v>63</v>
      </c>
      <c r="O502" s="7" t="s">
        <v>44</v>
      </c>
      <c r="P502" s="7" t="str">
        <f t="shared" si="21"/>
        <v>Apr</v>
      </c>
      <c r="Q502" s="7">
        <f t="shared" si="22"/>
        <v>2026</v>
      </c>
      <c r="R502" s="23">
        <f t="shared" si="23"/>
        <v>0.43496618110773944</v>
      </c>
    </row>
    <row r="503" spans="1:18">
      <c r="A503" s="7" t="s">
        <v>1387</v>
      </c>
      <c r="B503" s="8">
        <v>46134</v>
      </c>
      <c r="C503" s="7" t="s">
        <v>115</v>
      </c>
      <c r="D503" s="7" t="s">
        <v>40</v>
      </c>
      <c r="E503" s="7" t="s">
        <v>48</v>
      </c>
      <c r="F503" s="7" t="s">
        <v>102</v>
      </c>
      <c r="G503" s="7">
        <v>5</v>
      </c>
      <c r="H503" s="18">
        <v>2378.9299999999998</v>
      </c>
      <c r="I503" s="22">
        <v>0.1</v>
      </c>
      <c r="J503" s="18">
        <v>10705.18</v>
      </c>
      <c r="K503" s="18">
        <v>8247.7999999999993</v>
      </c>
      <c r="L503" s="18">
        <v>2457.38</v>
      </c>
      <c r="M503" s="7" t="s">
        <v>57</v>
      </c>
      <c r="N503" s="7" t="s">
        <v>63</v>
      </c>
      <c r="O503" s="7" t="s">
        <v>37</v>
      </c>
      <c r="P503" s="7" t="str">
        <f t="shared" si="21"/>
        <v>Apr</v>
      </c>
      <c r="Q503" s="7">
        <f t="shared" si="22"/>
        <v>2026</v>
      </c>
      <c r="R503" s="23">
        <f t="shared" si="23"/>
        <v>0.22955055403085237</v>
      </c>
    </row>
    <row r="504" spans="1:18">
      <c r="A504" s="7" t="s">
        <v>882</v>
      </c>
      <c r="B504" s="8">
        <v>46206</v>
      </c>
      <c r="C504" s="7" t="s">
        <v>332</v>
      </c>
      <c r="D504" s="7" t="s">
        <v>40</v>
      </c>
      <c r="E504" s="7" t="s">
        <v>41</v>
      </c>
      <c r="F504" s="7" t="s">
        <v>119</v>
      </c>
      <c r="G504" s="7">
        <v>2</v>
      </c>
      <c r="H504" s="18">
        <v>2381.56</v>
      </c>
      <c r="I504" s="22">
        <v>0.05</v>
      </c>
      <c r="J504" s="18">
        <v>4524.96</v>
      </c>
      <c r="K504" s="18">
        <v>3706.75</v>
      </c>
      <c r="L504" s="18">
        <v>818.21</v>
      </c>
      <c r="M504" s="7" t="s">
        <v>57</v>
      </c>
      <c r="N504" s="7" t="s">
        <v>36</v>
      </c>
      <c r="O504" s="7" t="s">
        <v>44</v>
      </c>
      <c r="P504" s="7" t="str">
        <f t="shared" si="21"/>
        <v>Jul</v>
      </c>
      <c r="Q504" s="7">
        <f t="shared" si="22"/>
        <v>2026</v>
      </c>
      <c r="R504" s="23">
        <f t="shared" si="23"/>
        <v>0.18082148792475514</v>
      </c>
    </row>
    <row r="505" spans="1:18">
      <c r="A505" s="7" t="s">
        <v>1355</v>
      </c>
      <c r="B505" s="8">
        <v>45956</v>
      </c>
      <c r="C505" s="7" t="s">
        <v>110</v>
      </c>
      <c r="D505" s="7" t="s">
        <v>95</v>
      </c>
      <c r="E505" s="7" t="s">
        <v>61</v>
      </c>
      <c r="F505" s="7" t="s">
        <v>89</v>
      </c>
      <c r="G505" s="7">
        <v>4</v>
      </c>
      <c r="H505" s="18">
        <v>2384.67</v>
      </c>
      <c r="I505" s="22">
        <v>0.15</v>
      </c>
      <c r="J505" s="18">
        <v>8107.88</v>
      </c>
      <c r="K505" s="18">
        <v>6593.19</v>
      </c>
      <c r="L505" s="18">
        <v>1514.69</v>
      </c>
      <c r="M505" s="7" t="s">
        <v>57</v>
      </c>
      <c r="N505" s="7" t="s">
        <v>36</v>
      </c>
      <c r="O505" s="7" t="s">
        <v>37</v>
      </c>
      <c r="P505" s="7" t="str">
        <f t="shared" si="21"/>
        <v>Oct</v>
      </c>
      <c r="Q505" s="7">
        <f t="shared" si="22"/>
        <v>2025</v>
      </c>
      <c r="R505" s="23">
        <f t="shared" si="23"/>
        <v>0.18681702245223167</v>
      </c>
    </row>
    <row r="506" spans="1:18">
      <c r="A506" s="7" t="s">
        <v>194</v>
      </c>
      <c r="B506" s="8">
        <v>46152</v>
      </c>
      <c r="C506" s="7" t="s">
        <v>195</v>
      </c>
      <c r="D506" s="7" t="s">
        <v>95</v>
      </c>
      <c r="E506" s="7" t="s">
        <v>33</v>
      </c>
      <c r="F506" s="7" t="s">
        <v>92</v>
      </c>
      <c r="G506" s="7">
        <v>1</v>
      </c>
      <c r="H506" s="18">
        <v>2387.2800000000002</v>
      </c>
      <c r="I506" s="22">
        <v>0.05</v>
      </c>
      <c r="J506" s="18">
        <v>2267.92</v>
      </c>
      <c r="K506" s="18">
        <v>1786.51</v>
      </c>
      <c r="L506" s="18">
        <v>481.41</v>
      </c>
      <c r="M506" s="7" t="s">
        <v>57</v>
      </c>
      <c r="N506" s="7" t="s">
        <v>43</v>
      </c>
      <c r="O506" s="7" t="s">
        <v>44</v>
      </c>
      <c r="P506" s="7" t="str">
        <f t="shared" si="21"/>
        <v>May</v>
      </c>
      <c r="Q506" s="7">
        <f t="shared" si="22"/>
        <v>2026</v>
      </c>
      <c r="R506" s="23">
        <f t="shared" si="23"/>
        <v>0.21226939221842039</v>
      </c>
    </row>
    <row r="507" spans="1:18">
      <c r="A507" s="7" t="s">
        <v>1655</v>
      </c>
      <c r="B507" s="8">
        <v>46117</v>
      </c>
      <c r="C507" s="7" t="s">
        <v>607</v>
      </c>
      <c r="D507" s="7" t="s">
        <v>60</v>
      </c>
      <c r="E507" s="7" t="s">
        <v>33</v>
      </c>
      <c r="F507" s="7" t="s">
        <v>96</v>
      </c>
      <c r="G507" s="7">
        <v>6</v>
      </c>
      <c r="H507" s="18">
        <v>2388.29</v>
      </c>
      <c r="I507" s="22">
        <v>0.2</v>
      </c>
      <c r="J507" s="18">
        <v>11463.79</v>
      </c>
      <c r="K507" s="18">
        <v>8375.9500000000007</v>
      </c>
      <c r="L507" s="18">
        <v>3087.84</v>
      </c>
      <c r="M507" s="7" t="s">
        <v>57</v>
      </c>
      <c r="N507" s="7" t="s">
        <v>36</v>
      </c>
      <c r="O507" s="7" t="s">
        <v>37</v>
      </c>
      <c r="P507" s="7" t="str">
        <f t="shared" si="21"/>
        <v>Apr</v>
      </c>
      <c r="Q507" s="7">
        <f t="shared" si="22"/>
        <v>2026</v>
      </c>
      <c r="R507" s="23">
        <f t="shared" si="23"/>
        <v>0.26935594598296025</v>
      </c>
    </row>
    <row r="508" spans="1:18">
      <c r="A508" s="7" t="s">
        <v>1169</v>
      </c>
      <c r="B508" s="8">
        <v>45694</v>
      </c>
      <c r="C508" s="7" t="s">
        <v>1170</v>
      </c>
      <c r="D508" s="7" t="s">
        <v>74</v>
      </c>
      <c r="E508" s="7" t="s">
        <v>33</v>
      </c>
      <c r="F508" s="7" t="s">
        <v>34</v>
      </c>
      <c r="G508" s="7">
        <v>5</v>
      </c>
      <c r="H508" s="18">
        <v>2413.13</v>
      </c>
      <c r="I508" s="22">
        <v>0.05</v>
      </c>
      <c r="J508" s="18">
        <v>11462.37</v>
      </c>
      <c r="K508" s="18">
        <v>8550.35</v>
      </c>
      <c r="L508" s="18">
        <v>2912.02</v>
      </c>
      <c r="M508" s="7" t="s">
        <v>35</v>
      </c>
      <c r="N508" s="7" t="s">
        <v>71</v>
      </c>
      <c r="O508" s="7" t="s">
        <v>37</v>
      </c>
      <c r="P508" s="7" t="str">
        <f t="shared" si="21"/>
        <v>Feb</v>
      </c>
      <c r="Q508" s="7">
        <f t="shared" si="22"/>
        <v>2025</v>
      </c>
      <c r="R508" s="23">
        <f t="shared" si="23"/>
        <v>0.25405042761662727</v>
      </c>
    </row>
    <row r="509" spans="1:18">
      <c r="A509" s="7" t="s">
        <v>1532</v>
      </c>
      <c r="B509" s="8">
        <v>46257</v>
      </c>
      <c r="C509" s="7" t="s">
        <v>630</v>
      </c>
      <c r="D509" s="7" t="s">
        <v>52</v>
      </c>
      <c r="E509" s="7" t="s">
        <v>33</v>
      </c>
      <c r="F509" s="7" t="s">
        <v>176</v>
      </c>
      <c r="G509" s="7">
        <v>4</v>
      </c>
      <c r="H509" s="18">
        <v>2415.0300000000002</v>
      </c>
      <c r="I509" s="22">
        <v>0.05</v>
      </c>
      <c r="J509" s="18">
        <v>9177.11</v>
      </c>
      <c r="K509" s="18">
        <v>7648.18</v>
      </c>
      <c r="L509" s="18">
        <v>1528.93</v>
      </c>
      <c r="M509" s="7" t="s">
        <v>57</v>
      </c>
      <c r="N509" s="7" t="s">
        <v>43</v>
      </c>
      <c r="O509" s="7" t="s">
        <v>37</v>
      </c>
      <c r="P509" s="7" t="str">
        <f t="shared" si="21"/>
        <v>Aug</v>
      </c>
      <c r="Q509" s="7">
        <f t="shared" si="22"/>
        <v>2026</v>
      </c>
      <c r="R509" s="23">
        <f t="shared" si="23"/>
        <v>0.16660255788587039</v>
      </c>
    </row>
    <row r="510" spans="1:18">
      <c r="A510" s="7" t="s">
        <v>1429</v>
      </c>
      <c r="B510" s="8">
        <v>45815</v>
      </c>
      <c r="C510" s="7" t="s">
        <v>1430</v>
      </c>
      <c r="D510" s="7" t="s">
        <v>40</v>
      </c>
      <c r="E510" s="7" t="s">
        <v>61</v>
      </c>
      <c r="F510" s="7" t="s">
        <v>84</v>
      </c>
      <c r="G510" s="7">
        <v>3</v>
      </c>
      <c r="H510" s="18">
        <v>2420.33</v>
      </c>
      <c r="I510" s="22">
        <v>0.15</v>
      </c>
      <c r="J510" s="18">
        <v>6171.84</v>
      </c>
      <c r="K510" s="18">
        <v>3808.23</v>
      </c>
      <c r="L510" s="18">
        <v>2363.61</v>
      </c>
      <c r="M510" s="7" t="s">
        <v>57</v>
      </c>
      <c r="N510" s="7" t="s">
        <v>63</v>
      </c>
      <c r="O510" s="7" t="s">
        <v>44</v>
      </c>
      <c r="P510" s="7" t="str">
        <f t="shared" si="21"/>
        <v>Jun</v>
      </c>
      <c r="Q510" s="7">
        <f t="shared" si="22"/>
        <v>2025</v>
      </c>
      <c r="R510" s="23">
        <f t="shared" si="23"/>
        <v>0.38296682998911186</v>
      </c>
    </row>
    <row r="511" spans="1:18">
      <c r="A511" s="7" t="s">
        <v>394</v>
      </c>
      <c r="B511" s="8">
        <v>46014</v>
      </c>
      <c r="C511" s="7" t="s">
        <v>55</v>
      </c>
      <c r="D511" s="7" t="s">
        <v>95</v>
      </c>
      <c r="E511" s="7" t="s">
        <v>33</v>
      </c>
      <c r="F511" s="7" t="s">
        <v>92</v>
      </c>
      <c r="G511" s="7">
        <v>2</v>
      </c>
      <c r="H511" s="18">
        <v>2424.4</v>
      </c>
      <c r="I511" s="22">
        <v>0.15</v>
      </c>
      <c r="J511" s="18">
        <v>4121.4799999999996</v>
      </c>
      <c r="K511" s="18">
        <v>2968.23</v>
      </c>
      <c r="L511" s="18">
        <v>1153.25</v>
      </c>
      <c r="M511" s="7" t="s">
        <v>35</v>
      </c>
      <c r="N511" s="7" t="s">
        <v>71</v>
      </c>
      <c r="O511" s="7" t="s">
        <v>44</v>
      </c>
      <c r="P511" s="7" t="str">
        <f t="shared" si="21"/>
        <v>Dec</v>
      </c>
      <c r="Q511" s="7">
        <f t="shared" si="22"/>
        <v>2025</v>
      </c>
      <c r="R511" s="23">
        <f t="shared" si="23"/>
        <v>0.2798145326436135</v>
      </c>
    </row>
    <row r="512" spans="1:18">
      <c r="A512" s="7" t="s">
        <v>653</v>
      </c>
      <c r="B512" s="8">
        <v>46221</v>
      </c>
      <c r="C512" s="7" t="s">
        <v>286</v>
      </c>
      <c r="D512" s="7" t="s">
        <v>134</v>
      </c>
      <c r="E512" s="7" t="s">
        <v>33</v>
      </c>
      <c r="F512" s="7" t="s">
        <v>96</v>
      </c>
      <c r="G512" s="7">
        <v>5</v>
      </c>
      <c r="H512" s="18">
        <v>2428.8200000000002</v>
      </c>
      <c r="I512" s="22">
        <v>0</v>
      </c>
      <c r="J512" s="18">
        <v>12144.1</v>
      </c>
      <c r="K512" s="18">
        <v>7832.82</v>
      </c>
      <c r="L512" s="18">
        <v>4311.28</v>
      </c>
      <c r="M512" s="7" t="s">
        <v>35</v>
      </c>
      <c r="N512" s="7" t="s">
        <v>43</v>
      </c>
      <c r="O512" s="7" t="s">
        <v>44</v>
      </c>
      <c r="P512" s="7" t="str">
        <f t="shared" si="21"/>
        <v>Jul</v>
      </c>
      <c r="Q512" s="7">
        <f t="shared" si="22"/>
        <v>2026</v>
      </c>
      <c r="R512" s="23">
        <f t="shared" si="23"/>
        <v>0.35501025189186514</v>
      </c>
    </row>
    <row r="513" spans="1:18">
      <c r="A513" s="7" t="s">
        <v>1318</v>
      </c>
      <c r="B513" s="8">
        <v>46223</v>
      </c>
      <c r="C513" s="7" t="s">
        <v>1319</v>
      </c>
      <c r="D513" s="7" t="s">
        <v>56</v>
      </c>
      <c r="E513" s="7" t="s">
        <v>48</v>
      </c>
      <c r="F513" s="7" t="s">
        <v>49</v>
      </c>
      <c r="G513" s="7">
        <v>3</v>
      </c>
      <c r="H513" s="18">
        <v>2440.98</v>
      </c>
      <c r="I513" s="22">
        <v>0.15</v>
      </c>
      <c r="J513" s="18">
        <v>6224.5</v>
      </c>
      <c r="K513" s="18">
        <v>4855.6400000000003</v>
      </c>
      <c r="L513" s="18">
        <v>1368.86</v>
      </c>
      <c r="M513" s="7" t="s">
        <v>35</v>
      </c>
      <c r="N513" s="7" t="s">
        <v>71</v>
      </c>
      <c r="O513" s="7" t="s">
        <v>37</v>
      </c>
      <c r="P513" s="7" t="str">
        <f t="shared" si="21"/>
        <v>Jul</v>
      </c>
      <c r="Q513" s="7">
        <f t="shared" si="22"/>
        <v>2026</v>
      </c>
      <c r="R513" s="23">
        <f t="shared" si="23"/>
        <v>0.21991485259860227</v>
      </c>
    </row>
    <row r="514" spans="1:18">
      <c r="A514" s="7" t="s">
        <v>313</v>
      </c>
      <c r="B514" s="8">
        <v>46065</v>
      </c>
      <c r="C514" s="7" t="s">
        <v>314</v>
      </c>
      <c r="D514" s="7" t="s">
        <v>32</v>
      </c>
      <c r="E514" s="7" t="s">
        <v>61</v>
      </c>
      <c r="F514" s="7" t="s">
        <v>62</v>
      </c>
      <c r="G514" s="7">
        <v>5</v>
      </c>
      <c r="H514" s="18">
        <v>2443.2399999999998</v>
      </c>
      <c r="I514" s="22">
        <v>0</v>
      </c>
      <c r="J514" s="18">
        <v>12216.2</v>
      </c>
      <c r="K514" s="18">
        <v>8284.2099999999991</v>
      </c>
      <c r="L514" s="18">
        <v>3931.99</v>
      </c>
      <c r="M514" s="7" t="s">
        <v>57</v>
      </c>
      <c r="N514" s="7" t="s">
        <v>43</v>
      </c>
      <c r="O514" s="7" t="s">
        <v>37</v>
      </c>
      <c r="P514" s="7" t="str">
        <f t="shared" ref="P514:P577" si="24">TEXT(B514,"mmm")</f>
        <v>Feb</v>
      </c>
      <c r="Q514" s="7">
        <f t="shared" ref="Q514:Q577" si="25">YEAR(B514)</f>
        <v>2026</v>
      </c>
      <c r="R514" s="23">
        <f t="shared" ref="R514:R577" si="26">IFERROR(L514/J514,0)</f>
        <v>0.32186686530999814</v>
      </c>
    </row>
    <row r="515" spans="1:18">
      <c r="A515" s="7" t="s">
        <v>1447</v>
      </c>
      <c r="B515" s="8">
        <v>46206</v>
      </c>
      <c r="C515" s="7" t="s">
        <v>276</v>
      </c>
      <c r="D515" s="7" t="s">
        <v>32</v>
      </c>
      <c r="E515" s="7" t="s">
        <v>48</v>
      </c>
      <c r="F515" s="7" t="s">
        <v>70</v>
      </c>
      <c r="G515" s="7">
        <v>2</v>
      </c>
      <c r="H515" s="18">
        <v>2447.2800000000002</v>
      </c>
      <c r="I515" s="22">
        <v>0</v>
      </c>
      <c r="J515" s="18">
        <v>4894.5600000000004</v>
      </c>
      <c r="K515" s="18">
        <v>3389.38</v>
      </c>
      <c r="L515" s="18">
        <v>1505.18</v>
      </c>
      <c r="M515" s="7" t="s">
        <v>35</v>
      </c>
      <c r="N515" s="7" t="s">
        <v>43</v>
      </c>
      <c r="O515" s="7" t="s">
        <v>37</v>
      </c>
      <c r="P515" s="7" t="str">
        <f t="shared" si="24"/>
        <v>Jul</v>
      </c>
      <c r="Q515" s="7">
        <f t="shared" si="25"/>
        <v>2026</v>
      </c>
      <c r="R515" s="23">
        <f t="shared" si="26"/>
        <v>0.30752100290935241</v>
      </c>
    </row>
    <row r="516" spans="1:18">
      <c r="A516" s="7" t="s">
        <v>541</v>
      </c>
      <c r="B516" s="8">
        <v>45996</v>
      </c>
      <c r="C516" s="7" t="s">
        <v>542</v>
      </c>
      <c r="D516" s="7" t="s">
        <v>74</v>
      </c>
      <c r="E516" s="7" t="s">
        <v>61</v>
      </c>
      <c r="F516" s="7" t="s">
        <v>129</v>
      </c>
      <c r="G516" s="7">
        <v>5</v>
      </c>
      <c r="H516" s="18">
        <v>2455.7600000000002</v>
      </c>
      <c r="I516" s="22">
        <v>0</v>
      </c>
      <c r="J516" s="18">
        <v>12278.8</v>
      </c>
      <c r="K516" s="18">
        <v>9189.89</v>
      </c>
      <c r="L516" s="18">
        <v>3088.91</v>
      </c>
      <c r="M516" s="7" t="s">
        <v>57</v>
      </c>
      <c r="N516" s="7" t="s">
        <v>43</v>
      </c>
      <c r="O516" s="7" t="s">
        <v>44</v>
      </c>
      <c r="P516" s="7" t="str">
        <f t="shared" si="24"/>
        <v>Dec</v>
      </c>
      <c r="Q516" s="7">
        <f t="shared" si="25"/>
        <v>2025</v>
      </c>
      <c r="R516" s="23">
        <f t="shared" si="26"/>
        <v>0.25156448512883994</v>
      </c>
    </row>
    <row r="517" spans="1:18">
      <c r="A517" s="7" t="s">
        <v>900</v>
      </c>
      <c r="B517" s="8">
        <v>45931</v>
      </c>
      <c r="C517" s="7" t="s">
        <v>901</v>
      </c>
      <c r="D517" s="7" t="s">
        <v>47</v>
      </c>
      <c r="E517" s="7" t="s">
        <v>61</v>
      </c>
      <c r="F517" s="7" t="s">
        <v>62</v>
      </c>
      <c r="G517" s="7">
        <v>1</v>
      </c>
      <c r="H517" s="18">
        <v>2461.6799999999998</v>
      </c>
      <c r="I517" s="22">
        <v>0.1</v>
      </c>
      <c r="J517" s="18">
        <v>2215.5100000000002</v>
      </c>
      <c r="K517" s="18">
        <v>1397</v>
      </c>
      <c r="L517" s="18">
        <v>818.51</v>
      </c>
      <c r="M517" s="7" t="s">
        <v>35</v>
      </c>
      <c r="N517" s="7" t="s">
        <v>71</v>
      </c>
      <c r="O517" s="7" t="s">
        <v>44</v>
      </c>
      <c r="P517" s="7" t="str">
        <f t="shared" si="24"/>
        <v>Oct</v>
      </c>
      <c r="Q517" s="7">
        <f t="shared" si="25"/>
        <v>2025</v>
      </c>
      <c r="R517" s="23">
        <f t="shared" si="26"/>
        <v>0.36944540986048358</v>
      </c>
    </row>
    <row r="518" spans="1:18">
      <c r="A518" s="7" t="s">
        <v>836</v>
      </c>
      <c r="B518" s="8">
        <v>45818</v>
      </c>
      <c r="C518" s="7" t="s">
        <v>837</v>
      </c>
      <c r="D518" s="7" t="s">
        <v>32</v>
      </c>
      <c r="E518" s="7" t="s">
        <v>48</v>
      </c>
      <c r="F518" s="7" t="s">
        <v>99</v>
      </c>
      <c r="G518" s="7">
        <v>3</v>
      </c>
      <c r="H518" s="18">
        <v>2461.7399999999998</v>
      </c>
      <c r="I518" s="22">
        <v>0.15</v>
      </c>
      <c r="J518" s="18">
        <v>6277.44</v>
      </c>
      <c r="K518" s="18">
        <v>4646.3</v>
      </c>
      <c r="L518" s="18">
        <v>1631.14</v>
      </c>
      <c r="M518" s="7" t="s">
        <v>57</v>
      </c>
      <c r="N518" s="7" t="s">
        <v>63</v>
      </c>
      <c r="O518" s="7" t="s">
        <v>44</v>
      </c>
      <c r="P518" s="7" t="str">
        <f t="shared" si="24"/>
        <v>Jun</v>
      </c>
      <c r="Q518" s="7">
        <f t="shared" si="25"/>
        <v>2025</v>
      </c>
      <c r="R518" s="23">
        <f t="shared" si="26"/>
        <v>0.25984159147678038</v>
      </c>
    </row>
    <row r="519" spans="1:18">
      <c r="A519" s="7" t="s">
        <v>1347</v>
      </c>
      <c r="B519" s="8">
        <v>45945</v>
      </c>
      <c r="C519" s="7" t="s">
        <v>909</v>
      </c>
      <c r="D519" s="7" t="s">
        <v>95</v>
      </c>
      <c r="E519" s="7" t="s">
        <v>41</v>
      </c>
      <c r="F519" s="7" t="s">
        <v>119</v>
      </c>
      <c r="G519" s="7">
        <v>2</v>
      </c>
      <c r="H519" s="18">
        <v>2462.0100000000002</v>
      </c>
      <c r="I519" s="22">
        <v>0.2</v>
      </c>
      <c r="J519" s="18">
        <v>3939.22</v>
      </c>
      <c r="K519" s="18">
        <v>2762.8</v>
      </c>
      <c r="L519" s="18">
        <v>1176.42</v>
      </c>
      <c r="M519" s="7" t="s">
        <v>57</v>
      </c>
      <c r="N519" s="7" t="s">
        <v>63</v>
      </c>
      <c r="O519" s="7" t="s">
        <v>37</v>
      </c>
      <c r="P519" s="7" t="str">
        <f t="shared" si="24"/>
        <v>Oct</v>
      </c>
      <c r="Q519" s="7">
        <f t="shared" si="25"/>
        <v>2025</v>
      </c>
      <c r="R519" s="23">
        <f t="shared" si="26"/>
        <v>0.2986428785394063</v>
      </c>
    </row>
    <row r="520" spans="1:18">
      <c r="A520" s="7" t="s">
        <v>403</v>
      </c>
      <c r="B520" s="8">
        <v>45662</v>
      </c>
      <c r="C520" s="7" t="s">
        <v>213</v>
      </c>
      <c r="D520" s="7" t="s">
        <v>74</v>
      </c>
      <c r="E520" s="7" t="s">
        <v>41</v>
      </c>
      <c r="F520" s="7" t="s">
        <v>124</v>
      </c>
      <c r="G520" s="7">
        <v>3</v>
      </c>
      <c r="H520" s="18">
        <v>2467.96</v>
      </c>
      <c r="I520" s="22">
        <v>0.2</v>
      </c>
      <c r="J520" s="18">
        <v>5923.1</v>
      </c>
      <c r="K520" s="18">
        <v>3676</v>
      </c>
      <c r="L520" s="18">
        <v>2247.1</v>
      </c>
      <c r="M520" s="7" t="s">
        <v>57</v>
      </c>
      <c r="N520" s="7" t="s">
        <v>63</v>
      </c>
      <c r="O520" s="7" t="s">
        <v>44</v>
      </c>
      <c r="P520" s="7" t="str">
        <f t="shared" si="24"/>
        <v>Jan</v>
      </c>
      <c r="Q520" s="7">
        <f t="shared" si="25"/>
        <v>2025</v>
      </c>
      <c r="R520" s="23">
        <f t="shared" si="26"/>
        <v>0.37937904138035822</v>
      </c>
    </row>
    <row r="521" spans="1:18">
      <c r="A521" s="7" t="s">
        <v>282</v>
      </c>
      <c r="B521" s="8">
        <v>46018</v>
      </c>
      <c r="C521" s="7" t="s">
        <v>108</v>
      </c>
      <c r="D521" s="7" t="s">
        <v>52</v>
      </c>
      <c r="E521" s="7" t="s">
        <v>41</v>
      </c>
      <c r="F521" s="7" t="s">
        <v>53</v>
      </c>
      <c r="G521" s="7">
        <v>4</v>
      </c>
      <c r="H521" s="18">
        <v>2473.81</v>
      </c>
      <c r="I521" s="22">
        <v>0.1</v>
      </c>
      <c r="J521" s="18">
        <v>8905.7199999999993</v>
      </c>
      <c r="K521" s="18">
        <v>6630.27</v>
      </c>
      <c r="L521" s="18">
        <v>2275.4499999999998</v>
      </c>
      <c r="M521" s="7" t="s">
        <v>57</v>
      </c>
      <c r="N521" s="7" t="s">
        <v>63</v>
      </c>
      <c r="O521" s="7" t="s">
        <v>37</v>
      </c>
      <c r="P521" s="7" t="str">
        <f t="shared" si="24"/>
        <v>Dec</v>
      </c>
      <c r="Q521" s="7">
        <f t="shared" si="25"/>
        <v>2025</v>
      </c>
      <c r="R521" s="23">
        <f t="shared" si="26"/>
        <v>0.25550432755577313</v>
      </c>
    </row>
    <row r="522" spans="1:18">
      <c r="A522" s="7" t="s">
        <v>1550</v>
      </c>
      <c r="B522" s="8">
        <v>46166</v>
      </c>
      <c r="C522" s="7" t="s">
        <v>811</v>
      </c>
      <c r="D522" s="7" t="s">
        <v>56</v>
      </c>
      <c r="E522" s="7" t="s">
        <v>41</v>
      </c>
      <c r="F522" s="7" t="s">
        <v>42</v>
      </c>
      <c r="G522" s="7">
        <v>3</v>
      </c>
      <c r="H522" s="18">
        <v>2474.4499999999998</v>
      </c>
      <c r="I522" s="22">
        <v>0.15</v>
      </c>
      <c r="J522" s="18">
        <v>6309.85</v>
      </c>
      <c r="K522" s="18">
        <v>5317.66</v>
      </c>
      <c r="L522" s="18">
        <v>992.19</v>
      </c>
      <c r="M522" s="7" t="s">
        <v>35</v>
      </c>
      <c r="N522" s="7" t="s">
        <v>71</v>
      </c>
      <c r="O522" s="7" t="s">
        <v>44</v>
      </c>
      <c r="P522" s="7" t="str">
        <f t="shared" si="24"/>
        <v>May</v>
      </c>
      <c r="Q522" s="7">
        <f t="shared" si="25"/>
        <v>2026</v>
      </c>
      <c r="R522" s="23">
        <f t="shared" si="26"/>
        <v>0.15724462546653248</v>
      </c>
    </row>
    <row r="523" spans="1:18">
      <c r="A523" s="7" t="s">
        <v>1205</v>
      </c>
      <c r="B523" s="8">
        <v>46115</v>
      </c>
      <c r="C523" s="7" t="s">
        <v>897</v>
      </c>
      <c r="D523" s="7" t="s">
        <v>47</v>
      </c>
      <c r="E523" s="7" t="s">
        <v>41</v>
      </c>
      <c r="F523" s="7" t="s">
        <v>124</v>
      </c>
      <c r="G523" s="7">
        <v>6</v>
      </c>
      <c r="H523" s="18">
        <v>2477.37</v>
      </c>
      <c r="I523" s="22">
        <v>0.1</v>
      </c>
      <c r="J523" s="18">
        <v>13377.8</v>
      </c>
      <c r="K523" s="18">
        <v>8589.36</v>
      </c>
      <c r="L523" s="18">
        <v>4788.4399999999996</v>
      </c>
      <c r="M523" s="7" t="s">
        <v>35</v>
      </c>
      <c r="N523" s="7" t="s">
        <v>43</v>
      </c>
      <c r="O523" s="7" t="s">
        <v>44</v>
      </c>
      <c r="P523" s="7" t="str">
        <f t="shared" si="24"/>
        <v>Apr</v>
      </c>
      <c r="Q523" s="7">
        <f t="shared" si="25"/>
        <v>2026</v>
      </c>
      <c r="R523" s="23">
        <f t="shared" si="26"/>
        <v>0.35793927252612534</v>
      </c>
    </row>
    <row r="524" spans="1:18">
      <c r="A524" s="7" t="s">
        <v>1586</v>
      </c>
      <c r="B524" s="8">
        <v>46136</v>
      </c>
      <c r="C524" s="7" t="s">
        <v>1167</v>
      </c>
      <c r="D524" s="7" t="s">
        <v>56</v>
      </c>
      <c r="E524" s="7" t="s">
        <v>41</v>
      </c>
      <c r="F524" s="7" t="s">
        <v>124</v>
      </c>
      <c r="G524" s="7">
        <v>4</v>
      </c>
      <c r="H524" s="18">
        <v>2500.3200000000002</v>
      </c>
      <c r="I524" s="22">
        <v>0.2</v>
      </c>
      <c r="J524" s="18">
        <v>8001.02</v>
      </c>
      <c r="K524" s="18">
        <v>6093.89</v>
      </c>
      <c r="L524" s="18">
        <v>1907.13</v>
      </c>
      <c r="M524" s="7" t="s">
        <v>57</v>
      </c>
      <c r="N524" s="7" t="s">
        <v>63</v>
      </c>
      <c r="O524" s="7" t="s">
        <v>44</v>
      </c>
      <c r="P524" s="7" t="str">
        <f t="shared" si="24"/>
        <v>Apr</v>
      </c>
      <c r="Q524" s="7">
        <f t="shared" si="25"/>
        <v>2026</v>
      </c>
      <c r="R524" s="23">
        <f t="shared" si="26"/>
        <v>0.23836085899047871</v>
      </c>
    </row>
    <row r="525" spans="1:18">
      <c r="A525" s="7" t="s">
        <v>781</v>
      </c>
      <c r="B525" s="8">
        <v>46083</v>
      </c>
      <c r="C525" s="7" t="s">
        <v>372</v>
      </c>
      <c r="D525" s="7" t="s">
        <v>1758</v>
      </c>
      <c r="E525" s="7" t="s">
        <v>41</v>
      </c>
      <c r="F525" s="7" t="s">
        <v>53</v>
      </c>
      <c r="G525" s="7">
        <v>1</v>
      </c>
      <c r="H525" s="18">
        <v>2506.1999999999998</v>
      </c>
      <c r="I525" s="22">
        <v>0.2</v>
      </c>
      <c r="J525" s="18">
        <v>2004.96</v>
      </c>
      <c r="K525" s="18">
        <v>1384.42</v>
      </c>
      <c r="L525" s="18">
        <v>620.54</v>
      </c>
      <c r="M525" s="7" t="s">
        <v>35</v>
      </c>
      <c r="N525" s="7" t="s">
        <v>71</v>
      </c>
      <c r="O525" s="7" t="s">
        <v>44</v>
      </c>
      <c r="P525" s="7" t="str">
        <f t="shared" si="24"/>
        <v>Mar</v>
      </c>
      <c r="Q525" s="7">
        <f t="shared" si="25"/>
        <v>2026</v>
      </c>
      <c r="R525" s="23">
        <f t="shared" si="26"/>
        <v>0.30950243396376981</v>
      </c>
    </row>
    <row r="526" spans="1:18">
      <c r="A526" s="7" t="s">
        <v>495</v>
      </c>
      <c r="B526" s="8">
        <v>46009</v>
      </c>
      <c r="C526" s="7" t="s">
        <v>69</v>
      </c>
      <c r="D526" s="7" t="s">
        <v>60</v>
      </c>
      <c r="E526" s="7" t="s">
        <v>33</v>
      </c>
      <c r="F526" s="7" t="s">
        <v>67</v>
      </c>
      <c r="G526" s="7">
        <v>6</v>
      </c>
      <c r="H526" s="18">
        <v>2507.5300000000002</v>
      </c>
      <c r="I526" s="22">
        <v>0.1</v>
      </c>
      <c r="J526" s="18">
        <v>13540.66</v>
      </c>
      <c r="K526" s="18">
        <v>8434.07</v>
      </c>
      <c r="L526" s="18">
        <v>5106.59</v>
      </c>
      <c r="M526" s="7" t="s">
        <v>35</v>
      </c>
      <c r="N526" s="7" t="s">
        <v>71</v>
      </c>
      <c r="O526" s="7" t="s">
        <v>44</v>
      </c>
      <c r="P526" s="7" t="str">
        <f t="shared" si="24"/>
        <v>Dec</v>
      </c>
      <c r="Q526" s="7">
        <f t="shared" si="25"/>
        <v>2025</v>
      </c>
      <c r="R526" s="23">
        <f t="shared" si="26"/>
        <v>0.37713006603813998</v>
      </c>
    </row>
    <row r="527" spans="1:18">
      <c r="A527" s="7" t="s">
        <v>353</v>
      </c>
      <c r="B527" s="8">
        <v>45869</v>
      </c>
      <c r="C527" s="7" t="s">
        <v>354</v>
      </c>
      <c r="D527" s="7" t="s">
        <v>66</v>
      </c>
      <c r="E527" s="7" t="s">
        <v>48</v>
      </c>
      <c r="F527" s="7" t="s">
        <v>102</v>
      </c>
      <c r="G527" s="7">
        <v>4</v>
      </c>
      <c r="H527" s="18">
        <v>2515.33</v>
      </c>
      <c r="I527" s="22">
        <v>0.1</v>
      </c>
      <c r="J527" s="18">
        <v>9055.19</v>
      </c>
      <c r="K527" s="18">
        <v>5166.05</v>
      </c>
      <c r="L527" s="18">
        <v>3889.14</v>
      </c>
      <c r="M527" s="7" t="s">
        <v>35</v>
      </c>
      <c r="N527" s="7" t="s">
        <v>43</v>
      </c>
      <c r="O527" s="7" t="s">
        <v>44</v>
      </c>
      <c r="P527" s="7" t="str">
        <f t="shared" si="24"/>
        <v>Jul</v>
      </c>
      <c r="Q527" s="7">
        <f t="shared" si="25"/>
        <v>2025</v>
      </c>
      <c r="R527" s="23">
        <f t="shared" si="26"/>
        <v>0.42949292063446481</v>
      </c>
    </row>
    <row r="528" spans="1:18">
      <c r="A528" s="7" t="s">
        <v>1687</v>
      </c>
      <c r="B528" s="8">
        <v>45910</v>
      </c>
      <c r="C528" s="7" t="s">
        <v>1002</v>
      </c>
      <c r="D528" s="7" t="s">
        <v>47</v>
      </c>
      <c r="E528" s="7" t="s">
        <v>61</v>
      </c>
      <c r="F528" s="7" t="s">
        <v>89</v>
      </c>
      <c r="G528" s="7">
        <v>6</v>
      </c>
      <c r="H528" s="18">
        <v>2517.63</v>
      </c>
      <c r="I528" s="22">
        <v>0.05</v>
      </c>
      <c r="J528" s="18">
        <v>14350.49</v>
      </c>
      <c r="K528" s="18">
        <v>11179.41</v>
      </c>
      <c r="L528" s="18">
        <v>3171.08</v>
      </c>
      <c r="M528" s="7" t="s">
        <v>35</v>
      </c>
      <c r="N528" s="7" t="s">
        <v>63</v>
      </c>
      <c r="O528" s="7" t="s">
        <v>37</v>
      </c>
      <c r="P528" s="7" t="str">
        <f t="shared" si="24"/>
        <v>Sep</v>
      </c>
      <c r="Q528" s="7">
        <f t="shared" si="25"/>
        <v>2025</v>
      </c>
      <c r="R528" s="23">
        <f t="shared" si="26"/>
        <v>0.22097363922765006</v>
      </c>
    </row>
    <row r="529" spans="1:18">
      <c r="A529" s="7" t="s">
        <v>274</v>
      </c>
      <c r="B529" s="8">
        <v>45992</v>
      </c>
      <c r="C529" s="7" t="s">
        <v>123</v>
      </c>
      <c r="D529" s="7" t="s">
        <v>40</v>
      </c>
      <c r="E529" s="7" t="s">
        <v>33</v>
      </c>
      <c r="F529" s="7" t="s">
        <v>67</v>
      </c>
      <c r="G529" s="7">
        <v>1</v>
      </c>
      <c r="H529" s="18">
        <v>2526.02</v>
      </c>
      <c r="I529" s="22">
        <v>0.2</v>
      </c>
      <c r="J529" s="18">
        <v>2020.82</v>
      </c>
      <c r="K529" s="18">
        <v>1529.53</v>
      </c>
      <c r="L529" s="18">
        <v>491.29</v>
      </c>
      <c r="M529" s="7" t="s">
        <v>57</v>
      </c>
      <c r="N529" s="7" t="s">
        <v>71</v>
      </c>
      <c r="O529" s="7" t="s">
        <v>44</v>
      </c>
      <c r="P529" s="7" t="str">
        <f t="shared" si="24"/>
        <v>Dec</v>
      </c>
      <c r="Q529" s="7">
        <f t="shared" si="25"/>
        <v>2025</v>
      </c>
      <c r="R529" s="23">
        <f t="shared" si="26"/>
        <v>0.24311418137191834</v>
      </c>
    </row>
    <row r="530" spans="1:18">
      <c r="A530" s="7" t="s">
        <v>1737</v>
      </c>
      <c r="B530" s="8">
        <v>45753</v>
      </c>
      <c r="C530" s="7" t="s">
        <v>1738</v>
      </c>
      <c r="D530" s="7" t="s">
        <v>134</v>
      </c>
      <c r="E530" s="7" t="s">
        <v>48</v>
      </c>
      <c r="F530" s="7" t="s">
        <v>70</v>
      </c>
      <c r="G530" s="7">
        <v>6</v>
      </c>
      <c r="H530" s="18">
        <v>2526.2800000000002</v>
      </c>
      <c r="I530" s="22">
        <v>0.05</v>
      </c>
      <c r="J530" s="18">
        <v>14399.8</v>
      </c>
      <c r="K530" s="18">
        <v>10776.87</v>
      </c>
      <c r="L530" s="18">
        <v>3622.93</v>
      </c>
      <c r="M530" s="7" t="s">
        <v>35</v>
      </c>
      <c r="N530" s="7" t="s">
        <v>36</v>
      </c>
      <c r="O530" s="7" t="s">
        <v>37</v>
      </c>
      <c r="P530" s="7" t="str">
        <f t="shared" si="24"/>
        <v>Apr</v>
      </c>
      <c r="Q530" s="7">
        <f t="shared" si="25"/>
        <v>2025</v>
      </c>
      <c r="R530" s="23">
        <f t="shared" si="26"/>
        <v>0.25159585549799302</v>
      </c>
    </row>
    <row r="531" spans="1:18">
      <c r="A531" s="7" t="s">
        <v>1742</v>
      </c>
      <c r="B531" s="8">
        <v>46025</v>
      </c>
      <c r="C531" s="7" t="s">
        <v>1195</v>
      </c>
      <c r="D531" s="7" t="s">
        <v>60</v>
      </c>
      <c r="E531" s="7" t="s">
        <v>41</v>
      </c>
      <c r="F531" s="7" t="s">
        <v>153</v>
      </c>
      <c r="G531" s="7">
        <v>6</v>
      </c>
      <c r="H531" s="18">
        <v>2528.75</v>
      </c>
      <c r="I531" s="22">
        <v>0.1</v>
      </c>
      <c r="J531" s="18">
        <v>13655.25</v>
      </c>
      <c r="K531" s="18">
        <v>11233.34</v>
      </c>
      <c r="L531" s="18">
        <v>2421.91</v>
      </c>
      <c r="M531" s="7" t="s">
        <v>57</v>
      </c>
      <c r="N531" s="7" t="s">
        <v>63</v>
      </c>
      <c r="O531" s="7" t="s">
        <v>44</v>
      </c>
      <c r="P531" s="7" t="str">
        <f t="shared" si="24"/>
        <v>Jan</v>
      </c>
      <c r="Q531" s="7">
        <f t="shared" si="25"/>
        <v>2026</v>
      </c>
      <c r="R531" s="23">
        <f t="shared" si="26"/>
        <v>0.17736108822614011</v>
      </c>
    </row>
    <row r="532" spans="1:18">
      <c r="A532" s="7" t="s">
        <v>132</v>
      </c>
      <c r="B532" s="8">
        <v>46224</v>
      </c>
      <c r="C532" s="7" t="s">
        <v>133</v>
      </c>
      <c r="D532" s="7" t="s">
        <v>134</v>
      </c>
      <c r="E532" s="7" t="s">
        <v>48</v>
      </c>
      <c r="F532" s="7" t="s">
        <v>113</v>
      </c>
      <c r="G532" s="7">
        <v>6</v>
      </c>
      <c r="H532" s="18">
        <v>2529.13</v>
      </c>
      <c r="I532" s="22">
        <v>0</v>
      </c>
      <c r="J532" s="18">
        <v>15174.78</v>
      </c>
      <c r="K532" s="18">
        <v>9646.08</v>
      </c>
      <c r="L532" s="18">
        <v>5528.7</v>
      </c>
      <c r="M532" s="7" t="s">
        <v>35</v>
      </c>
      <c r="N532" s="7" t="s">
        <v>36</v>
      </c>
      <c r="O532" s="7" t="s">
        <v>37</v>
      </c>
      <c r="P532" s="7" t="str">
        <f t="shared" si="24"/>
        <v>Jul</v>
      </c>
      <c r="Q532" s="7">
        <f t="shared" si="25"/>
        <v>2026</v>
      </c>
      <c r="R532" s="23">
        <f t="shared" si="26"/>
        <v>0.364334771245448</v>
      </c>
    </row>
    <row r="533" spans="1:18">
      <c r="A533" s="7" t="s">
        <v>544</v>
      </c>
      <c r="B533" s="8">
        <v>45725</v>
      </c>
      <c r="C533" s="7" t="s">
        <v>545</v>
      </c>
      <c r="D533" s="7" t="s">
        <v>47</v>
      </c>
      <c r="E533" s="7" t="s">
        <v>41</v>
      </c>
      <c r="F533" s="7" t="s">
        <v>124</v>
      </c>
      <c r="G533" s="7">
        <v>1</v>
      </c>
      <c r="H533" s="18">
        <v>2532.73</v>
      </c>
      <c r="I533" s="22">
        <v>0.1</v>
      </c>
      <c r="J533" s="18">
        <v>2279.46</v>
      </c>
      <c r="K533" s="18">
        <v>1740.85</v>
      </c>
      <c r="L533" s="18">
        <v>538.61</v>
      </c>
      <c r="M533" s="7" t="s">
        <v>57</v>
      </c>
      <c r="N533" s="7" t="s">
        <v>63</v>
      </c>
      <c r="O533" s="7" t="s">
        <v>44</v>
      </c>
      <c r="P533" s="7" t="str">
        <f t="shared" si="24"/>
        <v>Mar</v>
      </c>
      <c r="Q533" s="7">
        <f t="shared" si="25"/>
        <v>2025</v>
      </c>
      <c r="R533" s="23">
        <f t="shared" si="26"/>
        <v>0.23628841918700044</v>
      </c>
    </row>
    <row r="534" spans="1:18">
      <c r="A534" s="7" t="s">
        <v>694</v>
      </c>
      <c r="B534" s="8">
        <v>46235</v>
      </c>
      <c r="C534" s="7" t="s">
        <v>695</v>
      </c>
      <c r="D534" s="7" t="s">
        <v>66</v>
      </c>
      <c r="E534" s="7" t="s">
        <v>33</v>
      </c>
      <c r="F534" s="7" t="s">
        <v>176</v>
      </c>
      <c r="G534" s="7">
        <v>4</v>
      </c>
      <c r="H534" s="18">
        <v>2541.06</v>
      </c>
      <c r="I534" s="22">
        <v>0</v>
      </c>
      <c r="J534" s="18">
        <v>10164.24</v>
      </c>
      <c r="K534" s="18">
        <v>5975.7</v>
      </c>
      <c r="L534" s="18">
        <v>4188.54</v>
      </c>
      <c r="M534" s="7" t="s">
        <v>57</v>
      </c>
      <c r="N534" s="7" t="s">
        <v>36</v>
      </c>
      <c r="O534" s="7" t="s">
        <v>44</v>
      </c>
      <c r="P534" s="7" t="str">
        <f t="shared" si="24"/>
        <v>Aug</v>
      </c>
      <c r="Q534" s="7">
        <f t="shared" si="25"/>
        <v>2026</v>
      </c>
      <c r="R534" s="23">
        <f t="shared" si="26"/>
        <v>0.41208590115935873</v>
      </c>
    </row>
    <row r="535" spans="1:18">
      <c r="A535" s="7" t="s">
        <v>1228</v>
      </c>
      <c r="B535" s="8">
        <v>46048</v>
      </c>
      <c r="C535" s="7" t="s">
        <v>934</v>
      </c>
      <c r="D535" s="7" t="s">
        <v>74</v>
      </c>
      <c r="E535" s="7" t="s">
        <v>33</v>
      </c>
      <c r="F535" s="7" t="s">
        <v>92</v>
      </c>
      <c r="G535" s="7">
        <v>3</v>
      </c>
      <c r="H535" s="18">
        <v>2548.9499999999998</v>
      </c>
      <c r="I535" s="22">
        <v>0.15</v>
      </c>
      <c r="J535" s="18">
        <v>6499.82</v>
      </c>
      <c r="K535" s="18">
        <v>4537.76</v>
      </c>
      <c r="L535" s="18">
        <v>1962.06</v>
      </c>
      <c r="M535" s="7" t="s">
        <v>57</v>
      </c>
      <c r="N535" s="7" t="s">
        <v>43</v>
      </c>
      <c r="O535" s="7" t="s">
        <v>44</v>
      </c>
      <c r="P535" s="7" t="str">
        <f t="shared" si="24"/>
        <v>Jan</v>
      </c>
      <c r="Q535" s="7">
        <f t="shared" si="25"/>
        <v>2026</v>
      </c>
      <c r="R535" s="23">
        <f t="shared" si="26"/>
        <v>0.3018637439190624</v>
      </c>
    </row>
    <row r="536" spans="1:18">
      <c r="A536" s="7" t="s">
        <v>375</v>
      </c>
      <c r="B536" s="8">
        <v>45854</v>
      </c>
      <c r="C536" s="7" t="s">
        <v>376</v>
      </c>
      <c r="D536" s="7" t="s">
        <v>95</v>
      </c>
      <c r="E536" s="7" t="s">
        <v>48</v>
      </c>
      <c r="F536" s="7" t="s">
        <v>113</v>
      </c>
      <c r="G536" s="7">
        <v>6</v>
      </c>
      <c r="H536" s="18">
        <v>2550.9499999999998</v>
      </c>
      <c r="I536" s="22">
        <v>0.05</v>
      </c>
      <c r="J536" s="18">
        <v>14540.41</v>
      </c>
      <c r="K536" s="18">
        <v>10611.59</v>
      </c>
      <c r="L536" s="18">
        <v>3928.82</v>
      </c>
      <c r="M536" s="7" t="s">
        <v>35</v>
      </c>
      <c r="N536" s="7" t="s">
        <v>43</v>
      </c>
      <c r="O536" s="7" t="s">
        <v>37</v>
      </c>
      <c r="P536" s="7" t="str">
        <f t="shared" si="24"/>
        <v>Jul</v>
      </c>
      <c r="Q536" s="7">
        <f t="shared" si="25"/>
        <v>2025</v>
      </c>
      <c r="R536" s="23">
        <f t="shared" si="26"/>
        <v>0.2702000837665513</v>
      </c>
    </row>
    <row r="537" spans="1:18">
      <c r="A537" s="7" t="s">
        <v>1148</v>
      </c>
      <c r="B537" s="8">
        <v>46230</v>
      </c>
      <c r="C537" s="7" t="s">
        <v>341</v>
      </c>
      <c r="D537" s="7" t="s">
        <v>134</v>
      </c>
      <c r="E537" s="7" t="s">
        <v>48</v>
      </c>
      <c r="F537" s="7" t="s">
        <v>49</v>
      </c>
      <c r="G537" s="7">
        <v>5</v>
      </c>
      <c r="H537" s="18">
        <v>2555.11</v>
      </c>
      <c r="I537" s="22">
        <v>0.2</v>
      </c>
      <c r="J537" s="18">
        <v>10220.44</v>
      </c>
      <c r="K537" s="18">
        <v>8468.58</v>
      </c>
      <c r="L537" s="18">
        <v>1751.86</v>
      </c>
      <c r="M537" s="7" t="s">
        <v>35</v>
      </c>
      <c r="N537" s="7" t="s">
        <v>63</v>
      </c>
      <c r="O537" s="7" t="s">
        <v>44</v>
      </c>
      <c r="P537" s="7" t="str">
        <f t="shared" si="24"/>
        <v>Jul</v>
      </c>
      <c r="Q537" s="7">
        <f t="shared" si="25"/>
        <v>2026</v>
      </c>
      <c r="R537" s="23">
        <f t="shared" si="26"/>
        <v>0.17140749321946999</v>
      </c>
    </row>
    <row r="538" spans="1:18">
      <c r="A538" s="7" t="s">
        <v>950</v>
      </c>
      <c r="B538" s="8">
        <v>45988</v>
      </c>
      <c r="C538" s="7" t="s">
        <v>78</v>
      </c>
      <c r="D538" s="7" t="s">
        <v>52</v>
      </c>
      <c r="E538" s="7" t="s">
        <v>48</v>
      </c>
      <c r="F538" s="7" t="s">
        <v>113</v>
      </c>
      <c r="G538" s="7">
        <v>3</v>
      </c>
      <c r="H538" s="18">
        <v>2555.38</v>
      </c>
      <c r="I538" s="22">
        <v>0.15</v>
      </c>
      <c r="J538" s="18">
        <v>6516.22</v>
      </c>
      <c r="K538" s="18">
        <v>4948.67</v>
      </c>
      <c r="L538" s="18">
        <v>1567.55</v>
      </c>
      <c r="M538" s="7" t="s">
        <v>35</v>
      </c>
      <c r="N538" s="7" t="s">
        <v>63</v>
      </c>
      <c r="O538" s="7" t="s">
        <v>44</v>
      </c>
      <c r="P538" s="7" t="str">
        <f t="shared" si="24"/>
        <v>Nov</v>
      </c>
      <c r="Q538" s="7">
        <f t="shared" si="25"/>
        <v>2025</v>
      </c>
      <c r="R538" s="23">
        <f t="shared" si="26"/>
        <v>0.24056124563013526</v>
      </c>
    </row>
    <row r="539" spans="1:18">
      <c r="A539" s="7" t="s">
        <v>135</v>
      </c>
      <c r="B539" s="8">
        <v>45967</v>
      </c>
      <c r="C539" s="7" t="s">
        <v>136</v>
      </c>
      <c r="D539" s="7" t="s">
        <v>134</v>
      </c>
      <c r="E539" s="7" t="s">
        <v>48</v>
      </c>
      <c r="F539" s="7" t="s">
        <v>113</v>
      </c>
      <c r="G539" s="7">
        <v>3</v>
      </c>
      <c r="H539" s="18">
        <v>2561.75</v>
      </c>
      <c r="I539" s="22">
        <v>0.1</v>
      </c>
      <c r="J539" s="18">
        <v>6916.73</v>
      </c>
      <c r="K539" s="18">
        <v>5555</v>
      </c>
      <c r="L539" s="18">
        <v>1361.73</v>
      </c>
      <c r="M539" s="7" t="s">
        <v>57</v>
      </c>
      <c r="N539" s="7" t="s">
        <v>71</v>
      </c>
      <c r="O539" s="7" t="s">
        <v>44</v>
      </c>
      <c r="P539" s="7" t="str">
        <f t="shared" si="24"/>
        <v>Nov</v>
      </c>
      <c r="Q539" s="7">
        <f t="shared" si="25"/>
        <v>2025</v>
      </c>
      <c r="R539" s="23">
        <f t="shared" si="26"/>
        <v>0.19687482379679416</v>
      </c>
    </row>
    <row r="540" spans="1:18">
      <c r="A540" s="7" t="s">
        <v>1280</v>
      </c>
      <c r="B540" s="8">
        <v>45907</v>
      </c>
      <c r="C540" s="7" t="s">
        <v>146</v>
      </c>
      <c r="D540" s="7" t="s">
        <v>40</v>
      </c>
      <c r="E540" s="7" t="s">
        <v>41</v>
      </c>
      <c r="F540" s="7" t="s">
        <v>124</v>
      </c>
      <c r="G540" s="7">
        <v>4</v>
      </c>
      <c r="H540" s="18">
        <v>2564.77</v>
      </c>
      <c r="I540" s="22">
        <v>0.1</v>
      </c>
      <c r="J540" s="18">
        <v>9233.17</v>
      </c>
      <c r="K540" s="18">
        <v>5724.32</v>
      </c>
      <c r="L540" s="18">
        <v>3508.85</v>
      </c>
      <c r="M540" s="7" t="s">
        <v>57</v>
      </c>
      <c r="N540" s="7" t="s">
        <v>36</v>
      </c>
      <c r="O540" s="7" t="s">
        <v>37</v>
      </c>
      <c r="P540" s="7" t="str">
        <f t="shared" si="24"/>
        <v>Sep</v>
      </c>
      <c r="Q540" s="7">
        <f t="shared" si="25"/>
        <v>2025</v>
      </c>
      <c r="R540" s="23">
        <f t="shared" si="26"/>
        <v>0.38002657808748241</v>
      </c>
    </row>
    <row r="541" spans="1:18">
      <c r="A541" s="7" t="s">
        <v>603</v>
      </c>
      <c r="B541" s="8">
        <v>46182</v>
      </c>
      <c r="C541" s="7" t="s">
        <v>604</v>
      </c>
      <c r="D541" s="7" t="s">
        <v>66</v>
      </c>
      <c r="E541" s="7" t="s">
        <v>33</v>
      </c>
      <c r="F541" s="7" t="s">
        <v>176</v>
      </c>
      <c r="G541" s="7">
        <v>4</v>
      </c>
      <c r="H541" s="18">
        <v>2579.7399999999998</v>
      </c>
      <c r="I541" s="22">
        <v>0</v>
      </c>
      <c r="J541" s="18">
        <v>10318.959999999999</v>
      </c>
      <c r="K541" s="18">
        <v>7035.95</v>
      </c>
      <c r="L541" s="18">
        <v>3283.01</v>
      </c>
      <c r="M541" s="7" t="s">
        <v>35</v>
      </c>
      <c r="N541" s="7" t="s">
        <v>43</v>
      </c>
      <c r="O541" s="7" t="s">
        <v>44</v>
      </c>
      <c r="P541" s="7" t="str">
        <f t="shared" si="24"/>
        <v>Jun</v>
      </c>
      <c r="Q541" s="7">
        <f t="shared" si="25"/>
        <v>2026</v>
      </c>
      <c r="R541" s="23">
        <f t="shared" si="26"/>
        <v>0.31815318597998254</v>
      </c>
    </row>
    <row r="542" spans="1:18">
      <c r="A542" s="7" t="s">
        <v>1751</v>
      </c>
      <c r="B542" s="8">
        <v>46096</v>
      </c>
      <c r="C542" s="7" t="s">
        <v>1752</v>
      </c>
      <c r="D542" s="7" t="s">
        <v>47</v>
      </c>
      <c r="E542" s="7" t="s">
        <v>41</v>
      </c>
      <c r="F542" s="7" t="s">
        <v>119</v>
      </c>
      <c r="G542" s="7">
        <v>5</v>
      </c>
      <c r="H542" s="18">
        <v>2580.52</v>
      </c>
      <c r="I542" s="22">
        <v>0</v>
      </c>
      <c r="J542" s="18">
        <v>12902.6</v>
      </c>
      <c r="K542" s="18">
        <v>10896.2</v>
      </c>
      <c r="L542" s="18">
        <v>2006.4</v>
      </c>
      <c r="M542" s="7" t="s">
        <v>35</v>
      </c>
      <c r="N542" s="7" t="s">
        <v>63</v>
      </c>
      <c r="O542" s="7" t="s">
        <v>37</v>
      </c>
      <c r="P542" s="7" t="str">
        <f t="shared" si="24"/>
        <v>Mar</v>
      </c>
      <c r="Q542" s="7">
        <f t="shared" si="25"/>
        <v>2026</v>
      </c>
      <c r="R542" s="23">
        <f t="shared" si="26"/>
        <v>0.1555035419217832</v>
      </c>
    </row>
    <row r="543" spans="1:18">
      <c r="A543" s="7" t="s">
        <v>1507</v>
      </c>
      <c r="B543" s="8">
        <v>45749</v>
      </c>
      <c r="C543" s="7" t="s">
        <v>1366</v>
      </c>
      <c r="D543" s="7" t="s">
        <v>74</v>
      </c>
      <c r="E543" s="7" t="s">
        <v>48</v>
      </c>
      <c r="F543" s="7" t="s">
        <v>113</v>
      </c>
      <c r="G543" s="7">
        <v>2</v>
      </c>
      <c r="H543" s="18">
        <v>2580.6</v>
      </c>
      <c r="I543" s="22">
        <v>0.15</v>
      </c>
      <c r="J543" s="18">
        <v>4387.0200000000004</v>
      </c>
      <c r="K543" s="18">
        <v>3470.06</v>
      </c>
      <c r="L543" s="18">
        <v>916.96</v>
      </c>
      <c r="M543" s="7" t="s">
        <v>57</v>
      </c>
      <c r="N543" s="7" t="s">
        <v>63</v>
      </c>
      <c r="O543" s="7" t="s">
        <v>44</v>
      </c>
      <c r="P543" s="7" t="str">
        <f t="shared" si="24"/>
        <v>Apr</v>
      </c>
      <c r="Q543" s="7">
        <f t="shared" si="25"/>
        <v>2025</v>
      </c>
      <c r="R543" s="23">
        <f t="shared" si="26"/>
        <v>0.20901659896695249</v>
      </c>
    </row>
    <row r="544" spans="1:18">
      <c r="A544" s="7" t="s">
        <v>919</v>
      </c>
      <c r="B544" s="8">
        <v>45710</v>
      </c>
      <c r="C544" s="7" t="s">
        <v>191</v>
      </c>
      <c r="D544" s="7" t="s">
        <v>95</v>
      </c>
      <c r="E544" s="7" t="s">
        <v>48</v>
      </c>
      <c r="F544" s="7" t="s">
        <v>70</v>
      </c>
      <c r="G544" s="7">
        <v>5</v>
      </c>
      <c r="H544" s="18">
        <v>2581.0500000000002</v>
      </c>
      <c r="I544" s="22">
        <v>0</v>
      </c>
      <c r="J544" s="18">
        <v>12905.25</v>
      </c>
      <c r="K544" s="18">
        <v>9221.31</v>
      </c>
      <c r="L544" s="18">
        <v>3683.94</v>
      </c>
      <c r="M544" s="7" t="s">
        <v>35</v>
      </c>
      <c r="N544" s="7" t="s">
        <v>63</v>
      </c>
      <c r="O544" s="7" t="s">
        <v>44</v>
      </c>
      <c r="P544" s="7" t="str">
        <f t="shared" si="24"/>
        <v>Feb</v>
      </c>
      <c r="Q544" s="7">
        <f t="shared" si="25"/>
        <v>2025</v>
      </c>
      <c r="R544" s="23">
        <f t="shared" si="26"/>
        <v>0.28546056837333644</v>
      </c>
    </row>
    <row r="545" spans="1:18">
      <c r="A545" s="7" t="s">
        <v>1022</v>
      </c>
      <c r="B545" s="8">
        <v>45827</v>
      </c>
      <c r="C545" s="7" t="s">
        <v>294</v>
      </c>
      <c r="D545" s="7" t="s">
        <v>66</v>
      </c>
      <c r="E545" s="7" t="s">
        <v>61</v>
      </c>
      <c r="F545" s="7" t="s">
        <v>89</v>
      </c>
      <c r="G545" s="7">
        <v>5</v>
      </c>
      <c r="H545" s="18">
        <v>2592.61</v>
      </c>
      <c r="I545" s="22">
        <v>0</v>
      </c>
      <c r="J545" s="18">
        <v>12963.05</v>
      </c>
      <c r="K545" s="18">
        <v>9805.26</v>
      </c>
      <c r="L545" s="18">
        <v>3157.79</v>
      </c>
      <c r="M545" s="7" t="s">
        <v>35</v>
      </c>
      <c r="N545" s="7" t="s">
        <v>36</v>
      </c>
      <c r="O545" s="7" t="s">
        <v>37</v>
      </c>
      <c r="P545" s="7" t="str">
        <f t="shared" si="24"/>
        <v>Jun</v>
      </c>
      <c r="Q545" s="7">
        <f t="shared" si="25"/>
        <v>2025</v>
      </c>
      <c r="R545" s="23">
        <f t="shared" si="26"/>
        <v>0.2435993072617941</v>
      </c>
    </row>
    <row r="546" spans="1:18">
      <c r="A546" s="7" t="s">
        <v>938</v>
      </c>
      <c r="B546" s="8">
        <v>45805</v>
      </c>
      <c r="C546" s="7" t="s">
        <v>939</v>
      </c>
      <c r="D546" s="7" t="s">
        <v>66</v>
      </c>
      <c r="E546" s="7" t="s">
        <v>33</v>
      </c>
      <c r="F546" s="7" t="s">
        <v>96</v>
      </c>
      <c r="G546" s="7">
        <v>1</v>
      </c>
      <c r="H546" s="18">
        <v>2597.3200000000002</v>
      </c>
      <c r="I546" s="22">
        <v>0</v>
      </c>
      <c r="J546" s="18">
        <v>2597.3200000000002</v>
      </c>
      <c r="K546" s="18">
        <v>1856.8</v>
      </c>
      <c r="L546" s="18">
        <v>740.52</v>
      </c>
      <c r="M546" s="7" t="s">
        <v>35</v>
      </c>
      <c r="N546" s="7" t="s">
        <v>36</v>
      </c>
      <c r="O546" s="7" t="s">
        <v>44</v>
      </c>
      <c r="P546" s="7" t="str">
        <f t="shared" si="24"/>
        <v>May</v>
      </c>
      <c r="Q546" s="7">
        <f t="shared" si="25"/>
        <v>2025</v>
      </c>
      <c r="R546" s="23">
        <f t="shared" si="26"/>
        <v>0.28510926647467388</v>
      </c>
    </row>
    <row r="547" spans="1:18">
      <c r="A547" s="7" t="s">
        <v>1369</v>
      </c>
      <c r="B547" s="8">
        <v>45777</v>
      </c>
      <c r="C547" s="7" t="s">
        <v>474</v>
      </c>
      <c r="D547" s="7" t="s">
        <v>52</v>
      </c>
      <c r="E547" s="7" t="s">
        <v>41</v>
      </c>
      <c r="F547" s="7" t="s">
        <v>124</v>
      </c>
      <c r="G547" s="7">
        <v>4</v>
      </c>
      <c r="H547" s="18">
        <v>2599.5700000000002</v>
      </c>
      <c r="I547" s="22">
        <v>0</v>
      </c>
      <c r="J547" s="18">
        <v>10398.280000000001</v>
      </c>
      <c r="K547" s="18">
        <v>8752.23</v>
      </c>
      <c r="L547" s="18">
        <v>1646.05</v>
      </c>
      <c r="M547" s="7" t="s">
        <v>35</v>
      </c>
      <c r="N547" s="7" t="s">
        <v>63</v>
      </c>
      <c r="O547" s="7" t="s">
        <v>44</v>
      </c>
      <c r="P547" s="7" t="str">
        <f t="shared" si="24"/>
        <v>Apr</v>
      </c>
      <c r="Q547" s="7">
        <f t="shared" si="25"/>
        <v>2025</v>
      </c>
      <c r="R547" s="23">
        <f t="shared" si="26"/>
        <v>0.1583002188823536</v>
      </c>
    </row>
    <row r="548" spans="1:18">
      <c r="A548" s="7" t="s">
        <v>656</v>
      </c>
      <c r="B548" s="8">
        <v>46112</v>
      </c>
      <c r="C548" s="7" t="s">
        <v>657</v>
      </c>
      <c r="D548" s="7" t="s">
        <v>52</v>
      </c>
      <c r="E548" s="7" t="s">
        <v>48</v>
      </c>
      <c r="F548" s="7" t="s">
        <v>70</v>
      </c>
      <c r="G548" s="7">
        <v>1</v>
      </c>
      <c r="H548" s="18">
        <v>2611.1999999999998</v>
      </c>
      <c r="I548" s="22">
        <v>0.1</v>
      </c>
      <c r="J548" s="18">
        <v>2350.08</v>
      </c>
      <c r="K548" s="18">
        <v>1899.01</v>
      </c>
      <c r="L548" s="18">
        <v>451.07</v>
      </c>
      <c r="M548" s="7" t="s">
        <v>35</v>
      </c>
      <c r="N548" s="7" t="s">
        <v>36</v>
      </c>
      <c r="O548" s="7" t="s">
        <v>44</v>
      </c>
      <c r="P548" s="7" t="str">
        <f t="shared" si="24"/>
        <v>Mar</v>
      </c>
      <c r="Q548" s="7">
        <f t="shared" si="25"/>
        <v>2026</v>
      </c>
      <c r="R548" s="23">
        <f t="shared" si="26"/>
        <v>0.19193814678649238</v>
      </c>
    </row>
    <row r="549" spans="1:18">
      <c r="A549" s="7" t="s">
        <v>972</v>
      </c>
      <c r="B549" s="8">
        <v>46152</v>
      </c>
      <c r="C549" s="7" t="s">
        <v>203</v>
      </c>
      <c r="D549" s="7" t="s">
        <v>52</v>
      </c>
      <c r="E549" s="7" t="s">
        <v>41</v>
      </c>
      <c r="F549" s="7" t="s">
        <v>119</v>
      </c>
      <c r="G549" s="7">
        <v>2</v>
      </c>
      <c r="H549" s="18">
        <v>2612.64</v>
      </c>
      <c r="I549" s="22">
        <v>0.1</v>
      </c>
      <c r="J549" s="18">
        <v>4702.75</v>
      </c>
      <c r="K549" s="18">
        <v>3125.16</v>
      </c>
      <c r="L549" s="18">
        <v>1577.59</v>
      </c>
      <c r="M549" s="7" t="s">
        <v>57</v>
      </c>
      <c r="N549" s="7" t="s">
        <v>43</v>
      </c>
      <c r="O549" s="7" t="s">
        <v>44</v>
      </c>
      <c r="P549" s="7" t="str">
        <f t="shared" si="24"/>
        <v>May</v>
      </c>
      <c r="Q549" s="7">
        <f t="shared" si="25"/>
        <v>2026</v>
      </c>
      <c r="R549" s="23">
        <f t="shared" si="26"/>
        <v>0.33546116633884426</v>
      </c>
    </row>
    <row r="550" spans="1:18">
      <c r="A550" s="7" t="s">
        <v>745</v>
      </c>
      <c r="B550" s="8">
        <v>46120</v>
      </c>
      <c r="C550" s="7" t="s">
        <v>737</v>
      </c>
      <c r="D550" s="7" t="s">
        <v>134</v>
      </c>
      <c r="E550" s="7" t="s">
        <v>48</v>
      </c>
      <c r="F550" s="7" t="s">
        <v>113</v>
      </c>
      <c r="G550" s="7">
        <v>6</v>
      </c>
      <c r="H550" s="18">
        <v>2616.75</v>
      </c>
      <c r="I550" s="22">
        <v>0</v>
      </c>
      <c r="J550" s="18">
        <v>15700.5</v>
      </c>
      <c r="K550" s="18">
        <v>12314.87</v>
      </c>
      <c r="L550" s="18">
        <v>3385.63</v>
      </c>
      <c r="M550" s="7" t="s">
        <v>57</v>
      </c>
      <c r="N550" s="7" t="s">
        <v>36</v>
      </c>
      <c r="O550" s="7" t="s">
        <v>44</v>
      </c>
      <c r="P550" s="7" t="str">
        <f t="shared" si="24"/>
        <v>Apr</v>
      </c>
      <c r="Q550" s="7">
        <f t="shared" si="25"/>
        <v>2026</v>
      </c>
      <c r="R550" s="23">
        <f t="shared" si="26"/>
        <v>0.21563835546638643</v>
      </c>
    </row>
    <row r="551" spans="1:18">
      <c r="A551" s="7" t="s">
        <v>262</v>
      </c>
      <c r="B551" s="8">
        <v>46175</v>
      </c>
      <c r="C551" s="7" t="s">
        <v>127</v>
      </c>
      <c r="D551" s="7" t="s">
        <v>56</v>
      </c>
      <c r="E551" s="7" t="s">
        <v>33</v>
      </c>
      <c r="F551" s="7" t="s">
        <v>67</v>
      </c>
      <c r="G551" s="7">
        <v>4</v>
      </c>
      <c r="H551" s="18">
        <v>2620.3000000000002</v>
      </c>
      <c r="I551" s="22">
        <v>0.05</v>
      </c>
      <c r="J551" s="18">
        <v>9957.14</v>
      </c>
      <c r="K551" s="18">
        <v>7937.07</v>
      </c>
      <c r="L551" s="18">
        <v>2020.07</v>
      </c>
      <c r="M551" s="7" t="s">
        <v>35</v>
      </c>
      <c r="N551" s="7" t="s">
        <v>36</v>
      </c>
      <c r="O551" s="7" t="s">
        <v>44</v>
      </c>
      <c r="P551" s="7" t="str">
        <f t="shared" si="24"/>
        <v>Jun</v>
      </c>
      <c r="Q551" s="7">
        <f t="shared" si="25"/>
        <v>2026</v>
      </c>
      <c r="R551" s="23">
        <f t="shared" si="26"/>
        <v>0.2028765288024473</v>
      </c>
    </row>
    <row r="552" spans="1:18">
      <c r="A552" s="7" t="s">
        <v>1289</v>
      </c>
      <c r="B552" s="8">
        <v>45893</v>
      </c>
      <c r="C552" s="7" t="s">
        <v>1290</v>
      </c>
      <c r="D552" s="7" t="s">
        <v>134</v>
      </c>
      <c r="E552" s="7" t="s">
        <v>61</v>
      </c>
      <c r="F552" s="7" t="s">
        <v>81</v>
      </c>
      <c r="G552" s="7">
        <v>2</v>
      </c>
      <c r="H552" s="18">
        <v>2629.74</v>
      </c>
      <c r="I552" s="22">
        <v>0.2</v>
      </c>
      <c r="J552" s="18">
        <v>4207.58</v>
      </c>
      <c r="K552" s="18">
        <v>2873.44</v>
      </c>
      <c r="L552" s="18">
        <v>1334.14</v>
      </c>
      <c r="M552" s="7" t="s">
        <v>35</v>
      </c>
      <c r="N552" s="7" t="s">
        <v>71</v>
      </c>
      <c r="O552" s="7" t="s">
        <v>37</v>
      </c>
      <c r="P552" s="7" t="str">
        <f t="shared" si="24"/>
        <v>Aug</v>
      </c>
      <c r="Q552" s="7">
        <f t="shared" si="25"/>
        <v>2025</v>
      </c>
      <c r="R552" s="23">
        <f t="shared" si="26"/>
        <v>0.31708012681874143</v>
      </c>
    </row>
    <row r="553" spans="1:18">
      <c r="A553" s="7" t="s">
        <v>1497</v>
      </c>
      <c r="B553" s="8">
        <v>46104</v>
      </c>
      <c r="C553" s="7" t="s">
        <v>55</v>
      </c>
      <c r="D553" s="7" t="s">
        <v>95</v>
      </c>
      <c r="E553" s="7" t="s">
        <v>61</v>
      </c>
      <c r="F553" s="7" t="s">
        <v>89</v>
      </c>
      <c r="G553" s="7">
        <v>4</v>
      </c>
      <c r="H553" s="18">
        <v>2634.83</v>
      </c>
      <c r="I553" s="22">
        <v>0</v>
      </c>
      <c r="J553" s="18">
        <v>10539.32</v>
      </c>
      <c r="K553" s="18">
        <v>7664.42</v>
      </c>
      <c r="L553" s="18">
        <v>2874.9</v>
      </c>
      <c r="M553" s="7" t="s">
        <v>57</v>
      </c>
      <c r="N553" s="7" t="s">
        <v>63</v>
      </c>
      <c r="O553" s="7" t="s">
        <v>44</v>
      </c>
      <c r="P553" s="7" t="str">
        <f t="shared" si="24"/>
        <v>Mar</v>
      </c>
      <c r="Q553" s="7">
        <f t="shared" si="25"/>
        <v>2026</v>
      </c>
      <c r="R553" s="23">
        <f t="shared" si="26"/>
        <v>0.27277850942945087</v>
      </c>
    </row>
    <row r="554" spans="1:18">
      <c r="A554" s="7" t="s">
        <v>1130</v>
      </c>
      <c r="B554" s="8">
        <v>46072</v>
      </c>
      <c r="C554" s="7" t="s">
        <v>1131</v>
      </c>
      <c r="D554" s="7" t="s">
        <v>134</v>
      </c>
      <c r="E554" s="7" t="s">
        <v>33</v>
      </c>
      <c r="F554" s="7" t="s">
        <v>34</v>
      </c>
      <c r="G554" s="7">
        <v>3</v>
      </c>
      <c r="H554" s="18">
        <v>2637.06</v>
      </c>
      <c r="I554" s="22">
        <v>0.1</v>
      </c>
      <c r="J554" s="18">
        <v>7120.06</v>
      </c>
      <c r="K554" s="18">
        <v>4514.79</v>
      </c>
      <c r="L554" s="18">
        <v>2605.27</v>
      </c>
      <c r="M554" s="7" t="s">
        <v>57</v>
      </c>
      <c r="N554" s="7" t="s">
        <v>36</v>
      </c>
      <c r="O554" s="7" t="s">
        <v>37</v>
      </c>
      <c r="P554" s="7" t="str">
        <f t="shared" si="24"/>
        <v>Feb</v>
      </c>
      <c r="Q554" s="7">
        <f t="shared" si="25"/>
        <v>2026</v>
      </c>
      <c r="R554" s="23">
        <f t="shared" si="26"/>
        <v>0.36590562439080565</v>
      </c>
    </row>
    <row r="555" spans="1:18">
      <c r="A555" s="7" t="s">
        <v>307</v>
      </c>
      <c r="B555" s="8">
        <v>45660</v>
      </c>
      <c r="C555" s="7" t="s">
        <v>308</v>
      </c>
      <c r="D555" s="7" t="s">
        <v>40</v>
      </c>
      <c r="E555" s="7" t="s">
        <v>48</v>
      </c>
      <c r="F555" s="7" t="s">
        <v>49</v>
      </c>
      <c r="G555" s="7">
        <v>4</v>
      </c>
      <c r="H555" s="18">
        <v>2637.57</v>
      </c>
      <c r="I555" s="22">
        <v>0.1</v>
      </c>
      <c r="J555" s="18">
        <v>9495.25</v>
      </c>
      <c r="K555" s="18">
        <v>7506.27</v>
      </c>
      <c r="L555" s="18">
        <v>1988.98</v>
      </c>
      <c r="M555" s="7" t="s">
        <v>35</v>
      </c>
      <c r="N555" s="7" t="s">
        <v>63</v>
      </c>
      <c r="O555" s="7" t="s">
        <v>44</v>
      </c>
      <c r="P555" s="7" t="str">
        <f t="shared" si="24"/>
        <v>Jan</v>
      </c>
      <c r="Q555" s="7">
        <f t="shared" si="25"/>
        <v>2025</v>
      </c>
      <c r="R555" s="23">
        <f t="shared" si="26"/>
        <v>0.20947105131513125</v>
      </c>
    </row>
    <row r="556" spans="1:18">
      <c r="A556" s="7" t="s">
        <v>1122</v>
      </c>
      <c r="B556" s="8">
        <v>45878</v>
      </c>
      <c r="C556" s="7" t="s">
        <v>545</v>
      </c>
      <c r="D556" s="7" t="s">
        <v>40</v>
      </c>
      <c r="E556" s="7" t="s">
        <v>33</v>
      </c>
      <c r="F556" s="7" t="s">
        <v>92</v>
      </c>
      <c r="G556" s="7">
        <v>3</v>
      </c>
      <c r="H556" s="18">
        <v>2638.17</v>
      </c>
      <c r="I556" s="22">
        <v>0.1</v>
      </c>
      <c r="J556" s="18">
        <v>7123.06</v>
      </c>
      <c r="K556" s="18">
        <v>5451.18</v>
      </c>
      <c r="L556" s="18">
        <v>1671.88</v>
      </c>
      <c r="M556" s="7" t="s">
        <v>57</v>
      </c>
      <c r="N556" s="7" t="s">
        <v>63</v>
      </c>
      <c r="O556" s="7" t="s">
        <v>44</v>
      </c>
      <c r="P556" s="7" t="str">
        <f t="shared" si="24"/>
        <v>Aug</v>
      </c>
      <c r="Q556" s="7">
        <f t="shared" si="25"/>
        <v>2025</v>
      </c>
      <c r="R556" s="23">
        <f t="shared" si="26"/>
        <v>0.23471373258122211</v>
      </c>
    </row>
    <row r="557" spans="1:18">
      <c r="A557" s="7" t="s">
        <v>455</v>
      </c>
      <c r="B557" s="8">
        <v>45688</v>
      </c>
      <c r="C557" s="7" t="s">
        <v>456</v>
      </c>
      <c r="D557" s="7" t="s">
        <v>134</v>
      </c>
      <c r="E557" s="7" t="s">
        <v>33</v>
      </c>
      <c r="F557" s="7" t="s">
        <v>176</v>
      </c>
      <c r="G557" s="7">
        <v>1</v>
      </c>
      <c r="H557" s="18">
        <v>2647.62</v>
      </c>
      <c r="I557" s="22">
        <v>0.2</v>
      </c>
      <c r="J557" s="18">
        <v>2118.1</v>
      </c>
      <c r="K557" s="18">
        <v>1740.14</v>
      </c>
      <c r="L557" s="18">
        <v>377.96</v>
      </c>
      <c r="M557" s="7" t="s">
        <v>57</v>
      </c>
      <c r="N557" s="7" t="s">
        <v>36</v>
      </c>
      <c r="O557" s="7" t="s">
        <v>44</v>
      </c>
      <c r="P557" s="7" t="str">
        <f t="shared" si="24"/>
        <v>Jan</v>
      </c>
      <c r="Q557" s="7">
        <f t="shared" si="25"/>
        <v>2025</v>
      </c>
      <c r="R557" s="23">
        <f t="shared" si="26"/>
        <v>0.17844294414805723</v>
      </c>
    </row>
    <row r="558" spans="1:18">
      <c r="A558" s="7" t="s">
        <v>893</v>
      </c>
      <c r="B558" s="8">
        <v>45891</v>
      </c>
      <c r="C558" s="7" t="s">
        <v>894</v>
      </c>
      <c r="D558" s="7" t="s">
        <v>47</v>
      </c>
      <c r="E558" s="7" t="s">
        <v>61</v>
      </c>
      <c r="F558" s="7" t="s">
        <v>81</v>
      </c>
      <c r="G558" s="7">
        <v>2</v>
      </c>
      <c r="H558" s="18">
        <v>2653.48</v>
      </c>
      <c r="I558" s="22">
        <v>0.2</v>
      </c>
      <c r="J558" s="18">
        <v>4245.57</v>
      </c>
      <c r="K558" s="18">
        <v>2779</v>
      </c>
      <c r="L558" s="18">
        <v>1466.57</v>
      </c>
      <c r="M558" s="7" t="s">
        <v>57</v>
      </c>
      <c r="N558" s="7" t="s">
        <v>71</v>
      </c>
      <c r="O558" s="7" t="s">
        <v>44</v>
      </c>
      <c r="P558" s="7" t="str">
        <f t="shared" si="24"/>
        <v>Aug</v>
      </c>
      <c r="Q558" s="7">
        <f t="shared" si="25"/>
        <v>2025</v>
      </c>
      <c r="R558" s="23">
        <f t="shared" si="26"/>
        <v>0.34543535968079669</v>
      </c>
    </row>
    <row r="559" spans="1:18">
      <c r="A559" s="7" t="s">
        <v>75</v>
      </c>
      <c r="B559" s="8">
        <v>45676</v>
      </c>
      <c r="C559" s="7" t="s">
        <v>76</v>
      </c>
      <c r="D559" s="7" t="s">
        <v>60</v>
      </c>
      <c r="E559" s="7" t="s">
        <v>33</v>
      </c>
      <c r="F559" s="7" t="s">
        <v>34</v>
      </c>
      <c r="G559" s="7">
        <v>1</v>
      </c>
      <c r="H559" s="18">
        <v>2653.55</v>
      </c>
      <c r="I559" s="22">
        <v>0.1</v>
      </c>
      <c r="J559" s="18">
        <v>2388.1999999999998</v>
      </c>
      <c r="K559" s="18">
        <v>1761.27</v>
      </c>
      <c r="L559" s="18">
        <v>626.92999999999995</v>
      </c>
      <c r="M559" s="7" t="s">
        <v>35</v>
      </c>
      <c r="N559" s="7" t="s">
        <v>71</v>
      </c>
      <c r="O559" s="7" t="s">
        <v>37</v>
      </c>
      <c r="P559" s="7" t="str">
        <f t="shared" si="24"/>
        <v>Jan</v>
      </c>
      <c r="Q559" s="7">
        <f t="shared" si="25"/>
        <v>2025</v>
      </c>
      <c r="R559" s="23">
        <f t="shared" si="26"/>
        <v>0.26251151494849678</v>
      </c>
    </row>
    <row r="560" spans="1:18">
      <c r="A560" s="7" t="s">
        <v>221</v>
      </c>
      <c r="B560" s="8">
        <v>45838</v>
      </c>
      <c r="C560" s="7" t="s">
        <v>222</v>
      </c>
      <c r="D560" s="7" t="s">
        <v>32</v>
      </c>
      <c r="E560" s="7" t="s">
        <v>61</v>
      </c>
      <c r="F560" s="7" t="s">
        <v>84</v>
      </c>
      <c r="G560" s="7">
        <v>1</v>
      </c>
      <c r="H560" s="18">
        <v>2661.67</v>
      </c>
      <c r="I560" s="22">
        <v>0.05</v>
      </c>
      <c r="J560" s="18">
        <v>2528.59</v>
      </c>
      <c r="K560" s="18">
        <v>1390.94</v>
      </c>
      <c r="L560" s="18">
        <v>1137.6500000000001</v>
      </c>
      <c r="M560" s="7" t="s">
        <v>35</v>
      </c>
      <c r="N560" s="7" t="s">
        <v>71</v>
      </c>
      <c r="O560" s="7" t="s">
        <v>44</v>
      </c>
      <c r="P560" s="7" t="str">
        <f t="shared" si="24"/>
        <v>Jun</v>
      </c>
      <c r="Q560" s="7">
        <f t="shared" si="25"/>
        <v>2025</v>
      </c>
      <c r="R560" s="23">
        <f t="shared" si="26"/>
        <v>0.44991477463724844</v>
      </c>
    </row>
    <row r="561" spans="1:18">
      <c r="A561" s="7" t="s">
        <v>1362</v>
      </c>
      <c r="B561" s="8">
        <v>46095</v>
      </c>
      <c r="C561" s="7" t="s">
        <v>927</v>
      </c>
      <c r="D561" s="7" t="s">
        <v>60</v>
      </c>
      <c r="E561" s="7" t="s">
        <v>33</v>
      </c>
      <c r="F561" s="7" t="s">
        <v>67</v>
      </c>
      <c r="G561" s="7">
        <v>3</v>
      </c>
      <c r="H561" s="18">
        <v>2666.52</v>
      </c>
      <c r="I561" s="22">
        <v>0</v>
      </c>
      <c r="J561" s="18">
        <v>7999.56</v>
      </c>
      <c r="K561" s="18">
        <v>4467.38</v>
      </c>
      <c r="L561" s="18">
        <v>3532.18</v>
      </c>
      <c r="M561" s="7" t="s">
        <v>57</v>
      </c>
      <c r="N561" s="7" t="s">
        <v>71</v>
      </c>
      <c r="O561" s="7" t="s">
        <v>44</v>
      </c>
      <c r="P561" s="7" t="str">
        <f t="shared" si="24"/>
        <v>Mar</v>
      </c>
      <c r="Q561" s="7">
        <f t="shared" si="25"/>
        <v>2026</v>
      </c>
      <c r="R561" s="23">
        <f t="shared" si="26"/>
        <v>0.44154678507317896</v>
      </c>
    </row>
    <row r="562" spans="1:18">
      <c r="A562" s="7" t="s">
        <v>111</v>
      </c>
      <c r="B562" s="8">
        <v>45749</v>
      </c>
      <c r="C562" s="7" t="s">
        <v>112</v>
      </c>
      <c r="D562" s="7" t="s">
        <v>40</v>
      </c>
      <c r="E562" s="7" t="s">
        <v>48</v>
      </c>
      <c r="F562" s="7" t="s">
        <v>113</v>
      </c>
      <c r="G562" s="7">
        <v>2</v>
      </c>
      <c r="H562" s="18">
        <v>2666.89</v>
      </c>
      <c r="I562" s="22">
        <v>0.15</v>
      </c>
      <c r="J562" s="18">
        <v>4533.71</v>
      </c>
      <c r="K562" s="18">
        <v>3296.17</v>
      </c>
      <c r="L562" s="18">
        <v>1237.54</v>
      </c>
      <c r="M562" s="7" t="s">
        <v>35</v>
      </c>
      <c r="N562" s="7" t="s">
        <v>43</v>
      </c>
      <c r="O562" s="7" t="s">
        <v>44</v>
      </c>
      <c r="P562" s="7" t="str">
        <f t="shared" si="24"/>
        <v>Apr</v>
      </c>
      <c r="Q562" s="7">
        <f t="shared" si="25"/>
        <v>2025</v>
      </c>
      <c r="R562" s="23">
        <f t="shared" si="26"/>
        <v>0.27296408460179411</v>
      </c>
    </row>
    <row r="563" spans="1:18">
      <c r="A563" s="7" t="s">
        <v>751</v>
      </c>
      <c r="B563" s="8">
        <v>45754</v>
      </c>
      <c r="C563" s="7" t="s">
        <v>523</v>
      </c>
      <c r="D563" s="7" t="s">
        <v>52</v>
      </c>
      <c r="E563" s="7" t="s">
        <v>33</v>
      </c>
      <c r="F563" s="7" t="s">
        <v>176</v>
      </c>
      <c r="G563" s="7">
        <v>5</v>
      </c>
      <c r="H563" s="18">
        <v>2667.28</v>
      </c>
      <c r="I563" s="22">
        <v>0.15</v>
      </c>
      <c r="J563" s="18">
        <v>11335.94</v>
      </c>
      <c r="K563" s="18">
        <v>7494.29</v>
      </c>
      <c r="L563" s="18">
        <v>3841.65</v>
      </c>
      <c r="M563" s="7" t="s">
        <v>57</v>
      </c>
      <c r="N563" s="7" t="s">
        <v>43</v>
      </c>
      <c r="O563" s="7" t="s">
        <v>44</v>
      </c>
      <c r="P563" s="7" t="str">
        <f t="shared" si="24"/>
        <v>Apr</v>
      </c>
      <c r="Q563" s="7">
        <f t="shared" si="25"/>
        <v>2025</v>
      </c>
      <c r="R563" s="23">
        <f t="shared" si="26"/>
        <v>0.33889117267734303</v>
      </c>
    </row>
    <row r="564" spans="1:18">
      <c r="A564" s="7" t="s">
        <v>128</v>
      </c>
      <c r="B564" s="8">
        <v>45881</v>
      </c>
      <c r="C564" s="7" t="s">
        <v>123</v>
      </c>
      <c r="D564" s="7" t="s">
        <v>95</v>
      </c>
      <c r="E564" s="7" t="s">
        <v>61</v>
      </c>
      <c r="F564" s="7" t="s">
        <v>129</v>
      </c>
      <c r="G564" s="7">
        <v>2</v>
      </c>
      <c r="H564" s="18">
        <v>2667.87</v>
      </c>
      <c r="I564" s="22">
        <v>0.15</v>
      </c>
      <c r="J564" s="18">
        <v>4535.38</v>
      </c>
      <c r="K564" s="18">
        <v>3695.38</v>
      </c>
      <c r="L564" s="18">
        <v>840</v>
      </c>
      <c r="M564" s="7" t="s">
        <v>35</v>
      </c>
      <c r="N564" s="7" t="s">
        <v>36</v>
      </c>
      <c r="O564" s="7" t="s">
        <v>44</v>
      </c>
      <c r="P564" s="7" t="str">
        <f t="shared" si="24"/>
        <v>Aug</v>
      </c>
      <c r="Q564" s="7">
        <f t="shared" si="25"/>
        <v>2025</v>
      </c>
      <c r="R564" s="23">
        <f t="shared" si="26"/>
        <v>0.18521050055342661</v>
      </c>
    </row>
    <row r="565" spans="1:18">
      <c r="A565" s="7" t="s">
        <v>1168</v>
      </c>
      <c r="B565" s="8">
        <v>46215</v>
      </c>
      <c r="C565" s="7" t="s">
        <v>464</v>
      </c>
      <c r="D565" s="7" t="s">
        <v>66</v>
      </c>
      <c r="E565" s="7" t="s">
        <v>41</v>
      </c>
      <c r="F565" s="7" t="s">
        <v>124</v>
      </c>
      <c r="G565" s="7">
        <v>3</v>
      </c>
      <c r="H565" s="18">
        <v>2668.45</v>
      </c>
      <c r="I565" s="22">
        <v>0.1</v>
      </c>
      <c r="J565" s="18">
        <v>7204.81</v>
      </c>
      <c r="K565" s="18">
        <v>4270.09</v>
      </c>
      <c r="L565" s="18">
        <v>2934.72</v>
      </c>
      <c r="M565" s="7" t="s">
        <v>35</v>
      </c>
      <c r="N565" s="7" t="s">
        <v>71</v>
      </c>
      <c r="O565" s="7" t="s">
        <v>44</v>
      </c>
      <c r="P565" s="7" t="str">
        <f t="shared" si="24"/>
        <v>Jul</v>
      </c>
      <c r="Q565" s="7">
        <f t="shared" si="25"/>
        <v>2026</v>
      </c>
      <c r="R565" s="23">
        <f t="shared" si="26"/>
        <v>0.40732788234526651</v>
      </c>
    </row>
    <row r="566" spans="1:18">
      <c r="A566" s="7" t="s">
        <v>1056</v>
      </c>
      <c r="B566" s="8">
        <v>46136</v>
      </c>
      <c r="C566" s="7" t="s">
        <v>708</v>
      </c>
      <c r="D566" s="7" t="s">
        <v>66</v>
      </c>
      <c r="E566" s="7" t="s">
        <v>48</v>
      </c>
      <c r="F566" s="7" t="s">
        <v>70</v>
      </c>
      <c r="G566" s="7">
        <v>6</v>
      </c>
      <c r="H566" s="18">
        <v>2678.25</v>
      </c>
      <c r="I566" s="22">
        <v>0.15</v>
      </c>
      <c r="J566" s="18">
        <v>13659.07</v>
      </c>
      <c r="K566" s="18">
        <v>10358.42</v>
      </c>
      <c r="L566" s="18">
        <v>3300.65</v>
      </c>
      <c r="M566" s="7" t="s">
        <v>35</v>
      </c>
      <c r="N566" s="7" t="s">
        <v>36</v>
      </c>
      <c r="O566" s="7" t="s">
        <v>37</v>
      </c>
      <c r="P566" s="7" t="str">
        <f t="shared" si="24"/>
        <v>Apr</v>
      </c>
      <c r="Q566" s="7">
        <f t="shared" si="25"/>
        <v>2026</v>
      </c>
      <c r="R566" s="23">
        <f t="shared" si="26"/>
        <v>0.24164529503106727</v>
      </c>
    </row>
    <row r="567" spans="1:18">
      <c r="A567" s="7" t="s">
        <v>1749</v>
      </c>
      <c r="B567" s="8">
        <v>46232</v>
      </c>
      <c r="C567" s="7" t="s">
        <v>401</v>
      </c>
      <c r="D567" s="7" t="s">
        <v>134</v>
      </c>
      <c r="E567" s="7" t="s">
        <v>61</v>
      </c>
      <c r="F567" s="7" t="s">
        <v>89</v>
      </c>
      <c r="G567" s="7">
        <v>1</v>
      </c>
      <c r="H567" s="18">
        <v>2681.19</v>
      </c>
      <c r="I567" s="22">
        <v>0.2</v>
      </c>
      <c r="J567" s="18">
        <v>2144.9499999999998</v>
      </c>
      <c r="K567" s="18">
        <v>1778.01</v>
      </c>
      <c r="L567" s="18">
        <v>366.94</v>
      </c>
      <c r="M567" s="7" t="s">
        <v>35</v>
      </c>
      <c r="N567" s="7" t="s">
        <v>71</v>
      </c>
      <c r="O567" s="7" t="s">
        <v>37</v>
      </c>
      <c r="P567" s="7" t="str">
        <f t="shared" si="24"/>
        <v>Jul</v>
      </c>
      <c r="Q567" s="7">
        <f t="shared" si="25"/>
        <v>2026</v>
      </c>
      <c r="R567" s="23">
        <f t="shared" si="26"/>
        <v>0.17107158675027392</v>
      </c>
    </row>
    <row r="568" spans="1:18">
      <c r="A568" s="7" t="s">
        <v>1279</v>
      </c>
      <c r="B568" s="8">
        <v>45809</v>
      </c>
      <c r="C568" s="7" t="s">
        <v>422</v>
      </c>
      <c r="D568" s="7" t="s">
        <v>66</v>
      </c>
      <c r="E568" s="7" t="s">
        <v>48</v>
      </c>
      <c r="F568" s="7" t="s">
        <v>49</v>
      </c>
      <c r="G568" s="7">
        <v>6</v>
      </c>
      <c r="H568" s="18">
        <v>2705.56</v>
      </c>
      <c r="I568" s="22">
        <v>0</v>
      </c>
      <c r="J568" s="18">
        <v>16233.36</v>
      </c>
      <c r="K568" s="18">
        <v>13050.27</v>
      </c>
      <c r="L568" s="18">
        <v>3183.09</v>
      </c>
      <c r="M568" s="7" t="s">
        <v>35</v>
      </c>
      <c r="N568" s="7" t="s">
        <v>63</v>
      </c>
      <c r="O568" s="7" t="s">
        <v>44</v>
      </c>
      <c r="P568" s="7" t="str">
        <f t="shared" si="24"/>
        <v>Jun</v>
      </c>
      <c r="Q568" s="7">
        <f t="shared" si="25"/>
        <v>2025</v>
      </c>
      <c r="R568" s="23">
        <f t="shared" si="26"/>
        <v>0.19608325078726771</v>
      </c>
    </row>
    <row r="569" spans="1:18">
      <c r="A569" s="7" t="s">
        <v>717</v>
      </c>
      <c r="B569" s="8">
        <v>45973</v>
      </c>
      <c r="C569" s="7" t="s">
        <v>718</v>
      </c>
      <c r="D569" s="7" t="s">
        <v>74</v>
      </c>
      <c r="E569" s="7" t="s">
        <v>41</v>
      </c>
      <c r="F569" s="7" t="s">
        <v>42</v>
      </c>
      <c r="G569" s="7">
        <v>5</v>
      </c>
      <c r="H569" s="18">
        <v>2709.28</v>
      </c>
      <c r="I569" s="22">
        <v>0</v>
      </c>
      <c r="J569" s="18">
        <v>13546.4</v>
      </c>
      <c r="K569" s="18">
        <v>7882.48</v>
      </c>
      <c r="L569" s="18">
        <v>5663.92</v>
      </c>
      <c r="M569" s="7" t="s">
        <v>35</v>
      </c>
      <c r="N569" s="7" t="s">
        <v>71</v>
      </c>
      <c r="O569" s="7" t="s">
        <v>44</v>
      </c>
      <c r="P569" s="7" t="str">
        <f t="shared" si="24"/>
        <v>Nov</v>
      </c>
      <c r="Q569" s="7">
        <f t="shared" si="25"/>
        <v>2025</v>
      </c>
      <c r="R569" s="23">
        <f t="shared" si="26"/>
        <v>0.41811256127089119</v>
      </c>
    </row>
    <row r="570" spans="1:18">
      <c r="A570" s="7" t="s">
        <v>899</v>
      </c>
      <c r="B570" s="8">
        <v>45716</v>
      </c>
      <c r="C570" s="7" t="s">
        <v>193</v>
      </c>
      <c r="D570" s="7" t="s">
        <v>95</v>
      </c>
      <c r="E570" s="7" t="s">
        <v>33</v>
      </c>
      <c r="F570" s="7" t="s">
        <v>67</v>
      </c>
      <c r="G570" s="7">
        <v>4</v>
      </c>
      <c r="H570" s="18">
        <v>2711.42</v>
      </c>
      <c r="I570" s="22">
        <v>0.1</v>
      </c>
      <c r="J570" s="18">
        <v>9761.11</v>
      </c>
      <c r="K570" s="18">
        <v>8293.15</v>
      </c>
      <c r="L570" s="18">
        <v>1467.96</v>
      </c>
      <c r="M570" s="7" t="s">
        <v>57</v>
      </c>
      <c r="N570" s="7" t="s">
        <v>36</v>
      </c>
      <c r="O570" s="7" t="s">
        <v>44</v>
      </c>
      <c r="P570" s="7" t="str">
        <f t="shared" si="24"/>
        <v>Feb</v>
      </c>
      <c r="Q570" s="7">
        <f t="shared" si="25"/>
        <v>2025</v>
      </c>
      <c r="R570" s="23">
        <f t="shared" si="26"/>
        <v>0.1503886340795258</v>
      </c>
    </row>
    <row r="571" spans="1:18">
      <c r="A571" s="7" t="s">
        <v>1560</v>
      </c>
      <c r="B571" s="8">
        <v>46068</v>
      </c>
      <c r="C571" s="7" t="s">
        <v>538</v>
      </c>
      <c r="D571" s="7" t="s">
        <v>66</v>
      </c>
      <c r="E571" s="7" t="s">
        <v>33</v>
      </c>
      <c r="F571" s="7" t="s">
        <v>96</v>
      </c>
      <c r="G571" s="7">
        <v>1</v>
      </c>
      <c r="H571" s="18">
        <v>2711.67</v>
      </c>
      <c r="I571" s="22">
        <v>0</v>
      </c>
      <c r="J571" s="18">
        <v>2711.67</v>
      </c>
      <c r="K571" s="18">
        <v>1877.21</v>
      </c>
      <c r="L571" s="18">
        <v>834.46</v>
      </c>
      <c r="M571" s="7" t="s">
        <v>35</v>
      </c>
      <c r="N571" s="7" t="s">
        <v>63</v>
      </c>
      <c r="O571" s="7" t="s">
        <v>37</v>
      </c>
      <c r="P571" s="7" t="str">
        <f t="shared" si="24"/>
        <v>Feb</v>
      </c>
      <c r="Q571" s="7">
        <f t="shared" si="25"/>
        <v>2026</v>
      </c>
      <c r="R571" s="23">
        <f t="shared" si="26"/>
        <v>0.30772918533597377</v>
      </c>
    </row>
    <row r="572" spans="1:18">
      <c r="A572" s="7" t="s">
        <v>1326</v>
      </c>
      <c r="B572" s="8">
        <v>46117</v>
      </c>
      <c r="C572" s="7" t="s">
        <v>1054</v>
      </c>
      <c r="D572" s="7" t="s">
        <v>74</v>
      </c>
      <c r="E572" s="7" t="s">
        <v>41</v>
      </c>
      <c r="F572" s="7" t="s">
        <v>42</v>
      </c>
      <c r="G572" s="7">
        <v>6</v>
      </c>
      <c r="H572" s="18">
        <v>2715.37</v>
      </c>
      <c r="I572" s="22">
        <v>0.05</v>
      </c>
      <c r="J572" s="18">
        <v>15477.61</v>
      </c>
      <c r="K572" s="18">
        <v>8998.7900000000009</v>
      </c>
      <c r="L572" s="18">
        <v>6478.82</v>
      </c>
      <c r="M572" s="7" t="s">
        <v>57</v>
      </c>
      <c r="N572" s="7" t="s">
        <v>36</v>
      </c>
      <c r="O572" s="7" t="s">
        <v>44</v>
      </c>
      <c r="P572" s="7" t="str">
        <f t="shared" si="24"/>
        <v>Apr</v>
      </c>
      <c r="Q572" s="7">
        <f t="shared" si="25"/>
        <v>2026</v>
      </c>
      <c r="R572" s="23">
        <f t="shared" si="26"/>
        <v>0.41859305151118287</v>
      </c>
    </row>
    <row r="573" spans="1:18">
      <c r="A573" s="7" t="s">
        <v>1384</v>
      </c>
      <c r="B573" s="8">
        <v>45862</v>
      </c>
      <c r="C573" s="7" t="s">
        <v>427</v>
      </c>
      <c r="D573" s="7" t="s">
        <v>60</v>
      </c>
      <c r="E573" s="7" t="s">
        <v>41</v>
      </c>
      <c r="F573" s="7" t="s">
        <v>153</v>
      </c>
      <c r="G573" s="7">
        <v>2</v>
      </c>
      <c r="H573" s="18">
        <v>2719.88</v>
      </c>
      <c r="I573" s="22">
        <v>0.1</v>
      </c>
      <c r="J573" s="18">
        <v>4895.78</v>
      </c>
      <c r="K573" s="18">
        <v>3728.71</v>
      </c>
      <c r="L573" s="18">
        <v>1167.07</v>
      </c>
      <c r="M573" s="7" t="s">
        <v>35</v>
      </c>
      <c r="N573" s="7" t="s">
        <v>43</v>
      </c>
      <c r="O573" s="7" t="s">
        <v>44</v>
      </c>
      <c r="P573" s="7" t="str">
        <f t="shared" si="24"/>
        <v>Jul</v>
      </c>
      <c r="Q573" s="7">
        <f t="shared" si="25"/>
        <v>2025</v>
      </c>
      <c r="R573" s="23">
        <f t="shared" si="26"/>
        <v>0.23838285217064492</v>
      </c>
    </row>
    <row r="574" spans="1:18">
      <c r="A574" s="7" t="s">
        <v>848</v>
      </c>
      <c r="B574" s="8">
        <v>46152</v>
      </c>
      <c r="C574" s="7" t="s">
        <v>849</v>
      </c>
      <c r="D574" s="7" t="s">
        <v>40</v>
      </c>
      <c r="E574" s="7" t="s">
        <v>48</v>
      </c>
      <c r="F574" s="7" t="s">
        <v>49</v>
      </c>
      <c r="G574" s="7">
        <v>3</v>
      </c>
      <c r="H574" s="18">
        <v>2722.45</v>
      </c>
      <c r="I574" s="22">
        <v>0.15</v>
      </c>
      <c r="J574" s="18">
        <v>6942.25</v>
      </c>
      <c r="K574" s="18">
        <v>5327.36</v>
      </c>
      <c r="L574" s="18">
        <v>1614.89</v>
      </c>
      <c r="M574" s="7" t="s">
        <v>35</v>
      </c>
      <c r="N574" s="7" t="s">
        <v>63</v>
      </c>
      <c r="O574" s="7" t="s">
        <v>44</v>
      </c>
      <c r="P574" s="7" t="str">
        <f t="shared" si="24"/>
        <v>May</v>
      </c>
      <c r="Q574" s="7">
        <f t="shared" si="25"/>
        <v>2026</v>
      </c>
      <c r="R574" s="23">
        <f t="shared" si="26"/>
        <v>0.23261766718282978</v>
      </c>
    </row>
    <row r="575" spans="1:18">
      <c r="A575" s="7" t="s">
        <v>1101</v>
      </c>
      <c r="B575" s="8">
        <v>45809</v>
      </c>
      <c r="C575" s="7" t="s">
        <v>596</v>
      </c>
      <c r="D575" s="7" t="s">
        <v>40</v>
      </c>
      <c r="E575" s="7" t="s">
        <v>41</v>
      </c>
      <c r="F575" s="7" t="s">
        <v>42</v>
      </c>
      <c r="G575" s="7">
        <v>2</v>
      </c>
      <c r="H575" s="18">
        <v>2731.9</v>
      </c>
      <c r="I575" s="22">
        <v>0.05</v>
      </c>
      <c r="J575" s="18">
        <v>5190.6099999999997</v>
      </c>
      <c r="K575" s="18">
        <v>3488.29</v>
      </c>
      <c r="L575" s="18">
        <v>1702.32</v>
      </c>
      <c r="M575" s="7" t="s">
        <v>35</v>
      </c>
      <c r="N575" s="7" t="s">
        <v>63</v>
      </c>
      <c r="O575" s="7" t="s">
        <v>44</v>
      </c>
      <c r="P575" s="7" t="str">
        <f t="shared" si="24"/>
        <v>Jun</v>
      </c>
      <c r="Q575" s="7">
        <f t="shared" si="25"/>
        <v>2025</v>
      </c>
      <c r="R575" s="23">
        <f t="shared" si="26"/>
        <v>0.3279614534707867</v>
      </c>
    </row>
    <row r="576" spans="1:18">
      <c r="A576" s="7" t="s">
        <v>368</v>
      </c>
      <c r="B576" s="8">
        <v>45728</v>
      </c>
      <c r="C576" s="7" t="s">
        <v>369</v>
      </c>
      <c r="D576" s="7" t="s">
        <v>52</v>
      </c>
      <c r="E576" s="7" t="s">
        <v>41</v>
      </c>
      <c r="F576" s="7" t="s">
        <v>124</v>
      </c>
      <c r="G576" s="7">
        <v>5</v>
      </c>
      <c r="H576" s="18">
        <v>2735.78</v>
      </c>
      <c r="I576" s="22">
        <v>0</v>
      </c>
      <c r="J576" s="18">
        <v>13678.9</v>
      </c>
      <c r="K576" s="18">
        <v>7708.48</v>
      </c>
      <c r="L576" s="18">
        <v>5970.42</v>
      </c>
      <c r="M576" s="7" t="s">
        <v>35</v>
      </c>
      <c r="N576" s="7" t="s">
        <v>71</v>
      </c>
      <c r="O576" s="7" t="s">
        <v>44</v>
      </c>
      <c r="P576" s="7" t="str">
        <f t="shared" si="24"/>
        <v>Mar</v>
      </c>
      <c r="Q576" s="7">
        <f t="shared" si="25"/>
        <v>2025</v>
      </c>
      <c r="R576" s="23">
        <f t="shared" si="26"/>
        <v>0.43646930674250123</v>
      </c>
    </row>
    <row r="577" spans="1:18">
      <c r="A577" s="7" t="s">
        <v>1067</v>
      </c>
      <c r="B577" s="8">
        <v>45822</v>
      </c>
      <c r="C577" s="7" t="s">
        <v>121</v>
      </c>
      <c r="D577" s="7" t="s">
        <v>74</v>
      </c>
      <c r="E577" s="7" t="s">
        <v>33</v>
      </c>
      <c r="F577" s="7" t="s">
        <v>176</v>
      </c>
      <c r="G577" s="7">
        <v>5</v>
      </c>
      <c r="H577" s="18">
        <v>2743.28</v>
      </c>
      <c r="I577" s="22">
        <v>0.15</v>
      </c>
      <c r="J577" s="18">
        <v>11658.94</v>
      </c>
      <c r="K577" s="18">
        <v>9362.0400000000009</v>
      </c>
      <c r="L577" s="18">
        <v>2296.9</v>
      </c>
      <c r="M577" s="7" t="s">
        <v>57</v>
      </c>
      <c r="N577" s="7" t="s">
        <v>43</v>
      </c>
      <c r="O577" s="7" t="s">
        <v>44</v>
      </c>
      <c r="P577" s="7" t="str">
        <f t="shared" si="24"/>
        <v>Jun</v>
      </c>
      <c r="Q577" s="7">
        <f t="shared" si="25"/>
        <v>2025</v>
      </c>
      <c r="R577" s="23">
        <f t="shared" si="26"/>
        <v>0.19700761818827439</v>
      </c>
    </row>
    <row r="578" spans="1:18">
      <c r="A578" s="7" t="s">
        <v>548</v>
      </c>
      <c r="B578" s="8">
        <v>46093</v>
      </c>
      <c r="C578" s="7" t="s">
        <v>335</v>
      </c>
      <c r="D578" s="7" t="s">
        <v>66</v>
      </c>
      <c r="E578" s="7" t="s">
        <v>48</v>
      </c>
      <c r="F578" s="7" t="s">
        <v>49</v>
      </c>
      <c r="G578" s="7">
        <v>1</v>
      </c>
      <c r="H578" s="18">
        <v>2743.88</v>
      </c>
      <c r="I578" s="22">
        <v>0.1</v>
      </c>
      <c r="J578" s="18">
        <v>2469.4899999999998</v>
      </c>
      <c r="K578" s="18">
        <v>1709.99</v>
      </c>
      <c r="L578" s="18">
        <v>759.5</v>
      </c>
      <c r="M578" s="7" t="s">
        <v>35</v>
      </c>
      <c r="N578" s="7" t="s">
        <v>63</v>
      </c>
      <c r="O578" s="7" t="s">
        <v>44</v>
      </c>
      <c r="P578" s="7" t="str">
        <f t="shared" ref="P578:P641" si="27">TEXT(B578,"mmm")</f>
        <v>Mar</v>
      </c>
      <c r="Q578" s="7">
        <f t="shared" ref="Q578:Q641" si="28">YEAR(B578)</f>
        <v>2026</v>
      </c>
      <c r="R578" s="23">
        <f t="shared" ref="R578:R641" si="29">IFERROR(L578/J578,0)</f>
        <v>0.3075533814674285</v>
      </c>
    </row>
    <row r="579" spans="1:18">
      <c r="A579" s="7" t="s">
        <v>840</v>
      </c>
      <c r="B579" s="8">
        <v>45947</v>
      </c>
      <c r="C579" s="7" t="s">
        <v>464</v>
      </c>
      <c r="D579" s="7" t="s">
        <v>95</v>
      </c>
      <c r="E579" s="7" t="s">
        <v>48</v>
      </c>
      <c r="F579" s="7" t="s">
        <v>113</v>
      </c>
      <c r="G579" s="7">
        <v>4</v>
      </c>
      <c r="H579" s="18">
        <v>2744.93</v>
      </c>
      <c r="I579" s="22">
        <v>0</v>
      </c>
      <c r="J579" s="18">
        <v>10979.72</v>
      </c>
      <c r="K579" s="18">
        <v>8812.26</v>
      </c>
      <c r="L579" s="18">
        <v>2167.46</v>
      </c>
      <c r="M579" s="7" t="s">
        <v>35</v>
      </c>
      <c r="N579" s="7" t="s">
        <v>71</v>
      </c>
      <c r="O579" s="7" t="s">
        <v>44</v>
      </c>
      <c r="P579" s="7" t="str">
        <f t="shared" si="27"/>
        <v>Oct</v>
      </c>
      <c r="Q579" s="7">
        <f t="shared" si="28"/>
        <v>2025</v>
      </c>
      <c r="R579" s="23">
        <f t="shared" si="29"/>
        <v>0.19740576262418352</v>
      </c>
    </row>
    <row r="580" spans="1:18">
      <c r="A580" s="7" t="s">
        <v>1489</v>
      </c>
      <c r="B580" s="8">
        <v>46056</v>
      </c>
      <c r="C580" s="7" t="s">
        <v>515</v>
      </c>
      <c r="D580" s="7" t="s">
        <v>32</v>
      </c>
      <c r="E580" s="7" t="s">
        <v>61</v>
      </c>
      <c r="F580" s="7" t="s">
        <v>129</v>
      </c>
      <c r="G580" s="7">
        <v>1</v>
      </c>
      <c r="H580" s="18">
        <v>2768.65</v>
      </c>
      <c r="I580" s="22">
        <v>0</v>
      </c>
      <c r="J580" s="18">
        <v>2768.65</v>
      </c>
      <c r="K580" s="18">
        <v>1957.43</v>
      </c>
      <c r="L580" s="18">
        <v>811.22</v>
      </c>
      <c r="M580" s="7" t="s">
        <v>35</v>
      </c>
      <c r="N580" s="7" t="s">
        <v>43</v>
      </c>
      <c r="O580" s="7" t="s">
        <v>44</v>
      </c>
      <c r="P580" s="7" t="str">
        <f t="shared" si="27"/>
        <v>Feb</v>
      </c>
      <c r="Q580" s="7">
        <f t="shared" si="28"/>
        <v>2026</v>
      </c>
      <c r="R580" s="23">
        <f t="shared" si="29"/>
        <v>0.29300200458707309</v>
      </c>
    </row>
    <row r="581" spans="1:18">
      <c r="A581" s="7" t="s">
        <v>438</v>
      </c>
      <c r="B581" s="8">
        <v>45924</v>
      </c>
      <c r="C581" s="7" t="s">
        <v>439</v>
      </c>
      <c r="D581" s="7" t="s">
        <v>52</v>
      </c>
      <c r="E581" s="7" t="s">
        <v>61</v>
      </c>
      <c r="F581" s="7" t="s">
        <v>81</v>
      </c>
      <c r="G581" s="7">
        <v>2</v>
      </c>
      <c r="H581" s="18">
        <v>2769.17</v>
      </c>
      <c r="I581" s="22">
        <v>0</v>
      </c>
      <c r="J581" s="18">
        <v>5538.34</v>
      </c>
      <c r="K581" s="18">
        <v>3250.57</v>
      </c>
      <c r="L581" s="18">
        <v>2287.77</v>
      </c>
      <c r="M581" s="7" t="s">
        <v>57</v>
      </c>
      <c r="N581" s="7" t="s">
        <v>36</v>
      </c>
      <c r="O581" s="7" t="s">
        <v>44</v>
      </c>
      <c r="P581" s="7" t="str">
        <f t="shared" si="27"/>
        <v>Sep</v>
      </c>
      <c r="Q581" s="7">
        <f t="shared" si="28"/>
        <v>2025</v>
      </c>
      <c r="R581" s="23">
        <f t="shared" si="29"/>
        <v>0.41307864811477807</v>
      </c>
    </row>
    <row r="582" spans="1:18">
      <c r="A582" s="7" t="s">
        <v>1466</v>
      </c>
      <c r="B582" s="8">
        <v>45737</v>
      </c>
      <c r="C582" s="7" t="s">
        <v>1383</v>
      </c>
      <c r="D582" s="7" t="s">
        <v>40</v>
      </c>
      <c r="E582" s="7" t="s">
        <v>61</v>
      </c>
      <c r="F582" s="7" t="s">
        <v>62</v>
      </c>
      <c r="G582" s="7">
        <v>2</v>
      </c>
      <c r="H582" s="18">
        <v>2775.07</v>
      </c>
      <c r="I582" s="22">
        <v>0.15</v>
      </c>
      <c r="J582" s="18">
        <v>4717.62</v>
      </c>
      <c r="K582" s="18">
        <v>3681.38</v>
      </c>
      <c r="L582" s="18">
        <v>1036.24</v>
      </c>
      <c r="M582" s="7" t="s">
        <v>35</v>
      </c>
      <c r="N582" s="7" t="s">
        <v>63</v>
      </c>
      <c r="O582" s="7" t="s">
        <v>44</v>
      </c>
      <c r="P582" s="7" t="str">
        <f t="shared" si="27"/>
        <v>Mar</v>
      </c>
      <c r="Q582" s="7">
        <f t="shared" si="28"/>
        <v>2025</v>
      </c>
      <c r="R582" s="23">
        <f t="shared" si="29"/>
        <v>0.21965313018004842</v>
      </c>
    </row>
    <row r="583" spans="1:18">
      <c r="A583" s="7" t="s">
        <v>1242</v>
      </c>
      <c r="B583" s="8">
        <v>46135</v>
      </c>
      <c r="C583" s="7" t="s">
        <v>1243</v>
      </c>
      <c r="D583" s="7" t="s">
        <v>32</v>
      </c>
      <c r="E583" s="7" t="s">
        <v>41</v>
      </c>
      <c r="F583" s="7" t="s">
        <v>42</v>
      </c>
      <c r="G583" s="7">
        <v>2</v>
      </c>
      <c r="H583" s="18">
        <v>2775.19</v>
      </c>
      <c r="I583" s="22">
        <v>0.1</v>
      </c>
      <c r="J583" s="18">
        <v>4995.34</v>
      </c>
      <c r="K583" s="18">
        <v>3567.22</v>
      </c>
      <c r="L583" s="18">
        <v>1428.12</v>
      </c>
      <c r="M583" s="7" t="s">
        <v>35</v>
      </c>
      <c r="N583" s="7" t="s">
        <v>71</v>
      </c>
      <c r="O583" s="7" t="s">
        <v>37</v>
      </c>
      <c r="P583" s="7" t="str">
        <f t="shared" si="27"/>
        <v>Apr</v>
      </c>
      <c r="Q583" s="7">
        <f t="shared" si="28"/>
        <v>2026</v>
      </c>
      <c r="R583" s="23">
        <f t="shared" si="29"/>
        <v>0.28589044989930612</v>
      </c>
    </row>
    <row r="584" spans="1:18">
      <c r="A584" s="7" t="s">
        <v>698</v>
      </c>
      <c r="B584" s="8">
        <v>46112</v>
      </c>
      <c r="C584" s="7" t="s">
        <v>55</v>
      </c>
      <c r="D584" s="7" t="s">
        <v>134</v>
      </c>
      <c r="E584" s="7" t="s">
        <v>61</v>
      </c>
      <c r="F584" s="7" t="s">
        <v>129</v>
      </c>
      <c r="G584" s="7">
        <v>1</v>
      </c>
      <c r="H584" s="18">
        <v>2778.76</v>
      </c>
      <c r="I584" s="22">
        <v>0.1</v>
      </c>
      <c r="J584" s="18">
        <v>2500.88</v>
      </c>
      <c r="K584" s="18">
        <v>1797.96</v>
      </c>
      <c r="L584" s="18">
        <v>702.92</v>
      </c>
      <c r="M584" s="7" t="s">
        <v>57</v>
      </c>
      <c r="N584" s="7" t="s">
        <v>43</v>
      </c>
      <c r="O584" s="7" t="s">
        <v>44</v>
      </c>
      <c r="P584" s="7" t="str">
        <f t="shared" si="27"/>
        <v>Mar</v>
      </c>
      <c r="Q584" s="7">
        <f t="shared" si="28"/>
        <v>2026</v>
      </c>
      <c r="R584" s="23">
        <f t="shared" si="29"/>
        <v>0.28106906368958123</v>
      </c>
    </row>
    <row r="585" spans="1:18">
      <c r="A585" s="7" t="s">
        <v>681</v>
      </c>
      <c r="B585" s="8">
        <v>45732</v>
      </c>
      <c r="C585" s="7" t="s">
        <v>682</v>
      </c>
      <c r="D585" s="7" t="s">
        <v>56</v>
      </c>
      <c r="E585" s="7" t="s">
        <v>61</v>
      </c>
      <c r="F585" s="7" t="s">
        <v>89</v>
      </c>
      <c r="G585" s="7">
        <v>5</v>
      </c>
      <c r="H585" s="18">
        <v>2784.71</v>
      </c>
      <c r="I585" s="22">
        <v>0.15</v>
      </c>
      <c r="J585" s="18">
        <v>11835.02</v>
      </c>
      <c r="K585" s="18">
        <v>9637.82</v>
      </c>
      <c r="L585" s="18">
        <v>2197.1999999999998</v>
      </c>
      <c r="M585" s="7" t="s">
        <v>57</v>
      </c>
      <c r="N585" s="7" t="s">
        <v>36</v>
      </c>
      <c r="O585" s="7" t="s">
        <v>44</v>
      </c>
      <c r="P585" s="7" t="str">
        <f t="shared" si="27"/>
        <v>Mar</v>
      </c>
      <c r="Q585" s="7">
        <f t="shared" si="28"/>
        <v>2025</v>
      </c>
      <c r="R585" s="23">
        <f t="shared" si="29"/>
        <v>0.18565241123377904</v>
      </c>
    </row>
    <row r="586" spans="1:18">
      <c r="A586" s="7" t="s">
        <v>1569</v>
      </c>
      <c r="B586" s="8">
        <v>45826</v>
      </c>
      <c r="C586" s="7" t="s">
        <v>94</v>
      </c>
      <c r="D586" s="7" t="s">
        <v>56</v>
      </c>
      <c r="E586" s="7" t="s">
        <v>61</v>
      </c>
      <c r="F586" s="7" t="s">
        <v>129</v>
      </c>
      <c r="G586" s="7">
        <v>5</v>
      </c>
      <c r="H586" s="18">
        <v>2794.78</v>
      </c>
      <c r="I586" s="22">
        <v>0.05</v>
      </c>
      <c r="J586" s="18">
        <v>13275.2</v>
      </c>
      <c r="K586" s="18">
        <v>9914.85</v>
      </c>
      <c r="L586" s="18">
        <v>3360.35</v>
      </c>
      <c r="M586" s="7" t="s">
        <v>35</v>
      </c>
      <c r="N586" s="7" t="s">
        <v>36</v>
      </c>
      <c r="O586" s="7" t="s">
        <v>37</v>
      </c>
      <c r="P586" s="7" t="str">
        <f t="shared" si="27"/>
        <v>Jun</v>
      </c>
      <c r="Q586" s="7">
        <f t="shared" si="28"/>
        <v>2025</v>
      </c>
      <c r="R586" s="23">
        <f t="shared" si="29"/>
        <v>0.25312989634807759</v>
      </c>
    </row>
    <row r="587" spans="1:18">
      <c r="A587" s="7" t="s">
        <v>1657</v>
      </c>
      <c r="B587" s="8">
        <v>45872</v>
      </c>
      <c r="C587" s="7" t="s">
        <v>1658</v>
      </c>
      <c r="D587" s="7" t="s">
        <v>47</v>
      </c>
      <c r="E587" s="7" t="s">
        <v>33</v>
      </c>
      <c r="F587" s="7" t="s">
        <v>67</v>
      </c>
      <c r="G587" s="7">
        <v>5</v>
      </c>
      <c r="H587" s="18">
        <v>2796.04</v>
      </c>
      <c r="I587" s="22">
        <v>0</v>
      </c>
      <c r="J587" s="18">
        <v>13980.2</v>
      </c>
      <c r="K587" s="18">
        <v>8244.56</v>
      </c>
      <c r="L587" s="18">
        <v>5735.64</v>
      </c>
      <c r="M587" s="7" t="s">
        <v>35</v>
      </c>
      <c r="N587" s="7" t="s">
        <v>63</v>
      </c>
      <c r="O587" s="7" t="s">
        <v>44</v>
      </c>
      <c r="P587" s="7" t="str">
        <f t="shared" si="27"/>
        <v>Aug</v>
      </c>
      <c r="Q587" s="7">
        <f t="shared" si="28"/>
        <v>2025</v>
      </c>
      <c r="R587" s="23">
        <f t="shared" si="29"/>
        <v>0.41026880874379479</v>
      </c>
    </row>
    <row r="588" spans="1:18">
      <c r="A588" s="7" t="s">
        <v>1469</v>
      </c>
      <c r="B588" s="8">
        <v>46130</v>
      </c>
      <c r="C588" s="7" t="s">
        <v>366</v>
      </c>
      <c r="D588" s="7" t="s">
        <v>56</v>
      </c>
      <c r="E588" s="7" t="s">
        <v>33</v>
      </c>
      <c r="F588" s="7" t="s">
        <v>67</v>
      </c>
      <c r="G588" s="7">
        <v>6</v>
      </c>
      <c r="H588" s="18">
        <v>2798.63</v>
      </c>
      <c r="I588" s="22">
        <v>0.05</v>
      </c>
      <c r="J588" s="18">
        <v>15952.19</v>
      </c>
      <c r="K588" s="18">
        <v>12317.96</v>
      </c>
      <c r="L588" s="18">
        <v>3634.23</v>
      </c>
      <c r="M588" s="7" t="s">
        <v>35</v>
      </c>
      <c r="N588" s="7" t="s">
        <v>71</v>
      </c>
      <c r="O588" s="7" t="s">
        <v>44</v>
      </c>
      <c r="P588" s="7" t="str">
        <f t="shared" si="27"/>
        <v>Apr</v>
      </c>
      <c r="Q588" s="7">
        <f t="shared" si="28"/>
        <v>2026</v>
      </c>
      <c r="R588" s="23">
        <f t="shared" si="29"/>
        <v>0.22782013002603405</v>
      </c>
    </row>
    <row r="589" spans="1:18">
      <c r="A589" s="7" t="s">
        <v>231</v>
      </c>
      <c r="B589" s="8">
        <v>45794</v>
      </c>
      <c r="C589" s="7" t="s">
        <v>232</v>
      </c>
      <c r="D589" s="7" t="s">
        <v>32</v>
      </c>
      <c r="E589" s="7" t="s">
        <v>33</v>
      </c>
      <c r="F589" s="7" t="s">
        <v>92</v>
      </c>
      <c r="G589" s="7">
        <v>3</v>
      </c>
      <c r="H589" s="18">
        <v>2801.11</v>
      </c>
      <c r="I589" s="22">
        <v>0</v>
      </c>
      <c r="J589" s="18">
        <v>8403.33</v>
      </c>
      <c r="K589" s="18">
        <v>6852.59</v>
      </c>
      <c r="L589" s="18">
        <v>1550.74</v>
      </c>
      <c r="M589" s="7" t="s">
        <v>57</v>
      </c>
      <c r="N589" s="7" t="s">
        <v>36</v>
      </c>
      <c r="O589" s="7" t="s">
        <v>44</v>
      </c>
      <c r="P589" s="7" t="str">
        <f t="shared" si="27"/>
        <v>May</v>
      </c>
      <c r="Q589" s="7">
        <f t="shared" si="28"/>
        <v>2025</v>
      </c>
      <c r="R589" s="23">
        <f t="shared" si="29"/>
        <v>0.18453874832953127</v>
      </c>
    </row>
    <row r="590" spans="1:18">
      <c r="A590" s="7" t="s">
        <v>1128</v>
      </c>
      <c r="B590" s="8">
        <v>45877</v>
      </c>
      <c r="C590" s="7" t="s">
        <v>1129</v>
      </c>
      <c r="D590" s="7" t="s">
        <v>60</v>
      </c>
      <c r="E590" s="7" t="s">
        <v>33</v>
      </c>
      <c r="F590" s="7" t="s">
        <v>67</v>
      </c>
      <c r="G590" s="7">
        <v>3</v>
      </c>
      <c r="H590" s="18">
        <v>2808.13</v>
      </c>
      <c r="I590" s="22">
        <v>0.1</v>
      </c>
      <c r="J590" s="18">
        <v>7581.95</v>
      </c>
      <c r="K590" s="18">
        <v>5630.84</v>
      </c>
      <c r="L590" s="18">
        <v>1951.11</v>
      </c>
      <c r="M590" s="7" t="s">
        <v>35</v>
      </c>
      <c r="N590" s="7" t="s">
        <v>43</v>
      </c>
      <c r="O590" s="7" t="s">
        <v>44</v>
      </c>
      <c r="P590" s="7" t="str">
        <f t="shared" si="27"/>
        <v>Aug</v>
      </c>
      <c r="Q590" s="7">
        <f t="shared" si="28"/>
        <v>2025</v>
      </c>
      <c r="R590" s="23">
        <f t="shared" si="29"/>
        <v>0.25733617341185316</v>
      </c>
    </row>
    <row r="591" spans="1:18">
      <c r="A591" s="7" t="s">
        <v>1314</v>
      </c>
      <c r="B591" s="8">
        <v>45687</v>
      </c>
      <c r="C591" s="7" t="s">
        <v>269</v>
      </c>
      <c r="D591" s="7" t="s">
        <v>66</v>
      </c>
      <c r="E591" s="7" t="s">
        <v>33</v>
      </c>
      <c r="F591" s="7" t="s">
        <v>34</v>
      </c>
      <c r="G591" s="7">
        <v>1</v>
      </c>
      <c r="H591" s="18">
        <v>2809.62</v>
      </c>
      <c r="I591" s="22">
        <v>0.2</v>
      </c>
      <c r="J591" s="18">
        <v>2247.6999999999998</v>
      </c>
      <c r="K591" s="18">
        <v>1845.85</v>
      </c>
      <c r="L591" s="18">
        <v>401.85</v>
      </c>
      <c r="M591" s="7" t="s">
        <v>35</v>
      </c>
      <c r="N591" s="7" t="s">
        <v>63</v>
      </c>
      <c r="O591" s="7" t="s">
        <v>44</v>
      </c>
      <c r="P591" s="7" t="str">
        <f t="shared" si="27"/>
        <v>Jan</v>
      </c>
      <c r="Q591" s="7">
        <f t="shared" si="28"/>
        <v>2025</v>
      </c>
      <c r="R591" s="23">
        <f t="shared" si="29"/>
        <v>0.17878275570583266</v>
      </c>
    </row>
    <row r="592" spans="1:18">
      <c r="A592" s="7" t="s">
        <v>518</v>
      </c>
      <c r="B592" s="8">
        <v>46210</v>
      </c>
      <c r="C592" s="7" t="s">
        <v>519</v>
      </c>
      <c r="D592" s="7" t="s">
        <v>40</v>
      </c>
      <c r="E592" s="7" t="s">
        <v>33</v>
      </c>
      <c r="F592" s="7" t="s">
        <v>96</v>
      </c>
      <c r="G592" s="7">
        <v>3</v>
      </c>
      <c r="H592" s="18">
        <v>2811.51</v>
      </c>
      <c r="I592" s="22">
        <v>0.15</v>
      </c>
      <c r="J592" s="18">
        <v>7169.35</v>
      </c>
      <c r="K592" s="18">
        <v>4386.75</v>
      </c>
      <c r="L592" s="18">
        <v>2782.6</v>
      </c>
      <c r="M592" s="7" t="s">
        <v>35</v>
      </c>
      <c r="N592" s="7" t="s">
        <v>36</v>
      </c>
      <c r="O592" s="7" t="s">
        <v>44</v>
      </c>
      <c r="P592" s="7" t="str">
        <f t="shared" si="27"/>
        <v>Jul</v>
      </c>
      <c r="Q592" s="7">
        <f t="shared" si="28"/>
        <v>2026</v>
      </c>
      <c r="R592" s="23">
        <f t="shared" si="29"/>
        <v>0.38812444642819777</v>
      </c>
    </row>
    <row r="593" spans="1:18">
      <c r="A593" s="7" t="s">
        <v>483</v>
      </c>
      <c r="B593" s="8">
        <v>45891</v>
      </c>
      <c r="C593" s="7" t="s">
        <v>484</v>
      </c>
      <c r="D593" s="7" t="s">
        <v>74</v>
      </c>
      <c r="E593" s="7" t="s">
        <v>33</v>
      </c>
      <c r="F593" s="7" t="s">
        <v>96</v>
      </c>
      <c r="G593" s="7">
        <v>6</v>
      </c>
      <c r="H593" s="18">
        <v>2811.82</v>
      </c>
      <c r="I593" s="22">
        <v>0</v>
      </c>
      <c r="J593" s="18">
        <v>16870.919999999998</v>
      </c>
      <c r="K593" s="18">
        <v>11838.73</v>
      </c>
      <c r="L593" s="18">
        <v>5032.1899999999996</v>
      </c>
      <c r="M593" s="7" t="s">
        <v>35</v>
      </c>
      <c r="N593" s="7" t="s">
        <v>71</v>
      </c>
      <c r="O593" s="7" t="s">
        <v>44</v>
      </c>
      <c r="P593" s="7" t="str">
        <f t="shared" si="27"/>
        <v>Aug</v>
      </c>
      <c r="Q593" s="7">
        <f t="shared" si="28"/>
        <v>2025</v>
      </c>
      <c r="R593" s="23">
        <f t="shared" si="29"/>
        <v>0.29827596835264469</v>
      </c>
    </row>
    <row r="594" spans="1:18">
      <c r="A594" s="7" t="s">
        <v>1484</v>
      </c>
      <c r="B594" s="8">
        <v>46216</v>
      </c>
      <c r="C594" s="7" t="s">
        <v>1088</v>
      </c>
      <c r="D594" s="7" t="s">
        <v>134</v>
      </c>
      <c r="E594" s="7" t="s">
        <v>41</v>
      </c>
      <c r="F594" s="7" t="s">
        <v>119</v>
      </c>
      <c r="G594" s="7">
        <v>2</v>
      </c>
      <c r="H594" s="18">
        <v>2812.92</v>
      </c>
      <c r="I594" s="22">
        <v>0.2</v>
      </c>
      <c r="J594" s="18">
        <v>4500.67</v>
      </c>
      <c r="K594" s="18">
        <v>2924.06</v>
      </c>
      <c r="L594" s="18">
        <v>1576.61</v>
      </c>
      <c r="M594" s="7" t="s">
        <v>57</v>
      </c>
      <c r="N594" s="7" t="s">
        <v>71</v>
      </c>
      <c r="O594" s="7" t="s">
        <v>44</v>
      </c>
      <c r="P594" s="7" t="str">
        <f t="shared" si="27"/>
        <v>Jul</v>
      </c>
      <c r="Q594" s="7">
        <f t="shared" si="28"/>
        <v>2026</v>
      </c>
      <c r="R594" s="23">
        <f t="shared" si="29"/>
        <v>0.35030562116307123</v>
      </c>
    </row>
    <row r="595" spans="1:18">
      <c r="A595" s="7" t="s">
        <v>371</v>
      </c>
      <c r="B595" s="8">
        <v>46130</v>
      </c>
      <c r="C595" s="7" t="s">
        <v>372</v>
      </c>
      <c r="D595" s="7" t="s">
        <v>60</v>
      </c>
      <c r="E595" s="7" t="s">
        <v>33</v>
      </c>
      <c r="F595" s="7" t="s">
        <v>96</v>
      </c>
      <c r="G595" s="7">
        <v>3</v>
      </c>
      <c r="H595" s="18">
        <v>2815.59</v>
      </c>
      <c r="I595" s="22">
        <v>0.1</v>
      </c>
      <c r="J595" s="18">
        <v>7602.09</v>
      </c>
      <c r="K595" s="18">
        <v>6263.6</v>
      </c>
      <c r="L595" s="18">
        <v>1338.49</v>
      </c>
      <c r="M595" s="7" t="s">
        <v>57</v>
      </c>
      <c r="N595" s="7" t="s">
        <v>71</v>
      </c>
      <c r="O595" s="7" t="s">
        <v>44</v>
      </c>
      <c r="P595" s="7" t="str">
        <f t="shared" si="27"/>
        <v>Apr</v>
      </c>
      <c r="Q595" s="7">
        <f t="shared" si="28"/>
        <v>2026</v>
      </c>
      <c r="R595" s="23">
        <f t="shared" si="29"/>
        <v>0.17606868637440493</v>
      </c>
    </row>
    <row r="596" spans="1:18">
      <c r="A596" s="7" t="s">
        <v>125</v>
      </c>
      <c r="B596" s="8">
        <v>45856</v>
      </c>
      <c r="C596" s="7" t="s">
        <v>123</v>
      </c>
      <c r="D596" s="7" t="s">
        <v>66</v>
      </c>
      <c r="E596" s="7" t="s">
        <v>48</v>
      </c>
      <c r="F596" s="7" t="s">
        <v>49</v>
      </c>
      <c r="G596" s="7">
        <v>5</v>
      </c>
      <c r="H596" s="18">
        <v>2821.29</v>
      </c>
      <c r="I596" s="22">
        <v>0</v>
      </c>
      <c r="J596" s="18">
        <v>14106.45</v>
      </c>
      <c r="K596" s="18">
        <v>10700.9</v>
      </c>
      <c r="L596" s="18">
        <v>3405.55</v>
      </c>
      <c r="M596" s="7" t="s">
        <v>35</v>
      </c>
      <c r="N596" s="7" t="s">
        <v>71</v>
      </c>
      <c r="O596" s="7" t="s">
        <v>44</v>
      </c>
      <c r="P596" s="7" t="str">
        <f t="shared" si="27"/>
        <v>Jul</v>
      </c>
      <c r="Q596" s="7">
        <f t="shared" si="28"/>
        <v>2025</v>
      </c>
      <c r="R596" s="23">
        <f t="shared" si="29"/>
        <v>0.24141793293138955</v>
      </c>
    </row>
    <row r="597" spans="1:18">
      <c r="A597" s="7" t="s">
        <v>1601</v>
      </c>
      <c r="B597" s="8">
        <v>46071</v>
      </c>
      <c r="C597" s="7" t="s">
        <v>1602</v>
      </c>
      <c r="D597" s="7" t="s">
        <v>32</v>
      </c>
      <c r="E597" s="7" t="s">
        <v>33</v>
      </c>
      <c r="F597" s="7" t="s">
        <v>92</v>
      </c>
      <c r="G597" s="7">
        <v>2</v>
      </c>
      <c r="H597" s="18">
        <v>2823.31</v>
      </c>
      <c r="I597" s="22">
        <v>0.15</v>
      </c>
      <c r="J597" s="18">
        <v>4799.63</v>
      </c>
      <c r="K597" s="18">
        <v>3063.37</v>
      </c>
      <c r="L597" s="18">
        <v>1736.26</v>
      </c>
      <c r="M597" s="7" t="s">
        <v>35</v>
      </c>
      <c r="N597" s="7" t="s">
        <v>43</v>
      </c>
      <c r="O597" s="7" t="s">
        <v>37</v>
      </c>
      <c r="P597" s="7" t="str">
        <f t="shared" si="27"/>
        <v>Feb</v>
      </c>
      <c r="Q597" s="7">
        <f t="shared" si="28"/>
        <v>2026</v>
      </c>
      <c r="R597" s="23">
        <f t="shared" si="29"/>
        <v>0.36174871813035586</v>
      </c>
    </row>
    <row r="598" spans="1:18">
      <c r="A598" s="7" t="s">
        <v>563</v>
      </c>
      <c r="B598" s="8">
        <v>46200</v>
      </c>
      <c r="C598" s="7" t="s">
        <v>564</v>
      </c>
      <c r="D598" s="7" t="s">
        <v>66</v>
      </c>
      <c r="E598" s="7" t="s">
        <v>48</v>
      </c>
      <c r="F598" s="7" t="s">
        <v>99</v>
      </c>
      <c r="G598" s="7">
        <v>3</v>
      </c>
      <c r="H598" s="18">
        <v>2828.98</v>
      </c>
      <c r="I598" s="22">
        <v>0.05</v>
      </c>
      <c r="J598" s="18">
        <v>8062.59</v>
      </c>
      <c r="K598" s="18">
        <v>6722.25</v>
      </c>
      <c r="L598" s="18">
        <v>1340.34</v>
      </c>
      <c r="M598" s="7" t="s">
        <v>57</v>
      </c>
      <c r="N598" s="7" t="s">
        <v>43</v>
      </c>
      <c r="O598" s="7" t="s">
        <v>44</v>
      </c>
      <c r="P598" s="7" t="str">
        <f t="shared" si="27"/>
        <v>Jun</v>
      </c>
      <c r="Q598" s="7">
        <f t="shared" si="28"/>
        <v>2026</v>
      </c>
      <c r="R598" s="23">
        <f t="shared" si="29"/>
        <v>0.16624186520708606</v>
      </c>
    </row>
    <row r="599" spans="1:18">
      <c r="A599" s="7" t="s">
        <v>301</v>
      </c>
      <c r="B599" s="8">
        <v>46030</v>
      </c>
      <c r="C599" s="7" t="s">
        <v>302</v>
      </c>
      <c r="D599" s="7" t="s">
        <v>95</v>
      </c>
      <c r="E599" s="7" t="s">
        <v>33</v>
      </c>
      <c r="F599" s="7" t="s">
        <v>34</v>
      </c>
      <c r="G599" s="7">
        <v>4</v>
      </c>
      <c r="H599" s="18">
        <v>2834.26</v>
      </c>
      <c r="I599" s="22">
        <v>0.15</v>
      </c>
      <c r="J599" s="18">
        <v>9636.48</v>
      </c>
      <c r="K599" s="18">
        <v>6720.78</v>
      </c>
      <c r="L599" s="18">
        <v>2915.7</v>
      </c>
      <c r="M599" s="7" t="s">
        <v>35</v>
      </c>
      <c r="N599" s="7" t="s">
        <v>36</v>
      </c>
      <c r="O599" s="7" t="s">
        <v>44</v>
      </c>
      <c r="P599" s="7" t="str">
        <f t="shared" si="27"/>
        <v>Jan</v>
      </c>
      <c r="Q599" s="7">
        <f t="shared" si="28"/>
        <v>2026</v>
      </c>
      <c r="R599" s="23">
        <f t="shared" si="29"/>
        <v>0.30256898784618447</v>
      </c>
    </row>
    <row r="600" spans="1:18">
      <c r="A600" s="7" t="s">
        <v>1496</v>
      </c>
      <c r="B600" s="8">
        <v>45878</v>
      </c>
      <c r="C600" s="7" t="s">
        <v>228</v>
      </c>
      <c r="D600" s="7" t="s">
        <v>66</v>
      </c>
      <c r="E600" s="7" t="s">
        <v>48</v>
      </c>
      <c r="F600" s="7" t="s">
        <v>102</v>
      </c>
      <c r="G600" s="7">
        <v>3</v>
      </c>
      <c r="H600" s="18">
        <v>2841.7</v>
      </c>
      <c r="I600" s="22">
        <v>0.2</v>
      </c>
      <c r="J600" s="18">
        <v>6820.08</v>
      </c>
      <c r="K600" s="18">
        <v>4780.7700000000004</v>
      </c>
      <c r="L600" s="18">
        <v>2039.31</v>
      </c>
      <c r="M600" s="7" t="s">
        <v>57</v>
      </c>
      <c r="N600" s="7" t="s">
        <v>63</v>
      </c>
      <c r="O600" s="7" t="s">
        <v>44</v>
      </c>
      <c r="P600" s="7" t="str">
        <f t="shared" si="27"/>
        <v>Aug</v>
      </c>
      <c r="Q600" s="7">
        <f t="shared" si="28"/>
        <v>2025</v>
      </c>
      <c r="R600" s="23">
        <f t="shared" si="29"/>
        <v>0.299015554069747</v>
      </c>
    </row>
    <row r="601" spans="1:18">
      <c r="A601" s="7" t="s">
        <v>1518</v>
      </c>
      <c r="B601" s="8">
        <v>46138</v>
      </c>
      <c r="C601" s="7" t="s">
        <v>1519</v>
      </c>
      <c r="D601" s="7" t="s">
        <v>74</v>
      </c>
      <c r="E601" s="7" t="s">
        <v>61</v>
      </c>
      <c r="F601" s="7" t="s">
        <v>129</v>
      </c>
      <c r="G601" s="7">
        <v>1</v>
      </c>
      <c r="H601" s="18">
        <v>2842.82</v>
      </c>
      <c r="I601" s="22">
        <v>0.1</v>
      </c>
      <c r="J601" s="18">
        <v>2558.54</v>
      </c>
      <c r="K601" s="18">
        <v>2103.02</v>
      </c>
      <c r="L601" s="18">
        <v>455.52</v>
      </c>
      <c r="M601" s="7" t="s">
        <v>35</v>
      </c>
      <c r="N601" s="7" t="s">
        <v>36</v>
      </c>
      <c r="O601" s="7" t="s">
        <v>44</v>
      </c>
      <c r="P601" s="7" t="str">
        <f t="shared" si="27"/>
        <v>Apr</v>
      </c>
      <c r="Q601" s="7">
        <f t="shared" si="28"/>
        <v>2026</v>
      </c>
      <c r="R601" s="23">
        <f t="shared" si="29"/>
        <v>0.17803903788879594</v>
      </c>
    </row>
    <row r="602" spans="1:18">
      <c r="A602" s="7" t="s">
        <v>1694</v>
      </c>
      <c r="B602" s="8">
        <v>45951</v>
      </c>
      <c r="C602" s="7" t="s">
        <v>676</v>
      </c>
      <c r="D602" s="7" t="s">
        <v>52</v>
      </c>
      <c r="E602" s="7" t="s">
        <v>41</v>
      </c>
      <c r="F602" s="7" t="s">
        <v>119</v>
      </c>
      <c r="G602" s="7">
        <v>4</v>
      </c>
      <c r="H602" s="18">
        <v>2843.35</v>
      </c>
      <c r="I602" s="22">
        <v>0.1</v>
      </c>
      <c r="J602" s="18">
        <v>10236.06</v>
      </c>
      <c r="K602" s="18">
        <v>6818.92</v>
      </c>
      <c r="L602" s="18">
        <v>3417.14</v>
      </c>
      <c r="M602" s="7" t="s">
        <v>35</v>
      </c>
      <c r="N602" s="7" t="s">
        <v>43</v>
      </c>
      <c r="O602" s="7" t="s">
        <v>44</v>
      </c>
      <c r="P602" s="7" t="str">
        <f t="shared" si="27"/>
        <v>Oct</v>
      </c>
      <c r="Q602" s="7">
        <f t="shared" si="28"/>
        <v>2025</v>
      </c>
      <c r="R602" s="23">
        <f t="shared" si="29"/>
        <v>0.33383352579019665</v>
      </c>
    </row>
    <row r="603" spans="1:18">
      <c r="A603" s="7" t="s">
        <v>1679</v>
      </c>
      <c r="B603" s="8">
        <v>45865</v>
      </c>
      <c r="C603" s="7" t="s">
        <v>1680</v>
      </c>
      <c r="D603" s="7" t="s">
        <v>74</v>
      </c>
      <c r="E603" s="7" t="s">
        <v>41</v>
      </c>
      <c r="F603" s="7" t="s">
        <v>124</v>
      </c>
      <c r="G603" s="7">
        <v>1</v>
      </c>
      <c r="H603" s="18">
        <v>2845.8</v>
      </c>
      <c r="I603" s="22">
        <v>0.1</v>
      </c>
      <c r="J603" s="18">
        <v>2561.2199999999998</v>
      </c>
      <c r="K603" s="18">
        <v>1505.42</v>
      </c>
      <c r="L603" s="18">
        <v>1055.8</v>
      </c>
      <c r="M603" s="7" t="s">
        <v>57</v>
      </c>
      <c r="N603" s="7" t="s">
        <v>36</v>
      </c>
      <c r="O603" s="7" t="s">
        <v>44</v>
      </c>
      <c r="P603" s="7" t="str">
        <f t="shared" si="27"/>
        <v>Jul</v>
      </c>
      <c r="Q603" s="7">
        <f t="shared" si="28"/>
        <v>2025</v>
      </c>
      <c r="R603" s="23">
        <f t="shared" si="29"/>
        <v>0.4122254238214601</v>
      </c>
    </row>
    <row r="604" spans="1:18">
      <c r="A604" s="7" t="s">
        <v>355</v>
      </c>
      <c r="B604" s="8">
        <v>45864</v>
      </c>
      <c r="C604" s="7" t="s">
        <v>76</v>
      </c>
      <c r="D604" s="7" t="s">
        <v>66</v>
      </c>
      <c r="E604" s="7" t="s">
        <v>48</v>
      </c>
      <c r="F604" s="7" t="s">
        <v>102</v>
      </c>
      <c r="G604" s="7">
        <v>5</v>
      </c>
      <c r="H604" s="18">
        <v>2847.18</v>
      </c>
      <c r="I604" s="22">
        <v>0</v>
      </c>
      <c r="J604" s="18">
        <v>14235.9</v>
      </c>
      <c r="K604" s="18">
        <v>10717.74</v>
      </c>
      <c r="L604" s="18">
        <v>3518.16</v>
      </c>
      <c r="M604" s="7" t="s">
        <v>35</v>
      </c>
      <c r="N604" s="7" t="s">
        <v>43</v>
      </c>
      <c r="O604" s="7" t="s">
        <v>44</v>
      </c>
      <c r="P604" s="7" t="str">
        <f t="shared" si="27"/>
        <v>Jul</v>
      </c>
      <c r="Q604" s="7">
        <f t="shared" si="28"/>
        <v>2025</v>
      </c>
      <c r="R604" s="23">
        <f t="shared" si="29"/>
        <v>0.2471329526057362</v>
      </c>
    </row>
    <row r="605" spans="1:18">
      <c r="A605" s="7" t="s">
        <v>645</v>
      </c>
      <c r="B605" s="8">
        <v>46200</v>
      </c>
      <c r="C605" s="7" t="s">
        <v>646</v>
      </c>
      <c r="D605" s="7" t="s">
        <v>66</v>
      </c>
      <c r="E605" s="7" t="s">
        <v>48</v>
      </c>
      <c r="F605" s="7" t="s">
        <v>102</v>
      </c>
      <c r="G605" s="7">
        <v>2</v>
      </c>
      <c r="H605" s="18">
        <v>2850.17</v>
      </c>
      <c r="I605" s="22">
        <v>0.2</v>
      </c>
      <c r="J605" s="18">
        <v>4560.2700000000004</v>
      </c>
      <c r="K605" s="18">
        <v>3643.54</v>
      </c>
      <c r="L605" s="18">
        <v>916.73</v>
      </c>
      <c r="M605" s="7" t="s">
        <v>35</v>
      </c>
      <c r="N605" s="7" t="s">
        <v>71</v>
      </c>
      <c r="O605" s="7" t="s">
        <v>44</v>
      </c>
      <c r="P605" s="7" t="str">
        <f t="shared" si="27"/>
        <v>Jun</v>
      </c>
      <c r="Q605" s="7">
        <f t="shared" si="28"/>
        <v>2026</v>
      </c>
      <c r="R605" s="23">
        <f t="shared" si="29"/>
        <v>0.20102537788332706</v>
      </c>
    </row>
    <row r="606" spans="1:18">
      <c r="A606" s="7" t="s">
        <v>935</v>
      </c>
      <c r="B606" s="8">
        <v>46022</v>
      </c>
      <c r="C606" s="7" t="s">
        <v>936</v>
      </c>
      <c r="D606" s="7" t="s">
        <v>95</v>
      </c>
      <c r="E606" s="7" t="s">
        <v>48</v>
      </c>
      <c r="F606" s="7" t="s">
        <v>99</v>
      </c>
      <c r="G606" s="7">
        <v>6</v>
      </c>
      <c r="H606" s="18">
        <v>2851.97</v>
      </c>
      <c r="I606" s="22">
        <v>0.05</v>
      </c>
      <c r="J606" s="18">
        <v>16256.23</v>
      </c>
      <c r="K606" s="18">
        <v>12647.79</v>
      </c>
      <c r="L606" s="18">
        <v>3608.44</v>
      </c>
      <c r="M606" s="7" t="s">
        <v>35</v>
      </c>
      <c r="N606" s="7" t="s">
        <v>43</v>
      </c>
      <c r="O606" s="7" t="s">
        <v>37</v>
      </c>
      <c r="P606" s="7" t="str">
        <f t="shared" si="27"/>
        <v>Dec</v>
      </c>
      <c r="Q606" s="7">
        <f t="shared" si="28"/>
        <v>2025</v>
      </c>
      <c r="R606" s="23">
        <f t="shared" si="29"/>
        <v>0.22197274521829477</v>
      </c>
    </row>
    <row r="607" spans="1:18">
      <c r="A607" s="7" t="s">
        <v>1043</v>
      </c>
      <c r="B607" s="8">
        <v>45888</v>
      </c>
      <c r="C607" s="7" t="s">
        <v>661</v>
      </c>
      <c r="D607" s="7" t="s">
        <v>66</v>
      </c>
      <c r="E607" s="7" t="s">
        <v>33</v>
      </c>
      <c r="F607" s="7" t="s">
        <v>96</v>
      </c>
      <c r="G607" s="7">
        <v>3</v>
      </c>
      <c r="H607" s="18">
        <v>2861.44</v>
      </c>
      <c r="I607" s="22">
        <v>0.1</v>
      </c>
      <c r="J607" s="18">
        <v>7725.89</v>
      </c>
      <c r="K607" s="18">
        <v>5773.87</v>
      </c>
      <c r="L607" s="18">
        <v>1952.02</v>
      </c>
      <c r="M607" s="7" t="s">
        <v>35</v>
      </c>
      <c r="N607" s="7" t="s">
        <v>43</v>
      </c>
      <c r="O607" s="7" t="s">
        <v>44</v>
      </c>
      <c r="P607" s="7" t="str">
        <f t="shared" si="27"/>
        <v>Aug</v>
      </c>
      <c r="Q607" s="7">
        <f t="shared" si="28"/>
        <v>2025</v>
      </c>
      <c r="R607" s="23">
        <f t="shared" si="29"/>
        <v>0.25265956414083035</v>
      </c>
    </row>
    <row r="608" spans="1:18">
      <c r="A608" s="7" t="s">
        <v>1047</v>
      </c>
      <c r="B608" s="8">
        <v>45755</v>
      </c>
      <c r="C608" s="7" t="s">
        <v>1048</v>
      </c>
      <c r="D608" s="7" t="s">
        <v>56</v>
      </c>
      <c r="E608" s="7" t="s">
        <v>48</v>
      </c>
      <c r="F608" s="7" t="s">
        <v>99</v>
      </c>
      <c r="G608" s="7">
        <v>2</v>
      </c>
      <c r="H608" s="18">
        <v>2866.5</v>
      </c>
      <c r="I608" s="22">
        <v>0.05</v>
      </c>
      <c r="J608" s="18">
        <v>5446.35</v>
      </c>
      <c r="K608" s="18">
        <v>3636.74</v>
      </c>
      <c r="L608" s="18">
        <v>1809.61</v>
      </c>
      <c r="M608" s="7" t="s">
        <v>57</v>
      </c>
      <c r="N608" s="7" t="s">
        <v>71</v>
      </c>
      <c r="O608" s="7" t="s">
        <v>37</v>
      </c>
      <c r="P608" s="7" t="str">
        <f t="shared" si="27"/>
        <v>Apr</v>
      </c>
      <c r="Q608" s="7">
        <f t="shared" si="28"/>
        <v>2025</v>
      </c>
      <c r="R608" s="23">
        <f t="shared" si="29"/>
        <v>0.33226105556932622</v>
      </c>
    </row>
    <row r="609" spans="1:18">
      <c r="A609" s="7" t="s">
        <v>1476</v>
      </c>
      <c r="B609" s="8">
        <v>45748</v>
      </c>
      <c r="C609" s="7" t="s">
        <v>1073</v>
      </c>
      <c r="D609" s="7" t="s">
        <v>40</v>
      </c>
      <c r="E609" s="7" t="s">
        <v>61</v>
      </c>
      <c r="F609" s="7" t="s">
        <v>62</v>
      </c>
      <c r="G609" s="7">
        <v>1</v>
      </c>
      <c r="H609" s="18">
        <v>2870.89</v>
      </c>
      <c r="I609" s="22">
        <v>0.05</v>
      </c>
      <c r="J609" s="18">
        <v>2727.35</v>
      </c>
      <c r="K609" s="18">
        <v>1510</v>
      </c>
      <c r="L609" s="18">
        <v>1217.3499999999999</v>
      </c>
      <c r="M609" s="7" t="s">
        <v>35</v>
      </c>
      <c r="N609" s="7" t="s">
        <v>43</v>
      </c>
      <c r="O609" s="7" t="s">
        <v>44</v>
      </c>
      <c r="P609" s="7" t="str">
        <f t="shared" si="27"/>
        <v>Apr</v>
      </c>
      <c r="Q609" s="7">
        <f t="shared" si="28"/>
        <v>2025</v>
      </c>
      <c r="R609" s="23">
        <f t="shared" si="29"/>
        <v>0.44634902011109684</v>
      </c>
    </row>
    <row r="610" spans="1:18">
      <c r="A610" s="7" t="s">
        <v>691</v>
      </c>
      <c r="B610" s="8">
        <v>45703</v>
      </c>
      <c r="C610" s="7" t="s">
        <v>692</v>
      </c>
      <c r="D610" s="7" t="s">
        <v>95</v>
      </c>
      <c r="E610" s="7" t="s">
        <v>48</v>
      </c>
      <c r="F610" s="7" t="s">
        <v>49</v>
      </c>
      <c r="G610" s="7">
        <v>5</v>
      </c>
      <c r="H610" s="18">
        <v>2882.7</v>
      </c>
      <c r="I610" s="22">
        <v>0.2</v>
      </c>
      <c r="J610" s="18">
        <v>11530.8</v>
      </c>
      <c r="K610" s="18">
        <v>6490.76</v>
      </c>
      <c r="L610" s="18">
        <v>5040.04</v>
      </c>
      <c r="M610" s="7" t="s">
        <v>35</v>
      </c>
      <c r="N610" s="7" t="s">
        <v>43</v>
      </c>
      <c r="O610" s="7" t="s">
        <v>44</v>
      </c>
      <c r="P610" s="7" t="str">
        <f t="shared" si="27"/>
        <v>Feb</v>
      </c>
      <c r="Q610" s="7">
        <f t="shared" si="28"/>
        <v>2025</v>
      </c>
      <c r="R610" s="23">
        <f t="shared" si="29"/>
        <v>0.43709369688139593</v>
      </c>
    </row>
    <row r="611" spans="1:18">
      <c r="A611" s="7" t="s">
        <v>1291</v>
      </c>
      <c r="B611" s="8">
        <v>45693</v>
      </c>
      <c r="C611" s="7" t="s">
        <v>341</v>
      </c>
      <c r="D611" s="7" t="s">
        <v>40</v>
      </c>
      <c r="E611" s="7" t="s">
        <v>61</v>
      </c>
      <c r="F611" s="7" t="s">
        <v>84</v>
      </c>
      <c r="G611" s="7">
        <v>2</v>
      </c>
      <c r="H611" s="18">
        <v>2885.01</v>
      </c>
      <c r="I611" s="22">
        <v>0</v>
      </c>
      <c r="J611" s="18">
        <v>5770.02</v>
      </c>
      <c r="K611" s="18">
        <v>3444.14</v>
      </c>
      <c r="L611" s="18">
        <v>2325.88</v>
      </c>
      <c r="M611" s="7" t="s">
        <v>35</v>
      </c>
      <c r="N611" s="7" t="s">
        <v>43</v>
      </c>
      <c r="O611" s="7" t="s">
        <v>37</v>
      </c>
      <c r="P611" s="7" t="str">
        <f t="shared" si="27"/>
        <v>Feb</v>
      </c>
      <c r="Q611" s="7">
        <f t="shared" si="28"/>
        <v>2025</v>
      </c>
      <c r="R611" s="23">
        <f t="shared" si="29"/>
        <v>0.40309738961043462</v>
      </c>
    </row>
    <row r="612" spans="1:18">
      <c r="A612" s="7" t="s">
        <v>719</v>
      </c>
      <c r="B612" s="8">
        <v>45762</v>
      </c>
      <c r="C612" s="7" t="s">
        <v>628</v>
      </c>
      <c r="D612" s="7" t="s">
        <v>60</v>
      </c>
      <c r="E612" s="7" t="s">
        <v>33</v>
      </c>
      <c r="F612" s="7" t="s">
        <v>176</v>
      </c>
      <c r="G612" s="7">
        <v>5</v>
      </c>
      <c r="H612" s="18">
        <v>2885.07</v>
      </c>
      <c r="I612" s="22">
        <v>0</v>
      </c>
      <c r="J612" s="18">
        <v>14425.35</v>
      </c>
      <c r="K612" s="18">
        <v>11471.18</v>
      </c>
      <c r="L612" s="18">
        <v>2954.17</v>
      </c>
      <c r="M612" s="7" t="s">
        <v>57</v>
      </c>
      <c r="N612" s="7" t="s">
        <v>63</v>
      </c>
      <c r="O612" s="7" t="s">
        <v>44</v>
      </c>
      <c r="P612" s="7" t="str">
        <f t="shared" si="27"/>
        <v>Apr</v>
      </c>
      <c r="Q612" s="7">
        <f t="shared" si="28"/>
        <v>2025</v>
      </c>
      <c r="R612" s="23">
        <f t="shared" si="29"/>
        <v>0.2047901784012173</v>
      </c>
    </row>
    <row r="613" spans="1:18">
      <c r="A613" s="7" t="s">
        <v>90</v>
      </c>
      <c r="B613" s="8">
        <v>45886</v>
      </c>
      <c r="C613" s="7" t="s">
        <v>91</v>
      </c>
      <c r="D613" s="7" t="s">
        <v>56</v>
      </c>
      <c r="E613" s="7" t="s">
        <v>33</v>
      </c>
      <c r="F613" s="7" t="s">
        <v>92</v>
      </c>
      <c r="G613" s="7">
        <v>4</v>
      </c>
      <c r="H613" s="18">
        <v>2886.63</v>
      </c>
      <c r="I613" s="22">
        <v>0.1</v>
      </c>
      <c r="J613" s="18">
        <v>10391.870000000001</v>
      </c>
      <c r="K613" s="18">
        <v>6678.99</v>
      </c>
      <c r="L613" s="18">
        <v>3712.88</v>
      </c>
      <c r="M613" s="7" t="s">
        <v>35</v>
      </c>
      <c r="N613" s="7" t="s">
        <v>36</v>
      </c>
      <c r="O613" s="7" t="s">
        <v>44</v>
      </c>
      <c r="P613" s="7" t="str">
        <f t="shared" si="27"/>
        <v>Aug</v>
      </c>
      <c r="Q613" s="7">
        <f t="shared" si="28"/>
        <v>2025</v>
      </c>
      <c r="R613" s="23">
        <f t="shared" si="29"/>
        <v>0.35728699454477392</v>
      </c>
    </row>
    <row r="614" spans="1:18">
      <c r="A614" s="7" t="s">
        <v>842</v>
      </c>
      <c r="B614" s="8">
        <v>46258</v>
      </c>
      <c r="C614" s="7" t="s">
        <v>843</v>
      </c>
      <c r="D614" s="7" t="s">
        <v>134</v>
      </c>
      <c r="E614" s="7" t="s">
        <v>41</v>
      </c>
      <c r="F614" s="7" t="s">
        <v>119</v>
      </c>
      <c r="G614" s="7">
        <v>6</v>
      </c>
      <c r="H614" s="18">
        <v>2897.18</v>
      </c>
      <c r="I614" s="22">
        <v>0</v>
      </c>
      <c r="J614" s="18">
        <v>17383.080000000002</v>
      </c>
      <c r="K614" s="18">
        <v>10561.77</v>
      </c>
      <c r="L614" s="18">
        <v>6821.31</v>
      </c>
      <c r="M614" s="7" t="s">
        <v>35</v>
      </c>
      <c r="N614" s="7" t="s">
        <v>43</v>
      </c>
      <c r="O614" s="7" t="s">
        <v>44</v>
      </c>
      <c r="P614" s="7" t="str">
        <f t="shared" si="27"/>
        <v>Aug</v>
      </c>
      <c r="Q614" s="7">
        <f t="shared" si="28"/>
        <v>2026</v>
      </c>
      <c r="R614" s="23">
        <f t="shared" si="29"/>
        <v>0.39241089611277169</v>
      </c>
    </row>
    <row r="615" spans="1:18">
      <c r="A615" s="7" t="s">
        <v>660</v>
      </c>
      <c r="B615" s="8">
        <v>45738</v>
      </c>
      <c r="C615" s="7" t="s">
        <v>661</v>
      </c>
      <c r="D615" s="7" t="s">
        <v>60</v>
      </c>
      <c r="E615" s="7" t="s">
        <v>41</v>
      </c>
      <c r="F615" s="7" t="s">
        <v>124</v>
      </c>
      <c r="G615" s="7">
        <v>6</v>
      </c>
      <c r="H615" s="18">
        <v>2903.59</v>
      </c>
      <c r="I615" s="22">
        <v>0.05</v>
      </c>
      <c r="J615" s="18">
        <v>16550.46</v>
      </c>
      <c r="K615" s="18">
        <v>9501.82</v>
      </c>
      <c r="L615" s="18">
        <v>7048.64</v>
      </c>
      <c r="M615" s="7" t="s">
        <v>35</v>
      </c>
      <c r="N615" s="7" t="s">
        <v>71</v>
      </c>
      <c r="O615" s="7" t="s">
        <v>44</v>
      </c>
      <c r="P615" s="7" t="str">
        <f t="shared" si="27"/>
        <v>Mar</v>
      </c>
      <c r="Q615" s="7">
        <f t="shared" si="28"/>
        <v>2025</v>
      </c>
      <c r="R615" s="23">
        <f t="shared" si="29"/>
        <v>0.42588786051868049</v>
      </c>
    </row>
    <row r="616" spans="1:18">
      <c r="A616" s="7" t="s">
        <v>275</v>
      </c>
      <c r="B616" s="8">
        <v>46145</v>
      </c>
      <c r="C616" s="7" t="s">
        <v>276</v>
      </c>
      <c r="D616" s="7" t="s">
        <v>56</v>
      </c>
      <c r="E616" s="7" t="s">
        <v>33</v>
      </c>
      <c r="F616" s="7" t="s">
        <v>96</v>
      </c>
      <c r="G616" s="7">
        <v>2</v>
      </c>
      <c r="H616" s="18">
        <v>2903.88</v>
      </c>
      <c r="I616" s="22">
        <v>0.1</v>
      </c>
      <c r="J616" s="18">
        <v>5226.9799999999996</v>
      </c>
      <c r="K616" s="18">
        <v>3435.87</v>
      </c>
      <c r="L616" s="18">
        <v>1791.11</v>
      </c>
      <c r="M616" s="7" t="s">
        <v>57</v>
      </c>
      <c r="N616" s="7" t="s">
        <v>63</v>
      </c>
      <c r="O616" s="7" t="s">
        <v>44</v>
      </c>
      <c r="P616" s="7" t="str">
        <f t="shared" si="27"/>
        <v>May</v>
      </c>
      <c r="Q616" s="7">
        <f t="shared" si="28"/>
        <v>2026</v>
      </c>
      <c r="R616" s="23">
        <f t="shared" si="29"/>
        <v>0.34266631974868855</v>
      </c>
    </row>
    <row r="617" spans="1:18">
      <c r="A617" s="7" t="s">
        <v>485</v>
      </c>
      <c r="B617" s="8">
        <v>45676</v>
      </c>
      <c r="C617" s="7" t="s">
        <v>486</v>
      </c>
      <c r="D617" s="7" t="s">
        <v>32</v>
      </c>
      <c r="E617" s="7" t="s">
        <v>41</v>
      </c>
      <c r="F617" s="7" t="s">
        <v>153</v>
      </c>
      <c r="G617" s="7">
        <v>5</v>
      </c>
      <c r="H617" s="18">
        <v>2905.27</v>
      </c>
      <c r="I617" s="22">
        <v>0.2</v>
      </c>
      <c r="J617" s="18">
        <v>11621.08</v>
      </c>
      <c r="K617" s="18">
        <v>7472.35</v>
      </c>
      <c r="L617" s="18">
        <v>4148.7299999999996</v>
      </c>
      <c r="M617" s="7" t="s">
        <v>57</v>
      </c>
      <c r="N617" s="7" t="s">
        <v>63</v>
      </c>
      <c r="O617" s="7" t="s">
        <v>44</v>
      </c>
      <c r="P617" s="7" t="str">
        <f t="shared" si="27"/>
        <v>Jan</v>
      </c>
      <c r="Q617" s="7">
        <f t="shared" si="28"/>
        <v>2025</v>
      </c>
      <c r="R617" s="23">
        <f t="shared" si="29"/>
        <v>0.35700038206431756</v>
      </c>
    </row>
    <row r="618" spans="1:18">
      <c r="A618" s="7" t="s">
        <v>1615</v>
      </c>
      <c r="B618" s="8">
        <v>45872</v>
      </c>
      <c r="C618" s="7" t="s">
        <v>133</v>
      </c>
      <c r="D618" s="7" t="s">
        <v>56</v>
      </c>
      <c r="E618" s="7" t="s">
        <v>41</v>
      </c>
      <c r="F618" s="7" t="s">
        <v>153</v>
      </c>
      <c r="G618" s="7">
        <v>2</v>
      </c>
      <c r="H618" s="18">
        <v>2910.39</v>
      </c>
      <c r="I618" s="22">
        <v>0.05</v>
      </c>
      <c r="J618" s="18">
        <v>5529.74</v>
      </c>
      <c r="K618" s="18">
        <v>4174.0200000000004</v>
      </c>
      <c r="L618" s="18">
        <v>1355.72</v>
      </c>
      <c r="M618" s="7" t="s">
        <v>57</v>
      </c>
      <c r="N618" s="7" t="s">
        <v>63</v>
      </c>
      <c r="O618" s="7" t="s">
        <v>44</v>
      </c>
      <c r="P618" s="7" t="str">
        <f t="shared" si="27"/>
        <v>Aug</v>
      </c>
      <c r="Q618" s="7">
        <f t="shared" si="28"/>
        <v>2025</v>
      </c>
      <c r="R618" s="23">
        <f t="shared" si="29"/>
        <v>0.24516885061503799</v>
      </c>
    </row>
    <row r="619" spans="1:18">
      <c r="A619" s="7" t="s">
        <v>1161</v>
      </c>
      <c r="B619" s="8">
        <v>46184</v>
      </c>
      <c r="C619" s="7" t="s">
        <v>1032</v>
      </c>
      <c r="D619" s="7" t="s">
        <v>66</v>
      </c>
      <c r="E619" s="7" t="s">
        <v>61</v>
      </c>
      <c r="F619" s="7" t="s">
        <v>129</v>
      </c>
      <c r="G619" s="7">
        <v>6</v>
      </c>
      <c r="H619" s="18">
        <v>2912.47</v>
      </c>
      <c r="I619" s="22">
        <v>0.15</v>
      </c>
      <c r="J619" s="18">
        <v>14853.6</v>
      </c>
      <c r="K619" s="18">
        <v>11565.79</v>
      </c>
      <c r="L619" s="18">
        <v>3287.81</v>
      </c>
      <c r="M619" s="7" t="s">
        <v>35</v>
      </c>
      <c r="N619" s="7" t="s">
        <v>43</v>
      </c>
      <c r="O619" s="7" t="s">
        <v>44</v>
      </c>
      <c r="P619" s="7" t="str">
        <f t="shared" si="27"/>
        <v>Jun</v>
      </c>
      <c r="Q619" s="7">
        <f t="shared" si="28"/>
        <v>2026</v>
      </c>
      <c r="R619" s="23">
        <f t="shared" si="29"/>
        <v>0.22134768675607258</v>
      </c>
    </row>
    <row r="620" spans="1:18">
      <c r="A620" s="7" t="s">
        <v>1571</v>
      </c>
      <c r="B620" s="8">
        <v>45933</v>
      </c>
      <c r="C620" s="7" t="s">
        <v>515</v>
      </c>
      <c r="D620" s="7" t="s">
        <v>32</v>
      </c>
      <c r="E620" s="7" t="s">
        <v>41</v>
      </c>
      <c r="F620" s="7" t="s">
        <v>124</v>
      </c>
      <c r="G620" s="7">
        <v>1</v>
      </c>
      <c r="H620" s="18">
        <v>2913.2</v>
      </c>
      <c r="I620" s="22">
        <v>0.1</v>
      </c>
      <c r="J620" s="18">
        <v>2621.88</v>
      </c>
      <c r="K620" s="18">
        <v>1944.37</v>
      </c>
      <c r="L620" s="18">
        <v>677.51</v>
      </c>
      <c r="M620" s="7" t="s">
        <v>57</v>
      </c>
      <c r="N620" s="7" t="s">
        <v>36</v>
      </c>
      <c r="O620" s="7" t="s">
        <v>44</v>
      </c>
      <c r="P620" s="7" t="str">
        <f t="shared" si="27"/>
        <v>Oct</v>
      </c>
      <c r="Q620" s="7">
        <f t="shared" si="28"/>
        <v>2025</v>
      </c>
      <c r="R620" s="23">
        <f t="shared" si="29"/>
        <v>0.25840618182372954</v>
      </c>
    </row>
    <row r="621" spans="1:18">
      <c r="A621" s="7" t="s">
        <v>673</v>
      </c>
      <c r="B621" s="8">
        <v>45856</v>
      </c>
      <c r="C621" s="7" t="s">
        <v>674</v>
      </c>
      <c r="D621" s="7" t="s">
        <v>95</v>
      </c>
      <c r="E621" s="7" t="s">
        <v>48</v>
      </c>
      <c r="F621" s="7" t="s">
        <v>99</v>
      </c>
      <c r="G621" s="7">
        <v>1</v>
      </c>
      <c r="H621" s="18">
        <v>2917.49</v>
      </c>
      <c r="I621" s="22">
        <v>0</v>
      </c>
      <c r="J621" s="18">
        <v>2917.49</v>
      </c>
      <c r="K621" s="18">
        <v>2216.3000000000002</v>
      </c>
      <c r="L621" s="18">
        <v>701.19</v>
      </c>
      <c r="M621" s="7" t="s">
        <v>35</v>
      </c>
      <c r="N621" s="7" t="s">
        <v>36</v>
      </c>
      <c r="O621" s="7" t="s">
        <v>37</v>
      </c>
      <c r="P621" s="7" t="str">
        <f t="shared" si="27"/>
        <v>Jul</v>
      </c>
      <c r="Q621" s="7">
        <f t="shared" si="28"/>
        <v>2025</v>
      </c>
      <c r="R621" s="23">
        <f t="shared" si="29"/>
        <v>0.24034015540755926</v>
      </c>
    </row>
    <row r="622" spans="1:18">
      <c r="A622" s="7" t="s">
        <v>549</v>
      </c>
      <c r="B622" s="8">
        <v>45821</v>
      </c>
      <c r="C622" s="7" t="s">
        <v>550</v>
      </c>
      <c r="D622" s="7" t="s">
        <v>32</v>
      </c>
      <c r="E622" s="7" t="s">
        <v>61</v>
      </c>
      <c r="F622" s="7" t="s">
        <v>129</v>
      </c>
      <c r="G622" s="7">
        <v>5</v>
      </c>
      <c r="H622" s="18">
        <v>2921.22</v>
      </c>
      <c r="I622" s="22">
        <v>0.05</v>
      </c>
      <c r="J622" s="18">
        <v>13875.79</v>
      </c>
      <c r="K622" s="18">
        <v>8923.7900000000009</v>
      </c>
      <c r="L622" s="18">
        <v>4952</v>
      </c>
      <c r="M622" s="7" t="s">
        <v>35</v>
      </c>
      <c r="N622" s="7" t="s">
        <v>71</v>
      </c>
      <c r="O622" s="7" t="s">
        <v>44</v>
      </c>
      <c r="P622" s="7" t="str">
        <f t="shared" si="27"/>
        <v>Jun</v>
      </c>
      <c r="Q622" s="7">
        <f t="shared" si="28"/>
        <v>2025</v>
      </c>
      <c r="R622" s="23">
        <f t="shared" si="29"/>
        <v>0.35688058121375427</v>
      </c>
    </row>
    <row r="623" spans="1:18">
      <c r="A623" s="7" t="s">
        <v>494</v>
      </c>
      <c r="B623" s="8">
        <v>46189</v>
      </c>
      <c r="C623" s="7" t="s">
        <v>186</v>
      </c>
      <c r="D623" s="7" t="s">
        <v>95</v>
      </c>
      <c r="E623" s="7" t="s">
        <v>33</v>
      </c>
      <c r="F623" s="7" t="s">
        <v>96</v>
      </c>
      <c r="G623" s="7">
        <v>1</v>
      </c>
      <c r="H623" s="18">
        <v>2924.17</v>
      </c>
      <c r="I623" s="22">
        <v>0.1</v>
      </c>
      <c r="J623" s="18">
        <v>2631.75</v>
      </c>
      <c r="K623" s="18">
        <v>2103.08</v>
      </c>
      <c r="L623" s="18">
        <v>528.66999999999996</v>
      </c>
      <c r="M623" s="7" t="s">
        <v>35</v>
      </c>
      <c r="N623" s="7" t="s">
        <v>43</v>
      </c>
      <c r="O623" s="7" t="s">
        <v>44</v>
      </c>
      <c r="P623" s="7" t="str">
        <f t="shared" si="27"/>
        <v>Jun</v>
      </c>
      <c r="Q623" s="7">
        <f t="shared" si="28"/>
        <v>2026</v>
      </c>
      <c r="R623" s="23">
        <f t="shared" si="29"/>
        <v>0.2008815426997245</v>
      </c>
    </row>
    <row r="624" spans="1:18">
      <c r="A624" s="7" t="s">
        <v>1675</v>
      </c>
      <c r="B624" s="8">
        <v>46212</v>
      </c>
      <c r="C624" s="7" t="s">
        <v>517</v>
      </c>
      <c r="D624" s="7" t="s">
        <v>74</v>
      </c>
      <c r="E624" s="7" t="s">
        <v>48</v>
      </c>
      <c r="F624" s="7" t="s">
        <v>113</v>
      </c>
      <c r="G624" s="7">
        <v>3</v>
      </c>
      <c r="H624" s="18">
        <v>2926.74</v>
      </c>
      <c r="I624" s="22">
        <v>0</v>
      </c>
      <c r="J624" s="18">
        <v>8780.2199999999993</v>
      </c>
      <c r="K624" s="18">
        <v>7021.7</v>
      </c>
      <c r="L624" s="18">
        <v>1758.52</v>
      </c>
      <c r="M624" s="7" t="s">
        <v>57</v>
      </c>
      <c r="N624" s="7" t="s">
        <v>43</v>
      </c>
      <c r="O624" s="7" t="s">
        <v>44</v>
      </c>
      <c r="P624" s="7" t="str">
        <f t="shared" si="27"/>
        <v>Jul</v>
      </c>
      <c r="Q624" s="7">
        <f t="shared" si="28"/>
        <v>2026</v>
      </c>
      <c r="R624" s="23">
        <f t="shared" si="29"/>
        <v>0.20028199748981235</v>
      </c>
    </row>
    <row r="625" spans="1:18">
      <c r="A625" s="7" t="s">
        <v>1591</v>
      </c>
      <c r="B625" s="8">
        <v>45751</v>
      </c>
      <c r="C625" s="7" t="s">
        <v>1592</v>
      </c>
      <c r="D625" s="7" t="s">
        <v>47</v>
      </c>
      <c r="E625" s="7" t="s">
        <v>41</v>
      </c>
      <c r="F625" s="7" t="s">
        <v>119</v>
      </c>
      <c r="G625" s="7">
        <v>6</v>
      </c>
      <c r="H625" s="18">
        <v>2929.72</v>
      </c>
      <c r="I625" s="22">
        <v>0</v>
      </c>
      <c r="J625" s="18">
        <v>17578.32</v>
      </c>
      <c r="K625" s="18">
        <v>11178.14</v>
      </c>
      <c r="L625" s="18">
        <v>6400.18</v>
      </c>
      <c r="M625" s="7" t="s">
        <v>35</v>
      </c>
      <c r="N625" s="7" t="s">
        <v>63</v>
      </c>
      <c r="O625" s="7" t="s">
        <v>44</v>
      </c>
      <c r="P625" s="7" t="str">
        <f t="shared" si="27"/>
        <v>Apr</v>
      </c>
      <c r="Q625" s="7">
        <f t="shared" si="28"/>
        <v>2025</v>
      </c>
      <c r="R625" s="23">
        <f t="shared" si="29"/>
        <v>0.36409508986069206</v>
      </c>
    </row>
    <row r="626" spans="1:18">
      <c r="A626" s="7" t="s">
        <v>1295</v>
      </c>
      <c r="B626" s="8">
        <v>46095</v>
      </c>
      <c r="C626" s="7" t="s">
        <v>674</v>
      </c>
      <c r="D626" s="7" t="s">
        <v>95</v>
      </c>
      <c r="E626" s="7" t="s">
        <v>41</v>
      </c>
      <c r="F626" s="7" t="s">
        <v>119</v>
      </c>
      <c r="G626" s="7">
        <v>4</v>
      </c>
      <c r="H626" s="18">
        <v>2938.23</v>
      </c>
      <c r="I626" s="22">
        <v>0.05</v>
      </c>
      <c r="J626" s="18">
        <v>11165.27</v>
      </c>
      <c r="K626" s="18">
        <v>7899.23</v>
      </c>
      <c r="L626" s="18">
        <v>3266.04</v>
      </c>
      <c r="M626" s="7" t="s">
        <v>35</v>
      </c>
      <c r="N626" s="7" t="s">
        <v>71</v>
      </c>
      <c r="O626" s="7" t="s">
        <v>44</v>
      </c>
      <c r="P626" s="7" t="str">
        <f t="shared" si="27"/>
        <v>Mar</v>
      </c>
      <c r="Q626" s="7">
        <f t="shared" si="28"/>
        <v>2026</v>
      </c>
      <c r="R626" s="23">
        <f t="shared" si="29"/>
        <v>0.29251778058210859</v>
      </c>
    </row>
    <row r="627" spans="1:18">
      <c r="A627" s="7" t="s">
        <v>1057</v>
      </c>
      <c r="B627" s="8">
        <v>45823</v>
      </c>
      <c r="C627" s="7" t="s">
        <v>1058</v>
      </c>
      <c r="D627" s="7" t="s">
        <v>56</v>
      </c>
      <c r="E627" s="7" t="s">
        <v>33</v>
      </c>
      <c r="F627" s="7" t="s">
        <v>92</v>
      </c>
      <c r="G627" s="7">
        <v>5</v>
      </c>
      <c r="H627" s="18">
        <v>2955.3</v>
      </c>
      <c r="I627" s="22">
        <v>0.15</v>
      </c>
      <c r="J627" s="18">
        <v>12560.02</v>
      </c>
      <c r="K627" s="18">
        <v>8564.4599999999991</v>
      </c>
      <c r="L627" s="18">
        <v>3995.56</v>
      </c>
      <c r="M627" s="7" t="s">
        <v>57</v>
      </c>
      <c r="N627" s="7" t="s">
        <v>43</v>
      </c>
      <c r="O627" s="7" t="s">
        <v>44</v>
      </c>
      <c r="P627" s="7" t="str">
        <f t="shared" si="27"/>
        <v>Jun</v>
      </c>
      <c r="Q627" s="7">
        <f t="shared" si="28"/>
        <v>2025</v>
      </c>
      <c r="R627" s="23">
        <f t="shared" si="29"/>
        <v>0.31811732783864993</v>
      </c>
    </row>
    <row r="628" spans="1:18">
      <c r="A628" s="7" t="s">
        <v>1117</v>
      </c>
      <c r="B628" s="8">
        <v>45727</v>
      </c>
      <c r="C628" s="7" t="s">
        <v>914</v>
      </c>
      <c r="D628" s="7" t="s">
        <v>134</v>
      </c>
      <c r="E628" s="7" t="s">
        <v>61</v>
      </c>
      <c r="F628" s="7" t="s">
        <v>62</v>
      </c>
      <c r="G628" s="7">
        <v>2</v>
      </c>
      <c r="H628" s="18">
        <v>2956.41</v>
      </c>
      <c r="I628" s="22">
        <v>0.1</v>
      </c>
      <c r="J628" s="18">
        <v>5321.54</v>
      </c>
      <c r="K628" s="18">
        <v>3984.55</v>
      </c>
      <c r="L628" s="18">
        <v>1336.99</v>
      </c>
      <c r="M628" s="7" t="s">
        <v>35</v>
      </c>
      <c r="N628" s="7" t="s">
        <v>36</v>
      </c>
      <c r="O628" s="7" t="s">
        <v>44</v>
      </c>
      <c r="P628" s="7" t="str">
        <f t="shared" si="27"/>
        <v>Mar</v>
      </c>
      <c r="Q628" s="7">
        <f t="shared" si="28"/>
        <v>2025</v>
      </c>
      <c r="R628" s="23">
        <f t="shared" si="29"/>
        <v>0.25124118206383866</v>
      </c>
    </row>
    <row r="629" spans="1:18">
      <c r="A629" s="7" t="s">
        <v>697</v>
      </c>
      <c r="B629" s="8">
        <v>45978</v>
      </c>
      <c r="C629" s="7" t="s">
        <v>542</v>
      </c>
      <c r="D629" s="7" t="s">
        <v>74</v>
      </c>
      <c r="E629" s="7" t="s">
        <v>48</v>
      </c>
      <c r="F629" s="7" t="s">
        <v>99</v>
      </c>
      <c r="G629" s="7">
        <v>5</v>
      </c>
      <c r="H629" s="18">
        <v>2970.79</v>
      </c>
      <c r="I629" s="22">
        <v>0.05</v>
      </c>
      <c r="J629" s="18">
        <v>14111.25</v>
      </c>
      <c r="K629" s="18">
        <v>10371.620000000001</v>
      </c>
      <c r="L629" s="18">
        <v>3739.63</v>
      </c>
      <c r="M629" s="7" t="s">
        <v>57</v>
      </c>
      <c r="N629" s="7" t="s">
        <v>71</v>
      </c>
      <c r="O629" s="7" t="s">
        <v>37</v>
      </c>
      <c r="P629" s="7" t="str">
        <f t="shared" si="27"/>
        <v>Nov</v>
      </c>
      <c r="Q629" s="7">
        <f t="shared" si="28"/>
        <v>2025</v>
      </c>
      <c r="R629" s="23">
        <f t="shared" si="29"/>
        <v>0.26501054123483037</v>
      </c>
    </row>
    <row r="630" spans="1:18">
      <c r="A630" s="7" t="s">
        <v>1137</v>
      </c>
      <c r="B630" s="8">
        <v>45909</v>
      </c>
      <c r="C630" s="7" t="s">
        <v>754</v>
      </c>
      <c r="D630" s="7" t="s">
        <v>56</v>
      </c>
      <c r="E630" s="7" t="s">
        <v>33</v>
      </c>
      <c r="F630" s="7" t="s">
        <v>34</v>
      </c>
      <c r="G630" s="7">
        <v>6</v>
      </c>
      <c r="H630" s="18">
        <v>2972.07</v>
      </c>
      <c r="I630" s="22">
        <v>0</v>
      </c>
      <c r="J630" s="18">
        <v>17832.419999999998</v>
      </c>
      <c r="K630" s="18">
        <v>12699.47</v>
      </c>
      <c r="L630" s="18">
        <v>5132.95</v>
      </c>
      <c r="M630" s="7" t="s">
        <v>35</v>
      </c>
      <c r="N630" s="7" t="s">
        <v>43</v>
      </c>
      <c r="O630" s="7" t="s">
        <v>44</v>
      </c>
      <c r="P630" s="7" t="str">
        <f t="shared" si="27"/>
        <v>Sep</v>
      </c>
      <c r="Q630" s="7">
        <f t="shared" si="28"/>
        <v>2025</v>
      </c>
      <c r="R630" s="23">
        <f t="shared" si="29"/>
        <v>0.28784371386497182</v>
      </c>
    </row>
    <row r="631" spans="1:18">
      <c r="A631" s="7" t="s">
        <v>696</v>
      </c>
      <c r="B631" s="8">
        <v>46029</v>
      </c>
      <c r="C631" s="7" t="s">
        <v>555</v>
      </c>
      <c r="D631" s="7" t="s">
        <v>47</v>
      </c>
      <c r="E631" s="7" t="s">
        <v>61</v>
      </c>
      <c r="F631" s="7" t="s">
        <v>89</v>
      </c>
      <c r="G631" s="7">
        <v>2</v>
      </c>
      <c r="H631" s="18">
        <v>2974.85</v>
      </c>
      <c r="I631" s="22">
        <v>0.05</v>
      </c>
      <c r="J631" s="18">
        <v>5652.21</v>
      </c>
      <c r="K631" s="18">
        <v>3132.45</v>
      </c>
      <c r="L631" s="18">
        <v>2519.7600000000002</v>
      </c>
      <c r="M631" s="7" t="s">
        <v>35</v>
      </c>
      <c r="N631" s="7" t="s">
        <v>71</v>
      </c>
      <c r="O631" s="7" t="s">
        <v>44</v>
      </c>
      <c r="P631" s="7" t="str">
        <f t="shared" si="27"/>
        <v>Jan</v>
      </c>
      <c r="Q631" s="7">
        <f t="shared" si="28"/>
        <v>2026</v>
      </c>
      <c r="R631" s="23">
        <f t="shared" si="29"/>
        <v>0.44580084604075226</v>
      </c>
    </row>
    <row r="632" spans="1:18">
      <c r="A632" s="7" t="s">
        <v>1074</v>
      </c>
      <c r="B632" s="8">
        <v>46192</v>
      </c>
      <c r="C632" s="7" t="s">
        <v>341</v>
      </c>
      <c r="D632" s="7" t="s">
        <v>74</v>
      </c>
      <c r="E632" s="7" t="s">
        <v>48</v>
      </c>
      <c r="F632" s="7" t="s">
        <v>113</v>
      </c>
      <c r="G632" s="7">
        <v>4</v>
      </c>
      <c r="H632" s="18">
        <v>2979.35</v>
      </c>
      <c r="I632" s="22">
        <v>0</v>
      </c>
      <c r="J632" s="18">
        <v>11917.4</v>
      </c>
      <c r="K632" s="18">
        <v>7970.89</v>
      </c>
      <c r="L632" s="18">
        <v>3946.51</v>
      </c>
      <c r="M632" s="7" t="s">
        <v>57</v>
      </c>
      <c r="N632" s="7" t="s">
        <v>36</v>
      </c>
      <c r="O632" s="7" t="s">
        <v>44</v>
      </c>
      <c r="P632" s="7" t="str">
        <f t="shared" si="27"/>
        <v>Jun</v>
      </c>
      <c r="Q632" s="7">
        <f t="shared" si="28"/>
        <v>2026</v>
      </c>
      <c r="R632" s="23">
        <f t="shared" si="29"/>
        <v>0.33115528554886137</v>
      </c>
    </row>
    <row r="633" spans="1:18">
      <c r="A633" s="7" t="s">
        <v>1096</v>
      </c>
      <c r="B633" s="8">
        <v>45758</v>
      </c>
      <c r="C633" s="7" t="s">
        <v>449</v>
      </c>
      <c r="D633" s="7" t="s">
        <v>52</v>
      </c>
      <c r="E633" s="7" t="s">
        <v>41</v>
      </c>
      <c r="F633" s="7" t="s">
        <v>119</v>
      </c>
      <c r="G633" s="7">
        <v>1</v>
      </c>
      <c r="H633" s="18">
        <v>2980.2</v>
      </c>
      <c r="I633" s="22">
        <v>0.2</v>
      </c>
      <c r="J633" s="18">
        <v>2384.16</v>
      </c>
      <c r="K633" s="18">
        <v>1716.04</v>
      </c>
      <c r="L633" s="18">
        <v>668.12</v>
      </c>
      <c r="M633" s="7" t="s">
        <v>35</v>
      </c>
      <c r="N633" s="7" t="s">
        <v>63</v>
      </c>
      <c r="O633" s="7" t="s">
        <v>37</v>
      </c>
      <c r="P633" s="7" t="str">
        <f t="shared" si="27"/>
        <v>Apr</v>
      </c>
      <c r="Q633" s="7">
        <f t="shared" si="28"/>
        <v>2025</v>
      </c>
      <c r="R633" s="23">
        <f t="shared" si="29"/>
        <v>0.28023287027716265</v>
      </c>
    </row>
    <row r="634" spans="1:18">
      <c r="A634" s="7" t="s">
        <v>761</v>
      </c>
      <c r="B634" s="8">
        <v>46129</v>
      </c>
      <c r="C634" s="7" t="s">
        <v>762</v>
      </c>
      <c r="D634" s="7" t="s">
        <v>74</v>
      </c>
      <c r="E634" s="7" t="s">
        <v>61</v>
      </c>
      <c r="F634" s="7" t="s">
        <v>89</v>
      </c>
      <c r="G634" s="7">
        <v>6</v>
      </c>
      <c r="H634" s="18">
        <v>2990.69</v>
      </c>
      <c r="I634" s="22">
        <v>0.2</v>
      </c>
      <c r="J634" s="18">
        <v>14355.31</v>
      </c>
      <c r="K634" s="18">
        <v>8218.82</v>
      </c>
      <c r="L634" s="18">
        <v>6136.49</v>
      </c>
      <c r="M634" s="7" t="s">
        <v>35</v>
      </c>
      <c r="N634" s="7" t="s">
        <v>63</v>
      </c>
      <c r="O634" s="7" t="s">
        <v>37</v>
      </c>
      <c r="P634" s="7" t="str">
        <f t="shared" si="27"/>
        <v>Apr</v>
      </c>
      <c r="Q634" s="7">
        <f t="shared" si="28"/>
        <v>2026</v>
      </c>
      <c r="R634" s="23">
        <f t="shared" si="29"/>
        <v>0.42747178570159755</v>
      </c>
    </row>
    <row r="635" spans="1:18">
      <c r="A635" s="7" t="s">
        <v>1266</v>
      </c>
      <c r="B635" s="8">
        <v>45869</v>
      </c>
      <c r="C635" s="7" t="s">
        <v>1267</v>
      </c>
      <c r="D635" s="7" t="s">
        <v>74</v>
      </c>
      <c r="E635" s="7" t="s">
        <v>41</v>
      </c>
      <c r="F635" s="7" t="s">
        <v>42</v>
      </c>
      <c r="G635" s="7">
        <v>6</v>
      </c>
      <c r="H635" s="18">
        <v>2992.07</v>
      </c>
      <c r="I635" s="22">
        <v>0</v>
      </c>
      <c r="J635" s="18">
        <v>17952.419999999998</v>
      </c>
      <c r="K635" s="18">
        <v>11512.5</v>
      </c>
      <c r="L635" s="18">
        <v>6439.92</v>
      </c>
      <c r="M635" s="7" t="s">
        <v>35</v>
      </c>
      <c r="N635" s="7" t="s">
        <v>43</v>
      </c>
      <c r="O635" s="7" t="s">
        <v>44</v>
      </c>
      <c r="P635" s="7" t="str">
        <f t="shared" si="27"/>
        <v>Jul</v>
      </c>
      <c r="Q635" s="7">
        <f t="shared" si="28"/>
        <v>2025</v>
      </c>
      <c r="R635" s="23">
        <f t="shared" si="29"/>
        <v>0.35872155397433886</v>
      </c>
    </row>
    <row r="636" spans="1:18">
      <c r="A636" s="7" t="s">
        <v>728</v>
      </c>
      <c r="B636" s="8">
        <v>45879</v>
      </c>
      <c r="C636" s="7" t="s">
        <v>729</v>
      </c>
      <c r="D636" s="7" t="s">
        <v>60</v>
      </c>
      <c r="E636" s="7" t="s">
        <v>33</v>
      </c>
      <c r="F636" s="7" t="s">
        <v>96</v>
      </c>
      <c r="G636" s="7">
        <v>4</v>
      </c>
      <c r="H636" s="18">
        <v>2995.33</v>
      </c>
      <c r="I636" s="22">
        <v>0.05</v>
      </c>
      <c r="J636" s="18">
        <v>11382.25</v>
      </c>
      <c r="K636" s="18">
        <v>9444.16</v>
      </c>
      <c r="L636" s="18">
        <v>1938.09</v>
      </c>
      <c r="M636" s="7" t="s">
        <v>57</v>
      </c>
      <c r="N636" s="7" t="s">
        <v>43</v>
      </c>
      <c r="O636" s="7" t="s">
        <v>44</v>
      </c>
      <c r="P636" s="7" t="str">
        <f t="shared" si="27"/>
        <v>Aug</v>
      </c>
      <c r="Q636" s="7">
        <f t="shared" si="28"/>
        <v>2025</v>
      </c>
      <c r="R636" s="23">
        <f t="shared" si="29"/>
        <v>0.17027301280502535</v>
      </c>
    </row>
    <row r="637" spans="1:18">
      <c r="A637" s="7" t="s">
        <v>1665</v>
      </c>
      <c r="B637" s="8">
        <v>46165</v>
      </c>
      <c r="C637" s="7" t="s">
        <v>205</v>
      </c>
      <c r="D637" s="7" t="s">
        <v>95</v>
      </c>
      <c r="E637" s="7" t="s">
        <v>41</v>
      </c>
      <c r="F637" s="7" t="s">
        <v>119</v>
      </c>
      <c r="G637" s="7">
        <v>1</v>
      </c>
      <c r="H637" s="18">
        <v>2996.23</v>
      </c>
      <c r="I637" s="22">
        <v>0.15</v>
      </c>
      <c r="J637" s="18">
        <v>2546.8000000000002</v>
      </c>
      <c r="K637" s="18">
        <v>1683.01</v>
      </c>
      <c r="L637" s="18">
        <v>863.79</v>
      </c>
      <c r="M637" s="7" t="s">
        <v>35</v>
      </c>
      <c r="N637" s="7" t="s">
        <v>71</v>
      </c>
      <c r="O637" s="7" t="s">
        <v>44</v>
      </c>
      <c r="P637" s="7" t="str">
        <f t="shared" si="27"/>
        <v>May</v>
      </c>
      <c r="Q637" s="7">
        <f t="shared" si="28"/>
        <v>2026</v>
      </c>
      <c r="R637" s="23">
        <f t="shared" si="29"/>
        <v>0.33916679754986645</v>
      </c>
    </row>
    <row r="638" spans="1:18">
      <c r="A638" s="7" t="s">
        <v>975</v>
      </c>
      <c r="B638" s="8">
        <v>46262</v>
      </c>
      <c r="C638" s="7" t="s">
        <v>846</v>
      </c>
      <c r="D638" s="7" t="s">
        <v>60</v>
      </c>
      <c r="E638" s="7" t="s">
        <v>33</v>
      </c>
      <c r="F638" s="7" t="s">
        <v>92</v>
      </c>
      <c r="G638" s="7">
        <v>5</v>
      </c>
      <c r="H638" s="18">
        <v>2998.11</v>
      </c>
      <c r="I638" s="22">
        <v>0.2</v>
      </c>
      <c r="J638" s="18">
        <v>11992.44</v>
      </c>
      <c r="K638" s="18">
        <v>8450.7000000000007</v>
      </c>
      <c r="L638" s="18">
        <v>3541.74</v>
      </c>
      <c r="M638" s="7" t="s">
        <v>35</v>
      </c>
      <c r="N638" s="7" t="s">
        <v>71</v>
      </c>
      <c r="O638" s="7" t="s">
        <v>44</v>
      </c>
      <c r="P638" s="7" t="str">
        <f t="shared" si="27"/>
        <v>Aug</v>
      </c>
      <c r="Q638" s="7">
        <f t="shared" si="28"/>
        <v>2026</v>
      </c>
      <c r="R638" s="23">
        <f t="shared" si="29"/>
        <v>0.29533105856689712</v>
      </c>
    </row>
    <row r="639" spans="1:18">
      <c r="A639" s="7" t="s">
        <v>1105</v>
      </c>
      <c r="B639" s="8">
        <v>46006</v>
      </c>
      <c r="C639" s="7" t="s">
        <v>1066</v>
      </c>
      <c r="D639" s="7" t="s">
        <v>60</v>
      </c>
      <c r="E639" s="7" t="s">
        <v>41</v>
      </c>
      <c r="F639" s="7" t="s">
        <v>53</v>
      </c>
      <c r="G639" s="7">
        <v>5</v>
      </c>
      <c r="H639" s="18">
        <v>3000.17</v>
      </c>
      <c r="I639" s="22">
        <v>0</v>
      </c>
      <c r="J639" s="18">
        <v>15000.85</v>
      </c>
      <c r="K639" s="18">
        <v>8627.18</v>
      </c>
      <c r="L639" s="18">
        <v>6373.67</v>
      </c>
      <c r="M639" s="7" t="s">
        <v>35</v>
      </c>
      <c r="N639" s="7" t="s">
        <v>36</v>
      </c>
      <c r="O639" s="7" t="s">
        <v>44</v>
      </c>
      <c r="P639" s="7" t="str">
        <f t="shared" si="27"/>
        <v>Dec</v>
      </c>
      <c r="Q639" s="7">
        <f t="shared" si="28"/>
        <v>2025</v>
      </c>
      <c r="R639" s="23">
        <f t="shared" si="29"/>
        <v>0.42488725638880465</v>
      </c>
    </row>
    <row r="640" spans="1:18">
      <c r="A640" s="7" t="s">
        <v>567</v>
      </c>
      <c r="B640" s="8">
        <v>46058</v>
      </c>
      <c r="C640" s="7" t="s">
        <v>136</v>
      </c>
      <c r="D640" s="7" t="s">
        <v>60</v>
      </c>
      <c r="E640" s="7" t="s">
        <v>61</v>
      </c>
      <c r="F640" s="7" t="s">
        <v>84</v>
      </c>
      <c r="G640" s="7">
        <v>1</v>
      </c>
      <c r="H640" s="18">
        <v>3010.5</v>
      </c>
      <c r="I640" s="22">
        <v>0.1</v>
      </c>
      <c r="J640" s="18">
        <v>2709.45</v>
      </c>
      <c r="K640" s="18">
        <v>1784.68</v>
      </c>
      <c r="L640" s="18">
        <v>924.77</v>
      </c>
      <c r="M640" s="7" t="s">
        <v>35</v>
      </c>
      <c r="N640" s="7" t="s">
        <v>36</v>
      </c>
      <c r="O640" s="7" t="s">
        <v>44</v>
      </c>
      <c r="P640" s="7" t="str">
        <f t="shared" si="27"/>
        <v>Feb</v>
      </c>
      <c r="Q640" s="7">
        <f t="shared" si="28"/>
        <v>2026</v>
      </c>
      <c r="R640" s="23">
        <f t="shared" si="29"/>
        <v>0.34131281256343537</v>
      </c>
    </row>
    <row r="641" spans="1:18">
      <c r="A641" s="7" t="s">
        <v>709</v>
      </c>
      <c r="B641" s="8">
        <v>45792</v>
      </c>
      <c r="C641" s="7" t="s">
        <v>710</v>
      </c>
      <c r="D641" s="7" t="s">
        <v>40</v>
      </c>
      <c r="E641" s="7" t="s">
        <v>41</v>
      </c>
      <c r="F641" s="7" t="s">
        <v>153</v>
      </c>
      <c r="G641" s="7">
        <v>2</v>
      </c>
      <c r="H641" s="18">
        <v>3011.78</v>
      </c>
      <c r="I641" s="22">
        <v>0</v>
      </c>
      <c r="J641" s="18">
        <v>6023.56</v>
      </c>
      <c r="K641" s="18">
        <v>4856.4799999999996</v>
      </c>
      <c r="L641" s="18">
        <v>1167.08</v>
      </c>
      <c r="M641" s="7" t="s">
        <v>35</v>
      </c>
      <c r="N641" s="7" t="s">
        <v>43</v>
      </c>
      <c r="O641" s="7" t="s">
        <v>37</v>
      </c>
      <c r="P641" s="7" t="str">
        <f t="shared" si="27"/>
        <v>May</v>
      </c>
      <c r="Q641" s="7">
        <f t="shared" si="28"/>
        <v>2025</v>
      </c>
      <c r="R641" s="23">
        <f t="shared" si="29"/>
        <v>0.19375253172542481</v>
      </c>
    </row>
    <row r="642" spans="1:18">
      <c r="A642" s="7" t="s">
        <v>1727</v>
      </c>
      <c r="B642" s="8">
        <v>45718</v>
      </c>
      <c r="C642" s="7" t="s">
        <v>1412</v>
      </c>
      <c r="D642" s="7" t="s">
        <v>47</v>
      </c>
      <c r="E642" s="7" t="s">
        <v>61</v>
      </c>
      <c r="F642" s="7" t="s">
        <v>89</v>
      </c>
      <c r="G642" s="7">
        <v>3</v>
      </c>
      <c r="H642" s="18">
        <v>3014.27</v>
      </c>
      <c r="I642" s="22">
        <v>0.1</v>
      </c>
      <c r="J642" s="18">
        <v>8138.53</v>
      </c>
      <c r="K642" s="18">
        <v>6139.78</v>
      </c>
      <c r="L642" s="18">
        <v>1998.75</v>
      </c>
      <c r="M642" s="7" t="s">
        <v>35</v>
      </c>
      <c r="N642" s="7" t="s">
        <v>71</v>
      </c>
      <c r="O642" s="7" t="s">
        <v>44</v>
      </c>
      <c r="P642" s="7" t="str">
        <f t="shared" ref="P642:P705" si="30">TEXT(B642,"mmm")</f>
        <v>Mar</v>
      </c>
      <c r="Q642" s="7">
        <f t="shared" ref="Q642:Q705" si="31">YEAR(B642)</f>
        <v>2025</v>
      </c>
      <c r="R642" s="23">
        <f t="shared" ref="R642:R705" si="32">IFERROR(L642/J642,0)</f>
        <v>0.24559103425311452</v>
      </c>
    </row>
    <row r="643" spans="1:18">
      <c r="A643" s="7" t="s">
        <v>496</v>
      </c>
      <c r="B643" s="8">
        <v>45796</v>
      </c>
      <c r="C643" s="7" t="s">
        <v>497</v>
      </c>
      <c r="D643" s="7" t="s">
        <v>47</v>
      </c>
      <c r="E643" s="7" t="s">
        <v>33</v>
      </c>
      <c r="F643" s="7" t="s">
        <v>34</v>
      </c>
      <c r="G643" s="7">
        <v>3</v>
      </c>
      <c r="H643" s="18">
        <v>3016.76</v>
      </c>
      <c r="I643" s="22">
        <v>0</v>
      </c>
      <c r="J643" s="18">
        <v>9050.2800000000007</v>
      </c>
      <c r="K643" s="18">
        <v>5399.34</v>
      </c>
      <c r="L643" s="18">
        <v>3650.94</v>
      </c>
      <c r="M643" s="7" t="s">
        <v>57</v>
      </c>
      <c r="N643" s="7" t="s">
        <v>71</v>
      </c>
      <c r="O643" s="7" t="s">
        <v>37</v>
      </c>
      <c r="P643" s="7" t="str">
        <f t="shared" si="30"/>
        <v>May</v>
      </c>
      <c r="Q643" s="7">
        <f t="shared" si="31"/>
        <v>2025</v>
      </c>
      <c r="R643" s="23">
        <f t="shared" si="32"/>
        <v>0.4034063034513849</v>
      </c>
    </row>
    <row r="644" spans="1:18">
      <c r="A644" s="7" t="s">
        <v>1063</v>
      </c>
      <c r="B644" s="8">
        <v>46042</v>
      </c>
      <c r="C644" s="7" t="s">
        <v>470</v>
      </c>
      <c r="D644" s="7" t="s">
        <v>95</v>
      </c>
      <c r="E644" s="7" t="s">
        <v>33</v>
      </c>
      <c r="F644" s="7" t="s">
        <v>92</v>
      </c>
      <c r="G644" s="7">
        <v>3</v>
      </c>
      <c r="H644" s="18">
        <v>3022.35</v>
      </c>
      <c r="I644" s="22">
        <v>0</v>
      </c>
      <c r="J644" s="18">
        <v>9067.0499999999993</v>
      </c>
      <c r="K644" s="18">
        <v>6393.97</v>
      </c>
      <c r="L644" s="18">
        <v>2673.08</v>
      </c>
      <c r="M644" s="7" t="s">
        <v>35</v>
      </c>
      <c r="N644" s="7" t="s">
        <v>63</v>
      </c>
      <c r="O644" s="7" t="s">
        <v>44</v>
      </c>
      <c r="P644" s="7" t="str">
        <f t="shared" si="30"/>
        <v>Jan</v>
      </c>
      <c r="Q644" s="7">
        <f t="shared" si="31"/>
        <v>2026</v>
      </c>
      <c r="R644" s="23">
        <f t="shared" si="32"/>
        <v>0.29481253549941822</v>
      </c>
    </row>
    <row r="645" spans="1:18">
      <c r="A645" s="7" t="s">
        <v>1664</v>
      </c>
      <c r="B645" s="8">
        <v>46002</v>
      </c>
      <c r="C645" s="7" t="s">
        <v>527</v>
      </c>
      <c r="D645" s="7" t="s">
        <v>66</v>
      </c>
      <c r="E645" s="7" t="s">
        <v>48</v>
      </c>
      <c r="F645" s="7" t="s">
        <v>70</v>
      </c>
      <c r="G645" s="7">
        <v>5</v>
      </c>
      <c r="H645" s="18">
        <v>3023.35</v>
      </c>
      <c r="I645" s="22">
        <v>0.1</v>
      </c>
      <c r="J645" s="18">
        <v>13605.08</v>
      </c>
      <c r="K645" s="18">
        <v>11445.3</v>
      </c>
      <c r="L645" s="18">
        <v>2159.7800000000002</v>
      </c>
      <c r="M645" s="7" t="s">
        <v>35</v>
      </c>
      <c r="N645" s="7" t="s">
        <v>63</v>
      </c>
      <c r="O645" s="7" t="s">
        <v>44</v>
      </c>
      <c r="P645" s="7" t="str">
        <f t="shared" si="30"/>
        <v>Dec</v>
      </c>
      <c r="Q645" s="7">
        <f t="shared" si="31"/>
        <v>2025</v>
      </c>
      <c r="R645" s="23">
        <f t="shared" si="32"/>
        <v>0.15874805587324736</v>
      </c>
    </row>
    <row r="646" spans="1:18">
      <c r="A646" s="7" t="s">
        <v>819</v>
      </c>
      <c r="B646" s="8">
        <v>46019</v>
      </c>
      <c r="C646" s="7" t="s">
        <v>159</v>
      </c>
      <c r="D646" s="7" t="s">
        <v>47</v>
      </c>
      <c r="E646" s="7" t="s">
        <v>48</v>
      </c>
      <c r="F646" s="7" t="s">
        <v>99</v>
      </c>
      <c r="G646" s="7">
        <v>1</v>
      </c>
      <c r="H646" s="18">
        <v>3027.62</v>
      </c>
      <c r="I646" s="22">
        <v>0</v>
      </c>
      <c r="J646" s="18">
        <v>3027.62</v>
      </c>
      <c r="K646" s="18">
        <v>2257.0300000000002</v>
      </c>
      <c r="L646" s="18">
        <v>770.59</v>
      </c>
      <c r="M646" s="7" t="s">
        <v>35</v>
      </c>
      <c r="N646" s="7" t="s">
        <v>36</v>
      </c>
      <c r="O646" s="7" t="s">
        <v>44</v>
      </c>
      <c r="P646" s="7" t="str">
        <f t="shared" si="30"/>
        <v>Dec</v>
      </c>
      <c r="Q646" s="7">
        <f t="shared" si="31"/>
        <v>2025</v>
      </c>
      <c r="R646" s="23">
        <f t="shared" si="32"/>
        <v>0.25452005205408873</v>
      </c>
    </row>
    <row r="647" spans="1:18">
      <c r="A647" s="7" t="s">
        <v>1004</v>
      </c>
      <c r="B647" s="8">
        <v>45794</v>
      </c>
      <c r="C647" s="7" t="s">
        <v>474</v>
      </c>
      <c r="D647" s="7" t="s">
        <v>134</v>
      </c>
      <c r="E647" s="7" t="s">
        <v>33</v>
      </c>
      <c r="F647" s="7" t="s">
        <v>92</v>
      </c>
      <c r="G647" s="7">
        <v>6</v>
      </c>
      <c r="H647" s="18">
        <v>3030.83</v>
      </c>
      <c r="I647" s="22">
        <v>0</v>
      </c>
      <c r="J647" s="18">
        <v>18184.98</v>
      </c>
      <c r="K647" s="18">
        <v>15173.23</v>
      </c>
      <c r="L647" s="18">
        <v>3011.75</v>
      </c>
      <c r="M647" s="7" t="s">
        <v>57</v>
      </c>
      <c r="N647" s="7" t="s">
        <v>43</v>
      </c>
      <c r="O647" s="7" t="s">
        <v>37</v>
      </c>
      <c r="P647" s="7" t="str">
        <f t="shared" si="30"/>
        <v>May</v>
      </c>
      <c r="Q647" s="7">
        <f t="shared" si="31"/>
        <v>2025</v>
      </c>
      <c r="R647" s="23">
        <f t="shared" si="32"/>
        <v>0.16561744912559706</v>
      </c>
    </row>
    <row r="648" spans="1:18">
      <c r="A648" s="7" t="s">
        <v>107</v>
      </c>
      <c r="B648" s="8">
        <v>45682</v>
      </c>
      <c r="C648" s="7" t="s">
        <v>108</v>
      </c>
      <c r="D648" s="7" t="s">
        <v>60</v>
      </c>
      <c r="E648" s="7" t="s">
        <v>33</v>
      </c>
      <c r="F648" s="7" t="s">
        <v>92</v>
      </c>
      <c r="G648" s="7">
        <v>3</v>
      </c>
      <c r="H648" s="18">
        <v>3032.19</v>
      </c>
      <c r="I648" s="22">
        <v>0.2</v>
      </c>
      <c r="J648" s="18">
        <v>7277.26</v>
      </c>
      <c r="K648" s="18">
        <v>4780.34</v>
      </c>
      <c r="L648" s="18">
        <v>2496.92</v>
      </c>
      <c r="M648" s="7" t="s">
        <v>57</v>
      </c>
      <c r="N648" s="7" t="s">
        <v>36</v>
      </c>
      <c r="O648" s="7" t="s">
        <v>44</v>
      </c>
      <c r="P648" s="7" t="str">
        <f t="shared" si="30"/>
        <v>Jan</v>
      </c>
      <c r="Q648" s="7">
        <f t="shared" si="31"/>
        <v>2025</v>
      </c>
      <c r="R648" s="23">
        <f t="shared" si="32"/>
        <v>0.34311265503774774</v>
      </c>
    </row>
    <row r="649" spans="1:18">
      <c r="A649" s="7" t="s">
        <v>733</v>
      </c>
      <c r="B649" s="8">
        <v>46208</v>
      </c>
      <c r="C649" s="7" t="s">
        <v>734</v>
      </c>
      <c r="D649" s="7" t="s">
        <v>74</v>
      </c>
      <c r="E649" s="7" t="s">
        <v>61</v>
      </c>
      <c r="F649" s="7" t="s">
        <v>84</v>
      </c>
      <c r="G649" s="7">
        <v>5</v>
      </c>
      <c r="H649" s="18">
        <v>3037.65</v>
      </c>
      <c r="I649" s="22">
        <v>0.2</v>
      </c>
      <c r="J649" s="18">
        <v>12150.6</v>
      </c>
      <c r="K649" s="18">
        <v>7063.26</v>
      </c>
      <c r="L649" s="18">
        <v>5087.34</v>
      </c>
      <c r="M649" s="7" t="s">
        <v>35</v>
      </c>
      <c r="N649" s="7" t="s">
        <v>63</v>
      </c>
      <c r="O649" s="7" t="s">
        <v>44</v>
      </c>
      <c r="P649" s="7" t="str">
        <f t="shared" si="30"/>
        <v>Jul</v>
      </c>
      <c r="Q649" s="7">
        <f t="shared" si="31"/>
        <v>2026</v>
      </c>
      <c r="R649" s="23">
        <f t="shared" si="32"/>
        <v>0.41869043504024495</v>
      </c>
    </row>
    <row r="650" spans="1:18">
      <c r="A650" s="7" t="s">
        <v>753</v>
      </c>
      <c r="B650" s="8">
        <v>46050</v>
      </c>
      <c r="C650" s="7" t="s">
        <v>754</v>
      </c>
      <c r="D650" s="7" t="s">
        <v>52</v>
      </c>
      <c r="E650" s="7" t="s">
        <v>41</v>
      </c>
      <c r="F650" s="7" t="s">
        <v>42</v>
      </c>
      <c r="G650" s="7">
        <v>4</v>
      </c>
      <c r="H650" s="18">
        <v>3059.16</v>
      </c>
      <c r="I650" s="22">
        <v>0.05</v>
      </c>
      <c r="J650" s="18">
        <v>11624.81</v>
      </c>
      <c r="K650" s="18">
        <v>9291</v>
      </c>
      <c r="L650" s="18">
        <v>2333.81</v>
      </c>
      <c r="M650" s="7" t="s">
        <v>57</v>
      </c>
      <c r="N650" s="7" t="s">
        <v>63</v>
      </c>
      <c r="O650" s="7" t="s">
        <v>44</v>
      </c>
      <c r="P650" s="7" t="str">
        <f t="shared" si="30"/>
        <v>Jan</v>
      </c>
      <c r="Q650" s="7">
        <f t="shared" si="31"/>
        <v>2026</v>
      </c>
      <c r="R650" s="23">
        <f t="shared" si="32"/>
        <v>0.20076113071955584</v>
      </c>
    </row>
    <row r="651" spans="1:18">
      <c r="A651" s="7" t="s">
        <v>1451</v>
      </c>
      <c r="B651" s="8">
        <v>46173</v>
      </c>
      <c r="C651" s="7" t="s">
        <v>88</v>
      </c>
      <c r="D651" s="7" t="s">
        <v>40</v>
      </c>
      <c r="E651" s="7" t="s">
        <v>61</v>
      </c>
      <c r="F651" s="7" t="s">
        <v>81</v>
      </c>
      <c r="G651" s="7">
        <v>1</v>
      </c>
      <c r="H651" s="18">
        <v>3066.62</v>
      </c>
      <c r="I651" s="22">
        <v>0.1</v>
      </c>
      <c r="J651" s="18">
        <v>2759.96</v>
      </c>
      <c r="K651" s="18">
        <v>1714.51</v>
      </c>
      <c r="L651" s="18">
        <v>1045.45</v>
      </c>
      <c r="M651" s="7" t="s">
        <v>57</v>
      </c>
      <c r="N651" s="7" t="s">
        <v>36</v>
      </c>
      <c r="O651" s="7" t="s">
        <v>44</v>
      </c>
      <c r="P651" s="7" t="str">
        <f t="shared" si="30"/>
        <v>May</v>
      </c>
      <c r="Q651" s="7">
        <f t="shared" si="31"/>
        <v>2026</v>
      </c>
      <c r="R651" s="23">
        <f t="shared" si="32"/>
        <v>0.37879172161915392</v>
      </c>
    </row>
    <row r="652" spans="1:18">
      <c r="A652" s="7" t="s">
        <v>185</v>
      </c>
      <c r="B652" s="8">
        <v>46014</v>
      </c>
      <c r="C652" s="7" t="s">
        <v>186</v>
      </c>
      <c r="D652" s="7" t="s">
        <v>60</v>
      </c>
      <c r="E652" s="7" t="s">
        <v>41</v>
      </c>
      <c r="F652" s="7" t="s">
        <v>119</v>
      </c>
      <c r="G652" s="7">
        <v>5</v>
      </c>
      <c r="H652" s="18">
        <v>3088.11</v>
      </c>
      <c r="I652" s="22">
        <v>0.05</v>
      </c>
      <c r="J652" s="18">
        <v>14668.52</v>
      </c>
      <c r="K652" s="18">
        <v>8948.7999999999993</v>
      </c>
      <c r="L652" s="18">
        <v>5719.72</v>
      </c>
      <c r="M652" s="7" t="s">
        <v>35</v>
      </c>
      <c r="N652" s="7" t="s">
        <v>36</v>
      </c>
      <c r="O652" s="7" t="s">
        <v>44</v>
      </c>
      <c r="P652" s="7" t="str">
        <f t="shared" si="30"/>
        <v>Dec</v>
      </c>
      <c r="Q652" s="7">
        <f t="shared" si="31"/>
        <v>2025</v>
      </c>
      <c r="R652" s="23">
        <f t="shared" si="32"/>
        <v>0.38993163591146213</v>
      </c>
    </row>
    <row r="653" spans="1:18">
      <c r="A653" s="7" t="s">
        <v>757</v>
      </c>
      <c r="B653" s="8">
        <v>45749</v>
      </c>
      <c r="C653" s="7" t="s">
        <v>758</v>
      </c>
      <c r="D653" s="7" t="s">
        <v>52</v>
      </c>
      <c r="E653" s="7" t="s">
        <v>48</v>
      </c>
      <c r="F653" s="7" t="s">
        <v>113</v>
      </c>
      <c r="G653" s="7">
        <v>3</v>
      </c>
      <c r="H653" s="18">
        <v>3091.86</v>
      </c>
      <c r="I653" s="22">
        <v>0.1</v>
      </c>
      <c r="J653" s="18">
        <v>8348.02</v>
      </c>
      <c r="K653" s="18">
        <v>6317.54</v>
      </c>
      <c r="L653" s="18">
        <v>2030.48</v>
      </c>
      <c r="M653" s="7" t="s">
        <v>57</v>
      </c>
      <c r="N653" s="7" t="s">
        <v>36</v>
      </c>
      <c r="O653" s="7" t="s">
        <v>44</v>
      </c>
      <c r="P653" s="7" t="str">
        <f t="shared" si="30"/>
        <v>Apr</v>
      </c>
      <c r="Q653" s="7">
        <f t="shared" si="31"/>
        <v>2025</v>
      </c>
      <c r="R653" s="23">
        <f t="shared" si="32"/>
        <v>0.24322893332790288</v>
      </c>
    </row>
    <row r="654" spans="1:18">
      <c r="A654" s="7" t="s">
        <v>1598</v>
      </c>
      <c r="B654" s="8">
        <v>46095</v>
      </c>
      <c r="C654" s="7" t="s">
        <v>1034</v>
      </c>
      <c r="D654" s="7" t="s">
        <v>40</v>
      </c>
      <c r="E654" s="7" t="s">
        <v>48</v>
      </c>
      <c r="F654" s="7" t="s">
        <v>113</v>
      </c>
      <c r="G654" s="7">
        <v>5</v>
      </c>
      <c r="H654" s="18">
        <v>3093.85</v>
      </c>
      <c r="I654" s="22">
        <v>0.2</v>
      </c>
      <c r="J654" s="18">
        <v>12375.4</v>
      </c>
      <c r="K654" s="18">
        <v>8214.9</v>
      </c>
      <c r="L654" s="18">
        <v>4160.5</v>
      </c>
      <c r="M654" s="7" t="s">
        <v>35</v>
      </c>
      <c r="N654" s="7" t="s">
        <v>71</v>
      </c>
      <c r="O654" s="7" t="s">
        <v>37</v>
      </c>
      <c r="P654" s="7" t="str">
        <f t="shared" si="30"/>
        <v>Mar</v>
      </c>
      <c r="Q654" s="7">
        <f t="shared" si="31"/>
        <v>2026</v>
      </c>
      <c r="R654" s="23">
        <f t="shared" si="32"/>
        <v>0.3361911534172633</v>
      </c>
    </row>
    <row r="655" spans="1:18">
      <c r="A655" s="7" t="s">
        <v>255</v>
      </c>
      <c r="B655" s="8">
        <v>45813</v>
      </c>
      <c r="C655" s="7" t="s">
        <v>256</v>
      </c>
      <c r="D655" s="7" t="s">
        <v>32</v>
      </c>
      <c r="E655" s="7" t="s">
        <v>41</v>
      </c>
      <c r="F655" s="7" t="s">
        <v>153</v>
      </c>
      <c r="G655" s="7">
        <v>2</v>
      </c>
      <c r="H655" s="18">
        <v>3094.36</v>
      </c>
      <c r="I655" s="22">
        <v>0.05</v>
      </c>
      <c r="J655" s="18">
        <v>5879.28</v>
      </c>
      <c r="K655" s="18">
        <v>4617.26</v>
      </c>
      <c r="L655" s="18">
        <v>1262.02</v>
      </c>
      <c r="M655" s="7" t="s">
        <v>35</v>
      </c>
      <c r="N655" s="7" t="s">
        <v>43</v>
      </c>
      <c r="O655" s="7" t="s">
        <v>44</v>
      </c>
      <c r="P655" s="7" t="str">
        <f t="shared" si="30"/>
        <v>Jun</v>
      </c>
      <c r="Q655" s="7">
        <f t="shared" si="31"/>
        <v>2025</v>
      </c>
      <c r="R655" s="23">
        <f t="shared" si="32"/>
        <v>0.21465553605203358</v>
      </c>
    </row>
    <row r="656" spans="1:18">
      <c r="A656" s="7" t="s">
        <v>1612</v>
      </c>
      <c r="B656" s="8">
        <v>45923</v>
      </c>
      <c r="C656" s="7" t="s">
        <v>133</v>
      </c>
      <c r="D656" s="7" t="s">
        <v>74</v>
      </c>
      <c r="E656" s="7" t="s">
        <v>41</v>
      </c>
      <c r="F656" s="7" t="s">
        <v>153</v>
      </c>
      <c r="G656" s="7">
        <v>6</v>
      </c>
      <c r="H656" s="18">
        <v>3094.93</v>
      </c>
      <c r="I656" s="22">
        <v>0.15</v>
      </c>
      <c r="J656" s="18">
        <v>15784.14</v>
      </c>
      <c r="K656" s="18">
        <v>10396.6</v>
      </c>
      <c r="L656" s="18">
        <v>5387.54</v>
      </c>
      <c r="M656" s="7" t="s">
        <v>57</v>
      </c>
      <c r="N656" s="7" t="s">
        <v>63</v>
      </c>
      <c r="O656" s="7" t="s">
        <v>44</v>
      </c>
      <c r="P656" s="7" t="str">
        <f t="shared" si="30"/>
        <v>Sep</v>
      </c>
      <c r="Q656" s="7">
        <f t="shared" si="31"/>
        <v>2025</v>
      </c>
      <c r="R656" s="23">
        <f t="shared" si="32"/>
        <v>0.3413261666457596</v>
      </c>
    </row>
    <row r="657" spans="1:18">
      <c r="A657" s="7" t="s">
        <v>158</v>
      </c>
      <c r="B657" s="8">
        <v>46242</v>
      </c>
      <c r="C657" s="7" t="s">
        <v>159</v>
      </c>
      <c r="D657" s="7" t="s">
        <v>74</v>
      </c>
      <c r="E657" s="7" t="s">
        <v>61</v>
      </c>
      <c r="F657" s="7" t="s">
        <v>81</v>
      </c>
      <c r="G657" s="7">
        <v>3</v>
      </c>
      <c r="H657" s="18">
        <v>3108.38</v>
      </c>
      <c r="I657" s="22">
        <v>0</v>
      </c>
      <c r="J657" s="18">
        <v>9325.14</v>
      </c>
      <c r="K657" s="18">
        <v>6012.92</v>
      </c>
      <c r="L657" s="18">
        <v>3312.22</v>
      </c>
      <c r="M657" s="7" t="s">
        <v>57</v>
      </c>
      <c r="N657" s="7" t="s">
        <v>36</v>
      </c>
      <c r="O657" s="7" t="s">
        <v>44</v>
      </c>
      <c r="P657" s="7" t="str">
        <f t="shared" si="30"/>
        <v>Aug</v>
      </c>
      <c r="Q657" s="7">
        <f t="shared" si="31"/>
        <v>2026</v>
      </c>
      <c r="R657" s="23">
        <f t="shared" si="32"/>
        <v>0.3551925225787495</v>
      </c>
    </row>
    <row r="658" spans="1:18">
      <c r="A658" s="7" t="s">
        <v>1688</v>
      </c>
      <c r="B658" s="8">
        <v>46159</v>
      </c>
      <c r="C658" s="7" t="s">
        <v>1201</v>
      </c>
      <c r="D658" s="7" t="s">
        <v>74</v>
      </c>
      <c r="E658" s="7" t="s">
        <v>61</v>
      </c>
      <c r="F658" s="7" t="s">
        <v>84</v>
      </c>
      <c r="G658" s="7">
        <v>6</v>
      </c>
      <c r="H658" s="18">
        <v>3111.13</v>
      </c>
      <c r="I658" s="22">
        <v>0.2</v>
      </c>
      <c r="J658" s="18">
        <v>14933.42</v>
      </c>
      <c r="K658" s="18">
        <v>11256.14</v>
      </c>
      <c r="L658" s="18">
        <v>3677.28</v>
      </c>
      <c r="M658" s="7" t="s">
        <v>35</v>
      </c>
      <c r="N658" s="7" t="s">
        <v>36</v>
      </c>
      <c r="O658" s="7" t="s">
        <v>44</v>
      </c>
      <c r="P658" s="7" t="str">
        <f t="shared" si="30"/>
        <v>May</v>
      </c>
      <c r="Q658" s="7">
        <f t="shared" si="31"/>
        <v>2026</v>
      </c>
      <c r="R658" s="23">
        <f t="shared" si="32"/>
        <v>0.24624499947098522</v>
      </c>
    </row>
    <row r="659" spans="1:18">
      <c r="A659" s="7" t="s">
        <v>1226</v>
      </c>
      <c r="B659" s="8">
        <v>45843</v>
      </c>
      <c r="C659" s="7" t="s">
        <v>184</v>
      </c>
      <c r="D659" s="7" t="s">
        <v>32</v>
      </c>
      <c r="E659" s="7" t="s">
        <v>33</v>
      </c>
      <c r="F659" s="7" t="s">
        <v>67</v>
      </c>
      <c r="G659" s="7">
        <v>5</v>
      </c>
      <c r="H659" s="18">
        <v>3116.39</v>
      </c>
      <c r="I659" s="22">
        <v>0.1</v>
      </c>
      <c r="J659" s="18">
        <v>14023.75</v>
      </c>
      <c r="K659" s="18">
        <v>10164.879999999999</v>
      </c>
      <c r="L659" s="18">
        <v>3858.87</v>
      </c>
      <c r="M659" s="7" t="s">
        <v>35</v>
      </c>
      <c r="N659" s="7" t="s">
        <v>63</v>
      </c>
      <c r="O659" s="7" t="s">
        <v>44</v>
      </c>
      <c r="P659" s="7" t="str">
        <f t="shared" si="30"/>
        <v>Jul</v>
      </c>
      <c r="Q659" s="7">
        <f t="shared" si="31"/>
        <v>2025</v>
      </c>
      <c r="R659" s="23">
        <f t="shared" si="32"/>
        <v>0.2751667706569213</v>
      </c>
    </row>
    <row r="660" spans="1:18">
      <c r="A660" s="7" t="s">
        <v>1670</v>
      </c>
      <c r="B660" s="8">
        <v>45814</v>
      </c>
      <c r="C660" s="7" t="s">
        <v>1671</v>
      </c>
      <c r="D660" s="7" t="s">
        <v>95</v>
      </c>
      <c r="E660" s="7" t="s">
        <v>61</v>
      </c>
      <c r="F660" s="7" t="s">
        <v>129</v>
      </c>
      <c r="G660" s="7">
        <v>4</v>
      </c>
      <c r="H660" s="18">
        <v>3118</v>
      </c>
      <c r="I660" s="22">
        <v>0.1</v>
      </c>
      <c r="J660" s="18">
        <v>11224.8</v>
      </c>
      <c r="K660" s="18">
        <v>7637.22</v>
      </c>
      <c r="L660" s="18">
        <v>3587.58</v>
      </c>
      <c r="M660" s="7" t="s">
        <v>57</v>
      </c>
      <c r="N660" s="7" t="s">
        <v>63</v>
      </c>
      <c r="O660" s="7" t="s">
        <v>37</v>
      </c>
      <c r="P660" s="7" t="str">
        <f t="shared" si="30"/>
        <v>Jun</v>
      </c>
      <c r="Q660" s="7">
        <f t="shared" si="31"/>
        <v>2025</v>
      </c>
      <c r="R660" s="23">
        <f t="shared" si="32"/>
        <v>0.31961193072482363</v>
      </c>
    </row>
    <row r="661" spans="1:18">
      <c r="A661" s="7" t="s">
        <v>637</v>
      </c>
      <c r="B661" s="8">
        <v>46046</v>
      </c>
      <c r="C661" s="7" t="s">
        <v>638</v>
      </c>
      <c r="D661" s="7" t="s">
        <v>95</v>
      </c>
      <c r="E661" s="7" t="s">
        <v>41</v>
      </c>
      <c r="F661" s="7" t="s">
        <v>53</v>
      </c>
      <c r="G661" s="7">
        <v>6</v>
      </c>
      <c r="H661" s="18">
        <v>3122.25</v>
      </c>
      <c r="I661" s="22">
        <v>0</v>
      </c>
      <c r="J661" s="18">
        <v>18733.5</v>
      </c>
      <c r="K661" s="18">
        <v>14733.19</v>
      </c>
      <c r="L661" s="18">
        <v>4000.31</v>
      </c>
      <c r="M661" s="7" t="s">
        <v>57</v>
      </c>
      <c r="N661" s="7" t="s">
        <v>71</v>
      </c>
      <c r="O661" s="7" t="s">
        <v>44</v>
      </c>
      <c r="P661" s="7" t="str">
        <f t="shared" si="30"/>
        <v>Jan</v>
      </c>
      <c r="Q661" s="7">
        <f t="shared" si="31"/>
        <v>2026</v>
      </c>
      <c r="R661" s="23">
        <f t="shared" si="32"/>
        <v>0.21353777991299008</v>
      </c>
    </row>
    <row r="662" spans="1:18">
      <c r="A662" s="7" t="s">
        <v>342</v>
      </c>
      <c r="B662" s="8">
        <v>45710</v>
      </c>
      <c r="C662" s="7" t="s">
        <v>281</v>
      </c>
      <c r="D662" s="7" t="s">
        <v>66</v>
      </c>
      <c r="E662" s="7" t="s">
        <v>41</v>
      </c>
      <c r="F662" s="7" t="s">
        <v>153</v>
      </c>
      <c r="G662" s="7">
        <v>2</v>
      </c>
      <c r="H662" s="18">
        <v>3129.74</v>
      </c>
      <c r="I662" s="22">
        <v>0.15</v>
      </c>
      <c r="J662" s="18">
        <v>5320.56</v>
      </c>
      <c r="K662" s="18">
        <v>3525.06</v>
      </c>
      <c r="L662" s="18">
        <v>1795.5</v>
      </c>
      <c r="M662" s="7" t="s">
        <v>57</v>
      </c>
      <c r="N662" s="7" t="s">
        <v>36</v>
      </c>
      <c r="O662" s="7" t="s">
        <v>44</v>
      </c>
      <c r="P662" s="7" t="str">
        <f t="shared" si="30"/>
        <v>Feb</v>
      </c>
      <c r="Q662" s="7">
        <f t="shared" si="31"/>
        <v>2025</v>
      </c>
      <c r="R662" s="23">
        <f t="shared" si="32"/>
        <v>0.33746447742342911</v>
      </c>
    </row>
    <row r="663" spans="1:18">
      <c r="A663" s="7" t="s">
        <v>1247</v>
      </c>
      <c r="B663" s="8">
        <v>45774</v>
      </c>
      <c r="C663" s="7" t="s">
        <v>335</v>
      </c>
      <c r="D663" s="7" t="s">
        <v>52</v>
      </c>
      <c r="E663" s="7" t="s">
        <v>33</v>
      </c>
      <c r="F663" s="7" t="s">
        <v>176</v>
      </c>
      <c r="G663" s="7">
        <v>6</v>
      </c>
      <c r="H663" s="18">
        <v>3146.94</v>
      </c>
      <c r="I663" s="22">
        <v>0.15</v>
      </c>
      <c r="J663" s="18">
        <v>16049.39</v>
      </c>
      <c r="K663" s="18">
        <v>11788.29</v>
      </c>
      <c r="L663" s="18">
        <v>4261.1000000000004</v>
      </c>
      <c r="M663" s="7" t="s">
        <v>35</v>
      </c>
      <c r="N663" s="7" t="s">
        <v>63</v>
      </c>
      <c r="O663" s="7" t="s">
        <v>44</v>
      </c>
      <c r="P663" s="7" t="str">
        <f t="shared" si="30"/>
        <v>Apr</v>
      </c>
      <c r="Q663" s="7">
        <f t="shared" si="31"/>
        <v>2025</v>
      </c>
      <c r="R663" s="23">
        <f t="shared" si="32"/>
        <v>0.26549918719652277</v>
      </c>
    </row>
    <row r="664" spans="1:18">
      <c r="A664" s="7" t="s">
        <v>572</v>
      </c>
      <c r="B664" s="8">
        <v>45726</v>
      </c>
      <c r="C664" s="7" t="s">
        <v>573</v>
      </c>
      <c r="D664" s="7" t="s">
        <v>52</v>
      </c>
      <c r="E664" s="7" t="s">
        <v>61</v>
      </c>
      <c r="F664" s="7" t="s">
        <v>62</v>
      </c>
      <c r="G664" s="7">
        <v>3</v>
      </c>
      <c r="H664" s="18">
        <v>3156.9</v>
      </c>
      <c r="I664" s="22">
        <v>0.15</v>
      </c>
      <c r="J664" s="18">
        <v>8050.1</v>
      </c>
      <c r="K664" s="18">
        <v>5803.52</v>
      </c>
      <c r="L664" s="18">
        <v>2246.58</v>
      </c>
      <c r="M664" s="7" t="s">
        <v>35</v>
      </c>
      <c r="N664" s="7" t="s">
        <v>43</v>
      </c>
      <c r="O664" s="7" t="s">
        <v>44</v>
      </c>
      <c r="P664" s="7" t="str">
        <f t="shared" si="30"/>
        <v>Mar</v>
      </c>
      <c r="Q664" s="7">
        <f t="shared" si="31"/>
        <v>2025</v>
      </c>
      <c r="R664" s="23">
        <f t="shared" si="32"/>
        <v>0.27907479410193659</v>
      </c>
    </row>
    <row r="665" spans="1:18">
      <c r="A665" s="7" t="s">
        <v>1566</v>
      </c>
      <c r="B665" s="8">
        <v>45868</v>
      </c>
      <c r="C665" s="7" t="s">
        <v>170</v>
      </c>
      <c r="D665" s="7" t="s">
        <v>95</v>
      </c>
      <c r="E665" s="7" t="s">
        <v>61</v>
      </c>
      <c r="F665" s="7" t="s">
        <v>84</v>
      </c>
      <c r="G665" s="7">
        <v>3</v>
      </c>
      <c r="H665" s="18">
        <v>3166.78</v>
      </c>
      <c r="I665" s="22">
        <v>0.2</v>
      </c>
      <c r="J665" s="18">
        <v>7600.27</v>
      </c>
      <c r="K665" s="18">
        <v>6398.56</v>
      </c>
      <c r="L665" s="18">
        <v>1201.71</v>
      </c>
      <c r="M665" s="7" t="s">
        <v>35</v>
      </c>
      <c r="N665" s="7" t="s">
        <v>71</v>
      </c>
      <c r="O665" s="7" t="s">
        <v>44</v>
      </c>
      <c r="P665" s="7" t="str">
        <f t="shared" si="30"/>
        <v>Jul</v>
      </c>
      <c r="Q665" s="7">
        <f t="shared" si="31"/>
        <v>2025</v>
      </c>
      <c r="R665" s="23">
        <f t="shared" si="32"/>
        <v>0.1581141196299605</v>
      </c>
    </row>
    <row r="666" spans="1:18">
      <c r="A666" s="7" t="s">
        <v>1258</v>
      </c>
      <c r="B666" s="8">
        <v>45897</v>
      </c>
      <c r="C666" s="7" t="s">
        <v>308</v>
      </c>
      <c r="D666" s="7" t="s">
        <v>95</v>
      </c>
      <c r="E666" s="7" t="s">
        <v>48</v>
      </c>
      <c r="F666" s="7" t="s">
        <v>49</v>
      </c>
      <c r="G666" s="7">
        <v>2</v>
      </c>
      <c r="H666" s="18">
        <v>3167.59</v>
      </c>
      <c r="I666" s="22">
        <v>0</v>
      </c>
      <c r="J666" s="18">
        <v>6335.18</v>
      </c>
      <c r="K666" s="18">
        <v>4164.97</v>
      </c>
      <c r="L666" s="18">
        <v>2170.21</v>
      </c>
      <c r="M666" s="7" t="s">
        <v>57</v>
      </c>
      <c r="N666" s="7" t="s">
        <v>71</v>
      </c>
      <c r="O666" s="7" t="s">
        <v>44</v>
      </c>
      <c r="P666" s="7" t="str">
        <f t="shared" si="30"/>
        <v>Aug</v>
      </c>
      <c r="Q666" s="7">
        <f t="shared" si="31"/>
        <v>2025</v>
      </c>
      <c r="R666" s="23">
        <f t="shared" si="32"/>
        <v>0.34256485214311194</v>
      </c>
    </row>
    <row r="667" spans="1:18">
      <c r="A667" s="7" t="s">
        <v>457</v>
      </c>
      <c r="B667" s="8">
        <v>45947</v>
      </c>
      <c r="C667" s="7" t="s">
        <v>374</v>
      </c>
      <c r="D667" s="7" t="s">
        <v>47</v>
      </c>
      <c r="E667" s="7" t="s">
        <v>33</v>
      </c>
      <c r="F667" s="7" t="s">
        <v>176</v>
      </c>
      <c r="G667" s="7">
        <v>5</v>
      </c>
      <c r="H667" s="18">
        <v>3172.36</v>
      </c>
      <c r="I667" s="22">
        <v>0.2</v>
      </c>
      <c r="J667" s="18">
        <v>12689.44</v>
      </c>
      <c r="K667" s="18">
        <v>10221.91</v>
      </c>
      <c r="L667" s="18">
        <v>2467.5300000000002</v>
      </c>
      <c r="M667" s="7" t="s">
        <v>57</v>
      </c>
      <c r="N667" s="7" t="s">
        <v>63</v>
      </c>
      <c r="O667" s="7" t="s">
        <v>37</v>
      </c>
      <c r="P667" s="7" t="str">
        <f t="shared" si="30"/>
        <v>Oct</v>
      </c>
      <c r="Q667" s="7">
        <f t="shared" si="31"/>
        <v>2025</v>
      </c>
      <c r="R667" s="23">
        <f t="shared" si="32"/>
        <v>0.19445538967834672</v>
      </c>
    </row>
    <row r="668" spans="1:18">
      <c r="A668" s="7" t="s">
        <v>1149</v>
      </c>
      <c r="B668" s="8">
        <v>45962</v>
      </c>
      <c r="C668" s="7" t="s">
        <v>136</v>
      </c>
      <c r="D668" s="7" t="s">
        <v>134</v>
      </c>
      <c r="E668" s="7" t="s">
        <v>33</v>
      </c>
      <c r="F668" s="7" t="s">
        <v>67</v>
      </c>
      <c r="G668" s="7">
        <v>5</v>
      </c>
      <c r="H668" s="18">
        <v>3173.51</v>
      </c>
      <c r="I668" s="22">
        <v>0.2</v>
      </c>
      <c r="J668" s="18">
        <v>12694.04</v>
      </c>
      <c r="K668" s="18">
        <v>9341.59</v>
      </c>
      <c r="L668" s="18">
        <v>3352.45</v>
      </c>
      <c r="M668" s="7" t="s">
        <v>35</v>
      </c>
      <c r="N668" s="7" t="s">
        <v>43</v>
      </c>
      <c r="O668" s="7" t="s">
        <v>44</v>
      </c>
      <c r="P668" s="7" t="str">
        <f t="shared" si="30"/>
        <v>Nov</v>
      </c>
      <c r="Q668" s="7">
        <f t="shared" si="31"/>
        <v>2025</v>
      </c>
      <c r="R668" s="23">
        <f t="shared" si="32"/>
        <v>0.26409637908813899</v>
      </c>
    </row>
    <row r="669" spans="1:18">
      <c r="A669" s="7" t="s">
        <v>898</v>
      </c>
      <c r="B669" s="8">
        <v>46104</v>
      </c>
      <c r="C669" s="7" t="s">
        <v>536</v>
      </c>
      <c r="D669" s="7" t="s">
        <v>60</v>
      </c>
      <c r="E669" s="7" t="s">
        <v>41</v>
      </c>
      <c r="F669" s="7" t="s">
        <v>124</v>
      </c>
      <c r="G669" s="7">
        <v>4</v>
      </c>
      <c r="H669" s="18">
        <v>3175.7</v>
      </c>
      <c r="I669" s="22">
        <v>0.15</v>
      </c>
      <c r="J669" s="18">
        <v>10797.38</v>
      </c>
      <c r="K669" s="18">
        <v>7270.71</v>
      </c>
      <c r="L669" s="18">
        <v>3526.67</v>
      </c>
      <c r="M669" s="7" t="s">
        <v>57</v>
      </c>
      <c r="N669" s="7" t="s">
        <v>71</v>
      </c>
      <c r="O669" s="7" t="s">
        <v>44</v>
      </c>
      <c r="P669" s="7" t="str">
        <f t="shared" si="30"/>
        <v>Mar</v>
      </c>
      <c r="Q669" s="7">
        <f t="shared" si="31"/>
        <v>2026</v>
      </c>
      <c r="R669" s="23">
        <f t="shared" si="32"/>
        <v>0.32662275477940023</v>
      </c>
    </row>
    <row r="670" spans="1:18">
      <c r="A670" s="7" t="s">
        <v>925</v>
      </c>
      <c r="B670" s="8">
        <v>45763</v>
      </c>
      <c r="C670" s="7" t="s">
        <v>372</v>
      </c>
      <c r="D670" s="7" t="s">
        <v>47</v>
      </c>
      <c r="E670" s="7" t="s">
        <v>41</v>
      </c>
      <c r="F670" s="7" t="s">
        <v>42</v>
      </c>
      <c r="G670" s="7">
        <v>4</v>
      </c>
      <c r="H670" s="18">
        <v>3178.74</v>
      </c>
      <c r="I670" s="22">
        <v>0.15</v>
      </c>
      <c r="J670" s="18">
        <v>10807.72</v>
      </c>
      <c r="K670" s="18">
        <v>7884.99</v>
      </c>
      <c r="L670" s="18">
        <v>2922.73</v>
      </c>
      <c r="M670" s="7" t="s">
        <v>57</v>
      </c>
      <c r="N670" s="7" t="s">
        <v>63</v>
      </c>
      <c r="O670" s="7" t="s">
        <v>44</v>
      </c>
      <c r="P670" s="7" t="str">
        <f t="shared" si="30"/>
        <v>Apr</v>
      </c>
      <c r="Q670" s="7">
        <f t="shared" si="31"/>
        <v>2025</v>
      </c>
      <c r="R670" s="23">
        <f t="shared" si="32"/>
        <v>0.2704298408915109</v>
      </c>
    </row>
    <row r="671" spans="1:18">
      <c r="A671" s="7" t="s">
        <v>1443</v>
      </c>
      <c r="B671" s="8">
        <v>45759</v>
      </c>
      <c r="C671" s="7" t="s">
        <v>1048</v>
      </c>
      <c r="D671" s="7" t="s">
        <v>66</v>
      </c>
      <c r="E671" s="7" t="s">
        <v>48</v>
      </c>
      <c r="F671" s="7" t="s">
        <v>99</v>
      </c>
      <c r="G671" s="7">
        <v>5</v>
      </c>
      <c r="H671" s="18">
        <v>3180.44</v>
      </c>
      <c r="I671" s="22">
        <v>0.15</v>
      </c>
      <c r="J671" s="18">
        <v>13516.87</v>
      </c>
      <c r="K671" s="18">
        <v>9888.17</v>
      </c>
      <c r="L671" s="18">
        <v>3628.7</v>
      </c>
      <c r="M671" s="7" t="s">
        <v>57</v>
      </c>
      <c r="N671" s="7" t="s">
        <v>43</v>
      </c>
      <c r="O671" s="7" t="s">
        <v>37</v>
      </c>
      <c r="P671" s="7" t="str">
        <f t="shared" si="30"/>
        <v>Apr</v>
      </c>
      <c r="Q671" s="7">
        <f t="shared" si="31"/>
        <v>2025</v>
      </c>
      <c r="R671" s="23">
        <f t="shared" si="32"/>
        <v>0.2684571206203803</v>
      </c>
    </row>
    <row r="672" spans="1:18">
      <c r="A672" s="7" t="s">
        <v>336</v>
      </c>
      <c r="B672" s="8">
        <v>46034</v>
      </c>
      <c r="C672" s="7" t="s">
        <v>337</v>
      </c>
      <c r="D672" s="7" t="s">
        <v>74</v>
      </c>
      <c r="E672" s="7" t="s">
        <v>41</v>
      </c>
      <c r="F672" s="7" t="s">
        <v>42</v>
      </c>
      <c r="G672" s="7">
        <v>1</v>
      </c>
      <c r="H672" s="18">
        <v>3181.58</v>
      </c>
      <c r="I672" s="22">
        <v>0.05</v>
      </c>
      <c r="J672" s="18">
        <v>3022.5</v>
      </c>
      <c r="K672" s="18">
        <v>2046.34</v>
      </c>
      <c r="L672" s="18">
        <v>976.16</v>
      </c>
      <c r="M672" s="7" t="s">
        <v>35</v>
      </c>
      <c r="N672" s="7" t="s">
        <v>71</v>
      </c>
      <c r="O672" s="7" t="s">
        <v>44</v>
      </c>
      <c r="P672" s="7" t="str">
        <f t="shared" si="30"/>
        <v>Jan</v>
      </c>
      <c r="Q672" s="7">
        <f t="shared" si="31"/>
        <v>2026</v>
      </c>
      <c r="R672" s="23">
        <f t="shared" si="32"/>
        <v>0.3229644334160463</v>
      </c>
    </row>
    <row r="673" spans="1:18">
      <c r="A673" s="7" t="s">
        <v>1064</v>
      </c>
      <c r="B673" s="8">
        <v>45974</v>
      </c>
      <c r="C673" s="7" t="s">
        <v>300</v>
      </c>
      <c r="D673" s="7" t="s">
        <v>32</v>
      </c>
      <c r="E673" s="7" t="s">
        <v>33</v>
      </c>
      <c r="F673" s="7" t="s">
        <v>96</v>
      </c>
      <c r="G673" s="7">
        <v>5</v>
      </c>
      <c r="H673" s="18">
        <v>3186.69</v>
      </c>
      <c r="I673" s="22">
        <v>0.05</v>
      </c>
      <c r="J673" s="18">
        <v>15136.78</v>
      </c>
      <c r="K673" s="18">
        <v>9595.89</v>
      </c>
      <c r="L673" s="18">
        <v>5540.89</v>
      </c>
      <c r="M673" s="7" t="s">
        <v>35</v>
      </c>
      <c r="N673" s="7" t="s">
        <v>63</v>
      </c>
      <c r="O673" s="7" t="s">
        <v>44</v>
      </c>
      <c r="P673" s="7" t="str">
        <f t="shared" si="30"/>
        <v>Nov</v>
      </c>
      <c r="Q673" s="7">
        <f t="shared" si="31"/>
        <v>2025</v>
      </c>
      <c r="R673" s="23">
        <f t="shared" si="32"/>
        <v>0.36605473555141849</v>
      </c>
    </row>
    <row r="674" spans="1:18">
      <c r="A674" s="7" t="s">
        <v>862</v>
      </c>
      <c r="B674" s="8">
        <v>45987</v>
      </c>
      <c r="C674" s="7" t="s">
        <v>232</v>
      </c>
      <c r="D674" s="7" t="s">
        <v>134</v>
      </c>
      <c r="E674" s="7" t="s">
        <v>33</v>
      </c>
      <c r="F674" s="7" t="s">
        <v>34</v>
      </c>
      <c r="G674" s="7">
        <v>5</v>
      </c>
      <c r="H674" s="18">
        <v>3190.65</v>
      </c>
      <c r="I674" s="22">
        <v>0.05</v>
      </c>
      <c r="J674" s="18">
        <v>15155.59</v>
      </c>
      <c r="K674" s="18">
        <v>12808.38</v>
      </c>
      <c r="L674" s="18">
        <v>2347.21</v>
      </c>
      <c r="M674" s="7" t="s">
        <v>35</v>
      </c>
      <c r="N674" s="7" t="s">
        <v>36</v>
      </c>
      <c r="O674" s="7" t="s">
        <v>44</v>
      </c>
      <c r="P674" s="7" t="str">
        <f t="shared" si="30"/>
        <v>Nov</v>
      </c>
      <c r="Q674" s="7">
        <f t="shared" si="31"/>
        <v>2025</v>
      </c>
      <c r="R674" s="23">
        <f t="shared" si="32"/>
        <v>0.1548742081304654</v>
      </c>
    </row>
    <row r="675" spans="1:18">
      <c r="A675" s="7" t="s">
        <v>1108</v>
      </c>
      <c r="B675" s="8">
        <v>46059</v>
      </c>
      <c r="C675" s="7" t="s">
        <v>228</v>
      </c>
      <c r="D675" s="7" t="s">
        <v>40</v>
      </c>
      <c r="E675" s="7" t="s">
        <v>33</v>
      </c>
      <c r="F675" s="7" t="s">
        <v>92</v>
      </c>
      <c r="G675" s="7">
        <v>1</v>
      </c>
      <c r="H675" s="18">
        <v>3198.43</v>
      </c>
      <c r="I675" s="22">
        <v>0</v>
      </c>
      <c r="J675" s="18">
        <v>3198.43</v>
      </c>
      <c r="K675" s="18">
        <v>2623.64</v>
      </c>
      <c r="L675" s="18">
        <v>574.79</v>
      </c>
      <c r="M675" s="7" t="s">
        <v>57</v>
      </c>
      <c r="N675" s="7" t="s">
        <v>36</v>
      </c>
      <c r="O675" s="7" t="s">
        <v>44</v>
      </c>
      <c r="P675" s="7" t="str">
        <f t="shared" si="30"/>
        <v>Feb</v>
      </c>
      <c r="Q675" s="7">
        <f t="shared" si="31"/>
        <v>2026</v>
      </c>
      <c r="R675" s="23">
        <f t="shared" si="32"/>
        <v>0.17971004524094633</v>
      </c>
    </row>
    <row r="676" spans="1:18">
      <c r="A676" s="7" t="s">
        <v>219</v>
      </c>
      <c r="B676" s="8">
        <v>45666</v>
      </c>
      <c r="C676" s="7" t="s">
        <v>220</v>
      </c>
      <c r="D676" s="7" t="s">
        <v>66</v>
      </c>
      <c r="E676" s="7" t="s">
        <v>41</v>
      </c>
      <c r="F676" s="7" t="s">
        <v>124</v>
      </c>
      <c r="G676" s="7">
        <v>3</v>
      </c>
      <c r="H676" s="18">
        <v>3201.25</v>
      </c>
      <c r="I676" s="22">
        <v>0.1</v>
      </c>
      <c r="J676" s="18">
        <v>8643.3799999999992</v>
      </c>
      <c r="K676" s="18">
        <v>7058.61</v>
      </c>
      <c r="L676" s="18">
        <v>1584.77</v>
      </c>
      <c r="M676" s="7" t="s">
        <v>35</v>
      </c>
      <c r="N676" s="7" t="s">
        <v>36</v>
      </c>
      <c r="O676" s="7" t="s">
        <v>44</v>
      </c>
      <c r="P676" s="7" t="str">
        <f t="shared" si="30"/>
        <v>Jan</v>
      </c>
      <c r="Q676" s="7">
        <f t="shared" si="31"/>
        <v>2025</v>
      </c>
      <c r="R676" s="23">
        <f t="shared" si="32"/>
        <v>0.18335072622052948</v>
      </c>
    </row>
    <row r="677" spans="1:18">
      <c r="A677" s="7" t="s">
        <v>428</v>
      </c>
      <c r="B677" s="8">
        <v>45965</v>
      </c>
      <c r="C677" s="7" t="s">
        <v>429</v>
      </c>
      <c r="D677" s="7" t="s">
        <v>60</v>
      </c>
      <c r="E677" s="7" t="s">
        <v>48</v>
      </c>
      <c r="F677" s="7" t="s">
        <v>70</v>
      </c>
      <c r="G677" s="7">
        <v>3</v>
      </c>
      <c r="H677" s="18">
        <v>3212.48</v>
      </c>
      <c r="I677" s="22">
        <v>0</v>
      </c>
      <c r="J677" s="18">
        <v>9637.44</v>
      </c>
      <c r="K677" s="18">
        <v>7225.89</v>
      </c>
      <c r="L677" s="18">
        <v>2411.5500000000002</v>
      </c>
      <c r="M677" s="7" t="s">
        <v>57</v>
      </c>
      <c r="N677" s="7" t="s">
        <v>43</v>
      </c>
      <c r="O677" s="7" t="s">
        <v>37</v>
      </c>
      <c r="P677" s="7" t="str">
        <f t="shared" si="30"/>
        <v>Nov</v>
      </c>
      <c r="Q677" s="7">
        <f t="shared" si="31"/>
        <v>2025</v>
      </c>
      <c r="R677" s="23">
        <f t="shared" si="32"/>
        <v>0.25022723876880165</v>
      </c>
    </row>
    <row r="678" spans="1:18">
      <c r="A678" s="7" t="s">
        <v>991</v>
      </c>
      <c r="B678" s="8">
        <v>45666</v>
      </c>
      <c r="C678" s="7" t="s">
        <v>468</v>
      </c>
      <c r="D678" s="7" t="s">
        <v>66</v>
      </c>
      <c r="E678" s="7" t="s">
        <v>33</v>
      </c>
      <c r="F678" s="7" t="s">
        <v>176</v>
      </c>
      <c r="G678" s="7">
        <v>1</v>
      </c>
      <c r="H678" s="18">
        <v>3218.3</v>
      </c>
      <c r="I678" s="22">
        <v>0</v>
      </c>
      <c r="J678" s="18">
        <v>3218.3</v>
      </c>
      <c r="K678" s="18">
        <v>1985.08</v>
      </c>
      <c r="L678" s="18">
        <v>1233.22</v>
      </c>
      <c r="M678" s="7" t="s">
        <v>57</v>
      </c>
      <c r="N678" s="7" t="s">
        <v>71</v>
      </c>
      <c r="O678" s="7" t="s">
        <v>44</v>
      </c>
      <c r="P678" s="7" t="str">
        <f t="shared" si="30"/>
        <v>Jan</v>
      </c>
      <c r="Q678" s="7">
        <f t="shared" si="31"/>
        <v>2025</v>
      </c>
      <c r="R678" s="23">
        <f t="shared" si="32"/>
        <v>0.38318988285740918</v>
      </c>
    </row>
    <row r="679" spans="1:18">
      <c r="A679" s="7" t="s">
        <v>479</v>
      </c>
      <c r="B679" s="8">
        <v>45749</v>
      </c>
      <c r="C679" s="7" t="s">
        <v>480</v>
      </c>
      <c r="D679" s="7" t="s">
        <v>95</v>
      </c>
      <c r="E679" s="7" t="s">
        <v>33</v>
      </c>
      <c r="F679" s="7" t="s">
        <v>67</v>
      </c>
      <c r="G679" s="7">
        <v>6</v>
      </c>
      <c r="H679" s="18">
        <v>3219.01</v>
      </c>
      <c r="I679" s="22">
        <v>0.2</v>
      </c>
      <c r="J679" s="18">
        <v>15451.25</v>
      </c>
      <c r="K679" s="18">
        <v>11349.81</v>
      </c>
      <c r="L679" s="18">
        <v>4101.4399999999996</v>
      </c>
      <c r="M679" s="7" t="s">
        <v>35</v>
      </c>
      <c r="N679" s="7" t="s">
        <v>63</v>
      </c>
      <c r="O679" s="7" t="s">
        <v>44</v>
      </c>
      <c r="P679" s="7" t="str">
        <f t="shared" si="30"/>
        <v>Apr</v>
      </c>
      <c r="Q679" s="7">
        <f t="shared" si="31"/>
        <v>2025</v>
      </c>
      <c r="R679" s="23">
        <f t="shared" si="32"/>
        <v>0.26544389612490898</v>
      </c>
    </row>
    <row r="680" spans="1:18">
      <c r="A680" s="7" t="s">
        <v>1312</v>
      </c>
      <c r="B680" s="8">
        <v>45919</v>
      </c>
      <c r="C680" s="7" t="s">
        <v>1313</v>
      </c>
      <c r="D680" s="7" t="s">
        <v>66</v>
      </c>
      <c r="E680" s="7" t="s">
        <v>41</v>
      </c>
      <c r="F680" s="7" t="s">
        <v>153</v>
      </c>
      <c r="G680" s="7">
        <v>4</v>
      </c>
      <c r="H680" s="18">
        <v>3219.06</v>
      </c>
      <c r="I680" s="22">
        <v>0.05</v>
      </c>
      <c r="J680" s="18">
        <v>12232.43</v>
      </c>
      <c r="K680" s="18">
        <v>10364.61</v>
      </c>
      <c r="L680" s="18">
        <v>1867.82</v>
      </c>
      <c r="M680" s="7" t="s">
        <v>35</v>
      </c>
      <c r="N680" s="7" t="s">
        <v>36</v>
      </c>
      <c r="O680" s="7" t="s">
        <v>37</v>
      </c>
      <c r="P680" s="7" t="str">
        <f t="shared" si="30"/>
        <v>Sep</v>
      </c>
      <c r="Q680" s="7">
        <f t="shared" si="31"/>
        <v>2025</v>
      </c>
      <c r="R680" s="23">
        <f t="shared" si="32"/>
        <v>0.15269410902003935</v>
      </c>
    </row>
    <row r="681" spans="1:18">
      <c r="A681" s="7" t="s">
        <v>392</v>
      </c>
      <c r="B681" s="8">
        <v>45875</v>
      </c>
      <c r="C681" s="7" t="s">
        <v>393</v>
      </c>
      <c r="D681" s="7" t="s">
        <v>66</v>
      </c>
      <c r="E681" s="7" t="s">
        <v>48</v>
      </c>
      <c r="F681" s="7" t="s">
        <v>49</v>
      </c>
      <c r="G681" s="7">
        <v>2</v>
      </c>
      <c r="H681" s="18">
        <v>3220.68</v>
      </c>
      <c r="I681" s="22">
        <v>0</v>
      </c>
      <c r="J681" s="18">
        <v>6441.36</v>
      </c>
      <c r="K681" s="18">
        <v>5399.44</v>
      </c>
      <c r="L681" s="18">
        <v>1041.92</v>
      </c>
      <c r="M681" s="7" t="s">
        <v>57</v>
      </c>
      <c r="N681" s="7" t="s">
        <v>43</v>
      </c>
      <c r="O681" s="7" t="s">
        <v>37</v>
      </c>
      <c r="P681" s="7" t="str">
        <f t="shared" si="30"/>
        <v>Aug</v>
      </c>
      <c r="Q681" s="7">
        <f t="shared" si="31"/>
        <v>2025</v>
      </c>
      <c r="R681" s="23">
        <f t="shared" si="32"/>
        <v>0.16175466050647691</v>
      </c>
    </row>
    <row r="682" spans="1:18">
      <c r="A682" s="7" t="s">
        <v>803</v>
      </c>
      <c r="B682" s="8">
        <v>45954</v>
      </c>
      <c r="C682" s="7" t="s">
        <v>205</v>
      </c>
      <c r="D682" s="7" t="s">
        <v>66</v>
      </c>
      <c r="E682" s="7" t="s">
        <v>33</v>
      </c>
      <c r="F682" s="7" t="s">
        <v>176</v>
      </c>
      <c r="G682" s="7">
        <v>6</v>
      </c>
      <c r="H682" s="18">
        <v>3226.75</v>
      </c>
      <c r="I682" s="22">
        <v>0</v>
      </c>
      <c r="J682" s="18">
        <v>19360.5</v>
      </c>
      <c r="K682" s="18">
        <v>10893.1</v>
      </c>
      <c r="L682" s="18">
        <v>8467.4</v>
      </c>
      <c r="M682" s="7" t="s">
        <v>35</v>
      </c>
      <c r="N682" s="7" t="s">
        <v>36</v>
      </c>
      <c r="O682" s="7" t="s">
        <v>44</v>
      </c>
      <c r="P682" s="7" t="str">
        <f t="shared" si="30"/>
        <v>Oct</v>
      </c>
      <c r="Q682" s="7">
        <f t="shared" si="31"/>
        <v>2025</v>
      </c>
      <c r="R682" s="23">
        <f t="shared" si="32"/>
        <v>0.43735440716923629</v>
      </c>
    </row>
    <row r="683" spans="1:18">
      <c r="A683" s="7" t="s">
        <v>867</v>
      </c>
      <c r="B683" s="8">
        <v>45829</v>
      </c>
      <c r="C683" s="7" t="s">
        <v>829</v>
      </c>
      <c r="D683" s="7" t="s">
        <v>66</v>
      </c>
      <c r="E683" s="7" t="s">
        <v>48</v>
      </c>
      <c r="F683" s="7" t="s">
        <v>113</v>
      </c>
      <c r="G683" s="7">
        <v>5</v>
      </c>
      <c r="H683" s="18">
        <v>3232.85</v>
      </c>
      <c r="I683" s="22">
        <v>0.15</v>
      </c>
      <c r="J683" s="18">
        <v>13739.61</v>
      </c>
      <c r="K683" s="18">
        <v>11280.44</v>
      </c>
      <c r="L683" s="18">
        <v>2459.17</v>
      </c>
      <c r="M683" s="7" t="s">
        <v>57</v>
      </c>
      <c r="N683" s="7" t="s">
        <v>63</v>
      </c>
      <c r="O683" s="7" t="s">
        <v>37</v>
      </c>
      <c r="P683" s="7" t="str">
        <f t="shared" si="30"/>
        <v>Jun</v>
      </c>
      <c r="Q683" s="7">
        <f t="shared" si="31"/>
        <v>2025</v>
      </c>
      <c r="R683" s="23">
        <f t="shared" si="32"/>
        <v>0.17898397407204425</v>
      </c>
    </row>
    <row r="684" spans="1:18">
      <c r="A684" s="7" t="s">
        <v>1610</v>
      </c>
      <c r="B684" s="8">
        <v>46128</v>
      </c>
      <c r="C684" s="7" t="s">
        <v>507</v>
      </c>
      <c r="D684" s="7" t="s">
        <v>56</v>
      </c>
      <c r="E684" s="7" t="s">
        <v>33</v>
      </c>
      <c r="F684" s="7" t="s">
        <v>67</v>
      </c>
      <c r="G684" s="7">
        <v>5</v>
      </c>
      <c r="H684" s="18">
        <v>3235.09</v>
      </c>
      <c r="I684" s="22">
        <v>0.1</v>
      </c>
      <c r="J684" s="18">
        <v>14557.91</v>
      </c>
      <c r="K684" s="18">
        <v>11907.84</v>
      </c>
      <c r="L684" s="18">
        <v>2650.07</v>
      </c>
      <c r="M684" s="7" t="s">
        <v>57</v>
      </c>
      <c r="N684" s="7" t="s">
        <v>43</v>
      </c>
      <c r="O684" s="7" t="s">
        <v>44</v>
      </c>
      <c r="P684" s="7" t="str">
        <f t="shared" si="30"/>
        <v>Apr</v>
      </c>
      <c r="Q684" s="7">
        <f t="shared" si="31"/>
        <v>2026</v>
      </c>
      <c r="R684" s="23">
        <f t="shared" si="32"/>
        <v>0.18203643242745698</v>
      </c>
    </row>
    <row r="685" spans="1:18">
      <c r="A685" s="7" t="s">
        <v>1158</v>
      </c>
      <c r="B685" s="8">
        <v>45846</v>
      </c>
      <c r="C685" s="7" t="s">
        <v>613</v>
      </c>
      <c r="D685" s="7" t="s">
        <v>52</v>
      </c>
      <c r="E685" s="7" t="s">
        <v>48</v>
      </c>
      <c r="F685" s="7" t="s">
        <v>102</v>
      </c>
      <c r="G685" s="7">
        <v>1</v>
      </c>
      <c r="H685" s="18">
        <v>3239.25</v>
      </c>
      <c r="I685" s="22">
        <v>0.05</v>
      </c>
      <c r="J685" s="18">
        <v>3077.29</v>
      </c>
      <c r="K685" s="18">
        <v>2149.37</v>
      </c>
      <c r="L685" s="18">
        <v>927.92</v>
      </c>
      <c r="M685" s="7" t="s">
        <v>35</v>
      </c>
      <c r="N685" s="7" t="s">
        <v>43</v>
      </c>
      <c r="O685" s="7" t="s">
        <v>37</v>
      </c>
      <c r="P685" s="7" t="str">
        <f t="shared" si="30"/>
        <v>Jul</v>
      </c>
      <c r="Q685" s="7">
        <f t="shared" si="31"/>
        <v>2025</v>
      </c>
      <c r="R685" s="23">
        <f t="shared" si="32"/>
        <v>0.30153804158854058</v>
      </c>
    </row>
    <row r="686" spans="1:18">
      <c r="A686" s="7" t="s">
        <v>895</v>
      </c>
      <c r="B686" s="8">
        <v>45893</v>
      </c>
      <c r="C686" s="7" t="s">
        <v>431</v>
      </c>
      <c r="D686" s="7" t="s">
        <v>74</v>
      </c>
      <c r="E686" s="7" t="s">
        <v>61</v>
      </c>
      <c r="F686" s="7" t="s">
        <v>62</v>
      </c>
      <c r="G686" s="7">
        <v>2</v>
      </c>
      <c r="H686" s="18">
        <v>3242.24</v>
      </c>
      <c r="I686" s="22">
        <v>0</v>
      </c>
      <c r="J686" s="18">
        <v>6484.48</v>
      </c>
      <c r="K686" s="18">
        <v>4193.07</v>
      </c>
      <c r="L686" s="18">
        <v>2291.41</v>
      </c>
      <c r="M686" s="7" t="s">
        <v>35</v>
      </c>
      <c r="N686" s="7" t="s">
        <v>43</v>
      </c>
      <c r="O686" s="7" t="s">
        <v>44</v>
      </c>
      <c r="P686" s="7" t="str">
        <f t="shared" si="30"/>
        <v>Aug</v>
      </c>
      <c r="Q686" s="7">
        <f t="shared" si="31"/>
        <v>2025</v>
      </c>
      <c r="R686" s="23">
        <f t="shared" si="32"/>
        <v>0.35336835027635216</v>
      </c>
    </row>
    <row r="687" spans="1:18">
      <c r="A687" s="7" t="s">
        <v>1454</v>
      </c>
      <c r="B687" s="8">
        <v>46078</v>
      </c>
      <c r="C687" s="7" t="s">
        <v>1069</v>
      </c>
      <c r="D687" s="7" t="s">
        <v>95</v>
      </c>
      <c r="E687" s="7" t="s">
        <v>61</v>
      </c>
      <c r="F687" s="7" t="s">
        <v>81</v>
      </c>
      <c r="G687" s="7">
        <v>4</v>
      </c>
      <c r="H687" s="18">
        <v>3250.51</v>
      </c>
      <c r="I687" s="22">
        <v>0</v>
      </c>
      <c r="J687" s="18">
        <v>13002.04</v>
      </c>
      <c r="K687" s="18">
        <v>9958.2900000000009</v>
      </c>
      <c r="L687" s="18">
        <v>3043.75</v>
      </c>
      <c r="M687" s="7" t="s">
        <v>35</v>
      </c>
      <c r="N687" s="7" t="s">
        <v>71</v>
      </c>
      <c r="O687" s="7" t="s">
        <v>44</v>
      </c>
      <c r="P687" s="7" t="str">
        <f t="shared" si="30"/>
        <v>Feb</v>
      </c>
      <c r="Q687" s="7">
        <f t="shared" si="31"/>
        <v>2026</v>
      </c>
      <c r="R687" s="23">
        <f t="shared" si="32"/>
        <v>0.23409788002498069</v>
      </c>
    </row>
    <row r="688" spans="1:18">
      <c r="A688" s="7" t="s">
        <v>367</v>
      </c>
      <c r="B688" s="8">
        <v>46097</v>
      </c>
      <c r="C688" s="7" t="s">
        <v>241</v>
      </c>
      <c r="D688" s="7" t="s">
        <v>74</v>
      </c>
      <c r="E688" s="7" t="s">
        <v>33</v>
      </c>
      <c r="F688" s="7" t="s">
        <v>92</v>
      </c>
      <c r="G688" s="7">
        <v>4</v>
      </c>
      <c r="H688" s="18">
        <v>3255.65</v>
      </c>
      <c r="I688" s="22">
        <v>0.2</v>
      </c>
      <c r="J688" s="18">
        <v>10418.08</v>
      </c>
      <c r="K688" s="18">
        <v>6048.12</v>
      </c>
      <c r="L688" s="18">
        <v>4369.96</v>
      </c>
      <c r="M688" s="7" t="s">
        <v>57</v>
      </c>
      <c r="N688" s="7" t="s">
        <v>36</v>
      </c>
      <c r="O688" s="7" t="s">
        <v>44</v>
      </c>
      <c r="P688" s="7" t="str">
        <f t="shared" si="30"/>
        <v>Mar</v>
      </c>
      <c r="Q688" s="7">
        <f t="shared" si="31"/>
        <v>2026</v>
      </c>
      <c r="R688" s="23">
        <f t="shared" si="32"/>
        <v>0.41945924776926269</v>
      </c>
    </row>
    <row r="689" spans="1:18">
      <c r="A689" s="7" t="s">
        <v>1079</v>
      </c>
      <c r="B689" s="8">
        <v>46257</v>
      </c>
      <c r="C689" s="7" t="s">
        <v>312</v>
      </c>
      <c r="D689" s="7" t="s">
        <v>32</v>
      </c>
      <c r="E689" s="7" t="s">
        <v>48</v>
      </c>
      <c r="F689" s="7" t="s">
        <v>49</v>
      </c>
      <c r="G689" s="7">
        <v>3</v>
      </c>
      <c r="H689" s="18">
        <v>3275.75</v>
      </c>
      <c r="I689" s="22">
        <v>0.1</v>
      </c>
      <c r="J689" s="18">
        <v>8844.52</v>
      </c>
      <c r="K689" s="18">
        <v>6426.85</v>
      </c>
      <c r="L689" s="18">
        <v>2417.67</v>
      </c>
      <c r="M689" s="7" t="s">
        <v>57</v>
      </c>
      <c r="N689" s="7" t="s">
        <v>71</v>
      </c>
      <c r="O689" s="7" t="s">
        <v>37</v>
      </c>
      <c r="P689" s="7" t="str">
        <f t="shared" si="30"/>
        <v>Aug</v>
      </c>
      <c r="Q689" s="7">
        <f t="shared" si="31"/>
        <v>2026</v>
      </c>
      <c r="R689" s="23">
        <f t="shared" si="32"/>
        <v>0.27335231307069235</v>
      </c>
    </row>
    <row r="690" spans="1:18">
      <c r="A690" s="7" t="s">
        <v>249</v>
      </c>
      <c r="B690" s="8">
        <v>45691</v>
      </c>
      <c r="C690" s="7" t="s">
        <v>250</v>
      </c>
      <c r="D690" s="7" t="s">
        <v>52</v>
      </c>
      <c r="E690" s="7" t="s">
        <v>48</v>
      </c>
      <c r="F690" s="7" t="s">
        <v>99</v>
      </c>
      <c r="G690" s="7">
        <v>6</v>
      </c>
      <c r="H690" s="18">
        <v>3277.51</v>
      </c>
      <c r="I690" s="22">
        <v>0.1</v>
      </c>
      <c r="J690" s="18">
        <v>17698.55</v>
      </c>
      <c r="K690" s="18">
        <v>10350.26</v>
      </c>
      <c r="L690" s="18">
        <v>7348.29</v>
      </c>
      <c r="M690" s="7" t="s">
        <v>57</v>
      </c>
      <c r="N690" s="7" t="s">
        <v>71</v>
      </c>
      <c r="O690" s="7" t="s">
        <v>44</v>
      </c>
      <c r="P690" s="7" t="str">
        <f t="shared" si="30"/>
        <v>Feb</v>
      </c>
      <c r="Q690" s="7">
        <f t="shared" si="31"/>
        <v>2025</v>
      </c>
      <c r="R690" s="23">
        <f t="shared" si="32"/>
        <v>0.41519163999310682</v>
      </c>
    </row>
    <row r="691" spans="1:18">
      <c r="A691" s="7" t="s">
        <v>1468</v>
      </c>
      <c r="B691" s="8">
        <v>45875</v>
      </c>
      <c r="C691" s="7" t="s">
        <v>387</v>
      </c>
      <c r="D691" s="7" t="s">
        <v>47</v>
      </c>
      <c r="E691" s="7" t="s">
        <v>41</v>
      </c>
      <c r="F691" s="7" t="s">
        <v>124</v>
      </c>
      <c r="G691" s="7">
        <v>5</v>
      </c>
      <c r="H691" s="18">
        <v>3290.28</v>
      </c>
      <c r="I691" s="22">
        <v>0</v>
      </c>
      <c r="J691" s="18">
        <v>16451.400000000001</v>
      </c>
      <c r="K691" s="18">
        <v>12127.53</v>
      </c>
      <c r="L691" s="18">
        <v>4323.87</v>
      </c>
      <c r="M691" s="7" t="s">
        <v>35</v>
      </c>
      <c r="N691" s="7" t="s">
        <v>43</v>
      </c>
      <c r="O691" s="7" t="s">
        <v>44</v>
      </c>
      <c r="P691" s="7" t="str">
        <f t="shared" si="30"/>
        <v>Aug</v>
      </c>
      <c r="Q691" s="7">
        <f t="shared" si="31"/>
        <v>2025</v>
      </c>
      <c r="R691" s="23">
        <f t="shared" si="32"/>
        <v>0.26282687187716541</v>
      </c>
    </row>
    <row r="692" spans="1:18">
      <c r="A692" s="7" t="s">
        <v>989</v>
      </c>
      <c r="B692" s="8">
        <v>46220</v>
      </c>
      <c r="C692" s="7" t="s">
        <v>990</v>
      </c>
      <c r="D692" s="7" t="s">
        <v>32</v>
      </c>
      <c r="E692" s="7" t="s">
        <v>48</v>
      </c>
      <c r="F692" s="7" t="s">
        <v>102</v>
      </c>
      <c r="G692" s="7">
        <v>2</v>
      </c>
      <c r="H692" s="18">
        <v>3299.56</v>
      </c>
      <c r="I692" s="22">
        <v>0.15</v>
      </c>
      <c r="J692" s="18">
        <v>5609.25</v>
      </c>
      <c r="K692" s="18">
        <v>4501.78</v>
      </c>
      <c r="L692" s="18">
        <v>1107.47</v>
      </c>
      <c r="M692" s="7" t="s">
        <v>35</v>
      </c>
      <c r="N692" s="7" t="s">
        <v>43</v>
      </c>
      <c r="O692" s="7" t="s">
        <v>37</v>
      </c>
      <c r="P692" s="7" t="str">
        <f t="shared" si="30"/>
        <v>Jul</v>
      </c>
      <c r="Q692" s="7">
        <f t="shared" si="31"/>
        <v>2026</v>
      </c>
      <c r="R692" s="23">
        <f t="shared" si="32"/>
        <v>0.19743637741231002</v>
      </c>
    </row>
    <row r="693" spans="1:18">
      <c r="A693" s="7" t="s">
        <v>204</v>
      </c>
      <c r="B693" s="8">
        <v>46084</v>
      </c>
      <c r="C693" s="7" t="s">
        <v>205</v>
      </c>
      <c r="D693" s="7" t="s">
        <v>66</v>
      </c>
      <c r="E693" s="7" t="s">
        <v>61</v>
      </c>
      <c r="F693" s="7" t="s">
        <v>89</v>
      </c>
      <c r="G693" s="7">
        <v>4</v>
      </c>
      <c r="H693" s="18">
        <v>3302.94</v>
      </c>
      <c r="I693" s="22">
        <v>0</v>
      </c>
      <c r="J693" s="18">
        <v>13211.76</v>
      </c>
      <c r="K693" s="18">
        <v>9886.7999999999993</v>
      </c>
      <c r="L693" s="18">
        <v>3324.96</v>
      </c>
      <c r="M693" s="7" t="s">
        <v>57</v>
      </c>
      <c r="N693" s="7" t="s">
        <v>63</v>
      </c>
      <c r="O693" s="7" t="s">
        <v>37</v>
      </c>
      <c r="P693" s="7" t="str">
        <f t="shared" si="30"/>
        <v>Mar</v>
      </c>
      <c r="Q693" s="7">
        <f t="shared" si="31"/>
        <v>2026</v>
      </c>
      <c r="R693" s="23">
        <f t="shared" si="32"/>
        <v>0.25166669694272376</v>
      </c>
    </row>
    <row r="694" spans="1:18">
      <c r="A694" s="7" t="s">
        <v>643</v>
      </c>
      <c r="B694" s="8">
        <v>45938</v>
      </c>
      <c r="C694" s="7" t="s">
        <v>644</v>
      </c>
      <c r="D694" s="7" t="s">
        <v>52</v>
      </c>
      <c r="E694" s="7" t="s">
        <v>48</v>
      </c>
      <c r="F694" s="7" t="s">
        <v>113</v>
      </c>
      <c r="G694" s="7">
        <v>5</v>
      </c>
      <c r="H694" s="18">
        <v>3302.99</v>
      </c>
      <c r="I694" s="22">
        <v>0.1</v>
      </c>
      <c r="J694" s="18">
        <v>14863.45</v>
      </c>
      <c r="K694" s="18">
        <v>9643.08</v>
      </c>
      <c r="L694" s="18">
        <v>5220.37</v>
      </c>
      <c r="M694" s="7" t="s">
        <v>57</v>
      </c>
      <c r="N694" s="7" t="s">
        <v>43</v>
      </c>
      <c r="O694" s="7" t="s">
        <v>44</v>
      </c>
      <c r="P694" s="7" t="str">
        <f t="shared" si="30"/>
        <v>Oct</v>
      </c>
      <c r="Q694" s="7">
        <f t="shared" si="31"/>
        <v>2025</v>
      </c>
      <c r="R694" s="23">
        <f t="shared" si="32"/>
        <v>0.35122195721720056</v>
      </c>
    </row>
    <row r="695" spans="1:18">
      <c r="A695" s="7" t="s">
        <v>707</v>
      </c>
      <c r="B695" s="8">
        <v>46190</v>
      </c>
      <c r="C695" s="7" t="s">
        <v>708</v>
      </c>
      <c r="D695" s="7" t="s">
        <v>40</v>
      </c>
      <c r="E695" s="7" t="s">
        <v>41</v>
      </c>
      <c r="F695" s="7" t="s">
        <v>53</v>
      </c>
      <c r="G695" s="7">
        <v>5</v>
      </c>
      <c r="H695" s="18">
        <v>3306.44</v>
      </c>
      <c r="I695" s="22">
        <v>0</v>
      </c>
      <c r="J695" s="18">
        <v>16532.2</v>
      </c>
      <c r="K695" s="18">
        <v>13702.95</v>
      </c>
      <c r="L695" s="18">
        <v>2829.25</v>
      </c>
      <c r="M695" s="7" t="s">
        <v>57</v>
      </c>
      <c r="N695" s="7" t="s">
        <v>36</v>
      </c>
      <c r="O695" s="7" t="s">
        <v>44</v>
      </c>
      <c r="P695" s="7" t="str">
        <f t="shared" si="30"/>
        <v>Jun</v>
      </c>
      <c r="Q695" s="7">
        <f t="shared" si="31"/>
        <v>2026</v>
      </c>
      <c r="R695" s="23">
        <f t="shared" si="32"/>
        <v>0.17113572301327107</v>
      </c>
    </row>
    <row r="696" spans="1:18">
      <c r="A696" s="7" t="s">
        <v>1220</v>
      </c>
      <c r="B696" s="8">
        <v>45982</v>
      </c>
      <c r="C696" s="7" t="s">
        <v>51</v>
      </c>
      <c r="D696" s="7" t="s">
        <v>52</v>
      </c>
      <c r="E696" s="7" t="s">
        <v>41</v>
      </c>
      <c r="F696" s="7" t="s">
        <v>153</v>
      </c>
      <c r="G696" s="7">
        <v>6</v>
      </c>
      <c r="H696" s="18">
        <v>3311.98</v>
      </c>
      <c r="I696" s="22">
        <v>0.05</v>
      </c>
      <c r="J696" s="18">
        <v>18878.29</v>
      </c>
      <c r="K696" s="18">
        <v>12130.91</v>
      </c>
      <c r="L696" s="18">
        <v>6747.38</v>
      </c>
      <c r="M696" s="7" t="s">
        <v>35</v>
      </c>
      <c r="N696" s="7" t="s">
        <v>63</v>
      </c>
      <c r="O696" s="7" t="s">
        <v>37</v>
      </c>
      <c r="P696" s="7" t="str">
        <f t="shared" si="30"/>
        <v>Nov</v>
      </c>
      <c r="Q696" s="7">
        <f t="shared" si="31"/>
        <v>2025</v>
      </c>
      <c r="R696" s="23">
        <f t="shared" si="32"/>
        <v>0.3574147870384447</v>
      </c>
    </row>
    <row r="697" spans="1:18">
      <c r="A697" s="7" t="s">
        <v>1527</v>
      </c>
      <c r="B697" s="8">
        <v>46055</v>
      </c>
      <c r="C697" s="7" t="s">
        <v>846</v>
      </c>
      <c r="D697" s="7" t="s">
        <v>47</v>
      </c>
      <c r="E697" s="7" t="s">
        <v>48</v>
      </c>
      <c r="F697" s="7" t="s">
        <v>49</v>
      </c>
      <c r="G697" s="7">
        <v>6</v>
      </c>
      <c r="H697" s="18">
        <v>3315.11</v>
      </c>
      <c r="I697" s="22">
        <v>0.15</v>
      </c>
      <c r="J697" s="18">
        <v>16907.060000000001</v>
      </c>
      <c r="K697" s="18">
        <v>13876.06</v>
      </c>
      <c r="L697" s="18">
        <v>3031</v>
      </c>
      <c r="M697" s="7" t="s">
        <v>35</v>
      </c>
      <c r="N697" s="7" t="s">
        <v>43</v>
      </c>
      <c r="O697" s="7" t="s">
        <v>44</v>
      </c>
      <c r="P697" s="7" t="str">
        <f t="shared" si="30"/>
        <v>Feb</v>
      </c>
      <c r="Q697" s="7">
        <f t="shared" si="31"/>
        <v>2026</v>
      </c>
      <c r="R697" s="23">
        <f t="shared" si="32"/>
        <v>0.17927422035528351</v>
      </c>
    </row>
    <row r="698" spans="1:18">
      <c r="A698" s="7" t="s">
        <v>1423</v>
      </c>
      <c r="B698" s="8">
        <v>46171</v>
      </c>
      <c r="C698" s="7" t="s">
        <v>191</v>
      </c>
      <c r="D698" s="7" t="s">
        <v>56</v>
      </c>
      <c r="E698" s="7" t="s">
        <v>41</v>
      </c>
      <c r="F698" s="7" t="s">
        <v>53</v>
      </c>
      <c r="G698" s="7">
        <v>3</v>
      </c>
      <c r="H698" s="18">
        <v>3317.98</v>
      </c>
      <c r="I698" s="22">
        <v>0.1</v>
      </c>
      <c r="J698" s="18">
        <v>8958.5499999999993</v>
      </c>
      <c r="K698" s="18">
        <v>6261.22</v>
      </c>
      <c r="L698" s="18">
        <v>2697.33</v>
      </c>
      <c r="M698" s="7" t="s">
        <v>57</v>
      </c>
      <c r="N698" s="7" t="s">
        <v>63</v>
      </c>
      <c r="O698" s="7" t="s">
        <v>44</v>
      </c>
      <c r="P698" s="7" t="str">
        <f t="shared" si="30"/>
        <v>May</v>
      </c>
      <c r="Q698" s="7">
        <f t="shared" si="31"/>
        <v>2026</v>
      </c>
      <c r="R698" s="23">
        <f t="shared" si="32"/>
        <v>0.3010900201483499</v>
      </c>
    </row>
    <row r="699" spans="1:18">
      <c r="A699" s="7" t="s">
        <v>1344</v>
      </c>
      <c r="B699" s="8">
        <v>45961</v>
      </c>
      <c r="C699" s="7" t="s">
        <v>73</v>
      </c>
      <c r="D699" s="7" t="s">
        <v>66</v>
      </c>
      <c r="E699" s="7" t="s">
        <v>48</v>
      </c>
      <c r="F699" s="7" t="s">
        <v>102</v>
      </c>
      <c r="G699" s="7">
        <v>4</v>
      </c>
      <c r="H699" s="18">
        <v>3321.41</v>
      </c>
      <c r="I699" s="22">
        <v>0</v>
      </c>
      <c r="J699" s="18">
        <v>13285.64</v>
      </c>
      <c r="K699" s="18">
        <v>10049.68</v>
      </c>
      <c r="L699" s="18">
        <v>3235.96</v>
      </c>
      <c r="M699" s="7" t="s">
        <v>35</v>
      </c>
      <c r="N699" s="7" t="s">
        <v>71</v>
      </c>
      <c r="O699" s="7" t="s">
        <v>37</v>
      </c>
      <c r="P699" s="7" t="str">
        <f t="shared" si="30"/>
        <v>Oct</v>
      </c>
      <c r="Q699" s="7">
        <f t="shared" si="31"/>
        <v>2025</v>
      </c>
      <c r="R699" s="23">
        <f t="shared" si="32"/>
        <v>0.24356824360738363</v>
      </c>
    </row>
    <row r="700" spans="1:18">
      <c r="A700" s="7" t="s">
        <v>979</v>
      </c>
      <c r="B700" s="8">
        <v>46071</v>
      </c>
      <c r="C700" s="7" t="s">
        <v>980</v>
      </c>
      <c r="D700" s="7" t="s">
        <v>74</v>
      </c>
      <c r="E700" s="7" t="s">
        <v>41</v>
      </c>
      <c r="F700" s="7" t="s">
        <v>53</v>
      </c>
      <c r="G700" s="7">
        <v>3</v>
      </c>
      <c r="H700" s="18">
        <v>3322.44</v>
      </c>
      <c r="I700" s="22">
        <v>0</v>
      </c>
      <c r="J700" s="18">
        <v>9967.32</v>
      </c>
      <c r="K700" s="18">
        <v>6851.04</v>
      </c>
      <c r="L700" s="18">
        <v>3116.28</v>
      </c>
      <c r="M700" s="7" t="s">
        <v>35</v>
      </c>
      <c r="N700" s="7" t="s">
        <v>43</v>
      </c>
      <c r="O700" s="7" t="s">
        <v>44</v>
      </c>
      <c r="P700" s="7" t="str">
        <f t="shared" si="30"/>
        <v>Feb</v>
      </c>
      <c r="Q700" s="7">
        <f t="shared" si="31"/>
        <v>2026</v>
      </c>
      <c r="R700" s="23">
        <f t="shared" si="32"/>
        <v>0.3126497393481899</v>
      </c>
    </row>
    <row r="701" spans="1:18">
      <c r="A701" s="7" t="s">
        <v>1363</v>
      </c>
      <c r="B701" s="8">
        <v>45773</v>
      </c>
      <c r="C701" s="7" t="s">
        <v>1364</v>
      </c>
      <c r="D701" s="7" t="s">
        <v>56</v>
      </c>
      <c r="E701" s="7" t="s">
        <v>61</v>
      </c>
      <c r="F701" s="7" t="s">
        <v>81</v>
      </c>
      <c r="G701" s="7">
        <v>5</v>
      </c>
      <c r="H701" s="18">
        <v>3324.59</v>
      </c>
      <c r="I701" s="22">
        <v>0.1</v>
      </c>
      <c r="J701" s="18">
        <v>14960.66</v>
      </c>
      <c r="K701" s="18">
        <v>11387.66</v>
      </c>
      <c r="L701" s="18">
        <v>3573</v>
      </c>
      <c r="M701" s="7" t="s">
        <v>35</v>
      </c>
      <c r="N701" s="7" t="s">
        <v>71</v>
      </c>
      <c r="O701" s="7" t="s">
        <v>44</v>
      </c>
      <c r="P701" s="7" t="str">
        <f t="shared" si="30"/>
        <v>Apr</v>
      </c>
      <c r="Q701" s="7">
        <f t="shared" si="31"/>
        <v>2025</v>
      </c>
      <c r="R701" s="23">
        <f t="shared" si="32"/>
        <v>0.23882636193857759</v>
      </c>
    </row>
    <row r="702" spans="1:18">
      <c r="A702" s="7" t="s">
        <v>1145</v>
      </c>
      <c r="B702" s="8">
        <v>46040</v>
      </c>
      <c r="C702" s="7" t="s">
        <v>1146</v>
      </c>
      <c r="D702" s="7" t="s">
        <v>95</v>
      </c>
      <c r="E702" s="7" t="s">
        <v>41</v>
      </c>
      <c r="F702" s="7" t="s">
        <v>53</v>
      </c>
      <c r="G702" s="7">
        <v>1</v>
      </c>
      <c r="H702" s="18">
        <v>3337.43</v>
      </c>
      <c r="I702" s="22">
        <v>0</v>
      </c>
      <c r="J702" s="18">
        <v>3337.43</v>
      </c>
      <c r="K702" s="18">
        <v>2077.0100000000002</v>
      </c>
      <c r="L702" s="18">
        <v>1260.42</v>
      </c>
      <c r="M702" s="7" t="s">
        <v>57</v>
      </c>
      <c r="N702" s="7" t="s">
        <v>71</v>
      </c>
      <c r="O702" s="7" t="s">
        <v>44</v>
      </c>
      <c r="P702" s="7" t="str">
        <f t="shared" si="30"/>
        <v>Jan</v>
      </c>
      <c r="Q702" s="7">
        <f t="shared" si="31"/>
        <v>2026</v>
      </c>
      <c r="R702" s="23">
        <f t="shared" si="32"/>
        <v>0.37766185358194782</v>
      </c>
    </row>
    <row r="703" spans="1:18">
      <c r="A703" s="7" t="s">
        <v>1097</v>
      </c>
      <c r="B703" s="8">
        <v>46147</v>
      </c>
      <c r="C703" s="7" t="s">
        <v>112</v>
      </c>
      <c r="D703" s="7" t="s">
        <v>56</v>
      </c>
      <c r="E703" s="7" t="s">
        <v>61</v>
      </c>
      <c r="F703" s="7" t="s">
        <v>62</v>
      </c>
      <c r="G703" s="7">
        <v>5</v>
      </c>
      <c r="H703" s="18">
        <v>3339.74</v>
      </c>
      <c r="I703" s="22">
        <v>0.15</v>
      </c>
      <c r="J703" s="18">
        <v>14193.89</v>
      </c>
      <c r="K703" s="18">
        <v>8673.82</v>
      </c>
      <c r="L703" s="18">
        <v>5520.07</v>
      </c>
      <c r="M703" s="7" t="s">
        <v>57</v>
      </c>
      <c r="N703" s="7" t="s">
        <v>71</v>
      </c>
      <c r="O703" s="7" t="s">
        <v>37</v>
      </c>
      <c r="P703" s="7" t="str">
        <f t="shared" si="30"/>
        <v>May</v>
      </c>
      <c r="Q703" s="7">
        <f t="shared" si="31"/>
        <v>2026</v>
      </c>
      <c r="R703" s="23">
        <f t="shared" si="32"/>
        <v>0.38890466249914574</v>
      </c>
    </row>
    <row r="704" spans="1:18">
      <c r="A704" s="7" t="s">
        <v>1474</v>
      </c>
      <c r="B704" s="8">
        <v>45875</v>
      </c>
      <c r="C704" s="7" t="s">
        <v>1475</v>
      </c>
      <c r="D704" s="7" t="s">
        <v>66</v>
      </c>
      <c r="E704" s="7" t="s">
        <v>48</v>
      </c>
      <c r="F704" s="7" t="s">
        <v>99</v>
      </c>
      <c r="G704" s="7">
        <v>6</v>
      </c>
      <c r="H704" s="18">
        <v>3343.67</v>
      </c>
      <c r="I704" s="22">
        <v>0.15</v>
      </c>
      <c r="J704" s="18">
        <v>17052.72</v>
      </c>
      <c r="K704" s="18">
        <v>13625.76</v>
      </c>
      <c r="L704" s="18">
        <v>3426.96</v>
      </c>
      <c r="M704" s="7" t="s">
        <v>57</v>
      </c>
      <c r="N704" s="7" t="s">
        <v>36</v>
      </c>
      <c r="O704" s="7" t="s">
        <v>37</v>
      </c>
      <c r="P704" s="7" t="str">
        <f t="shared" si="30"/>
        <v>Aug</v>
      </c>
      <c r="Q704" s="7">
        <f t="shared" si="31"/>
        <v>2025</v>
      </c>
      <c r="R704" s="23">
        <f t="shared" si="32"/>
        <v>0.20096266167508761</v>
      </c>
    </row>
    <row r="705" spans="1:18">
      <c r="A705" s="7" t="s">
        <v>1393</v>
      </c>
      <c r="B705" s="8">
        <v>45744</v>
      </c>
      <c r="C705" s="7" t="s">
        <v>161</v>
      </c>
      <c r="D705" s="7" t="s">
        <v>52</v>
      </c>
      <c r="E705" s="7" t="s">
        <v>48</v>
      </c>
      <c r="F705" s="7" t="s">
        <v>102</v>
      </c>
      <c r="G705" s="7">
        <v>2</v>
      </c>
      <c r="H705" s="18">
        <v>3353.48</v>
      </c>
      <c r="I705" s="22">
        <v>0.1</v>
      </c>
      <c r="J705" s="18">
        <v>6036.26</v>
      </c>
      <c r="K705" s="18">
        <v>4822.62</v>
      </c>
      <c r="L705" s="18">
        <v>1213.6400000000001</v>
      </c>
      <c r="M705" s="7" t="s">
        <v>57</v>
      </c>
      <c r="N705" s="7" t="s">
        <v>63</v>
      </c>
      <c r="O705" s="7" t="s">
        <v>37</v>
      </c>
      <c r="P705" s="7" t="str">
        <f t="shared" si="30"/>
        <v>Mar</v>
      </c>
      <c r="Q705" s="7">
        <f t="shared" si="31"/>
        <v>2025</v>
      </c>
      <c r="R705" s="23">
        <f t="shared" si="32"/>
        <v>0.20105827118116185</v>
      </c>
    </row>
    <row r="706" spans="1:18">
      <c r="A706" s="7" t="s">
        <v>1459</v>
      </c>
      <c r="B706" s="8">
        <v>45900</v>
      </c>
      <c r="C706" s="7" t="s">
        <v>326</v>
      </c>
      <c r="D706" s="7" t="s">
        <v>52</v>
      </c>
      <c r="E706" s="7" t="s">
        <v>33</v>
      </c>
      <c r="F706" s="7" t="s">
        <v>92</v>
      </c>
      <c r="G706" s="7">
        <v>2</v>
      </c>
      <c r="H706" s="18">
        <v>3355.02</v>
      </c>
      <c r="I706" s="22">
        <v>0.05</v>
      </c>
      <c r="J706" s="18">
        <v>6374.54</v>
      </c>
      <c r="K706" s="18">
        <v>4098.3900000000003</v>
      </c>
      <c r="L706" s="18">
        <v>2276.15</v>
      </c>
      <c r="M706" s="7" t="s">
        <v>35</v>
      </c>
      <c r="N706" s="7" t="s">
        <v>63</v>
      </c>
      <c r="O706" s="7" t="s">
        <v>44</v>
      </c>
      <c r="P706" s="7" t="str">
        <f t="shared" ref="P706:P769" si="33">TEXT(B706,"mmm")</f>
        <v>Aug</v>
      </c>
      <c r="Q706" s="7">
        <f t="shared" ref="Q706:Q769" si="34">YEAR(B706)</f>
        <v>2025</v>
      </c>
      <c r="R706" s="23">
        <f t="shared" ref="R706:R769" si="35">IFERROR(L706/J706,0)</f>
        <v>0.35706890222667048</v>
      </c>
    </row>
    <row r="707" spans="1:18">
      <c r="A707" s="7" t="s">
        <v>1340</v>
      </c>
      <c r="B707" s="8">
        <v>45720</v>
      </c>
      <c r="C707" s="7" t="s">
        <v>815</v>
      </c>
      <c r="D707" s="7" t="s">
        <v>66</v>
      </c>
      <c r="E707" s="7" t="s">
        <v>33</v>
      </c>
      <c r="F707" s="7" t="s">
        <v>34</v>
      </c>
      <c r="G707" s="7">
        <v>4</v>
      </c>
      <c r="H707" s="18">
        <v>3355.33</v>
      </c>
      <c r="I707" s="22">
        <v>0</v>
      </c>
      <c r="J707" s="18">
        <v>13421.32</v>
      </c>
      <c r="K707" s="18">
        <v>8626.1</v>
      </c>
      <c r="L707" s="18">
        <v>4795.22</v>
      </c>
      <c r="M707" s="7" t="s">
        <v>57</v>
      </c>
      <c r="N707" s="7" t="s">
        <v>36</v>
      </c>
      <c r="O707" s="7" t="s">
        <v>44</v>
      </c>
      <c r="P707" s="7" t="str">
        <f t="shared" si="33"/>
        <v>Mar</v>
      </c>
      <c r="Q707" s="7">
        <f t="shared" si="34"/>
        <v>2025</v>
      </c>
      <c r="R707" s="23">
        <f t="shared" si="35"/>
        <v>0.3572837843073558</v>
      </c>
    </row>
    <row r="708" spans="1:18">
      <c r="A708" s="7" t="s">
        <v>918</v>
      </c>
      <c r="B708" s="8">
        <v>45896</v>
      </c>
      <c r="C708" s="7" t="s">
        <v>802</v>
      </c>
      <c r="D708" s="7" t="s">
        <v>134</v>
      </c>
      <c r="E708" s="7" t="s">
        <v>48</v>
      </c>
      <c r="F708" s="7" t="s">
        <v>99</v>
      </c>
      <c r="G708" s="7">
        <v>2</v>
      </c>
      <c r="H708" s="18">
        <v>3358.68</v>
      </c>
      <c r="I708" s="22">
        <v>0.15</v>
      </c>
      <c r="J708" s="18">
        <v>5709.76</v>
      </c>
      <c r="K708" s="18">
        <v>4743.2299999999996</v>
      </c>
      <c r="L708" s="18">
        <v>966.53</v>
      </c>
      <c r="M708" s="7" t="s">
        <v>35</v>
      </c>
      <c r="N708" s="7" t="s">
        <v>36</v>
      </c>
      <c r="O708" s="7" t="s">
        <v>44</v>
      </c>
      <c r="P708" s="7" t="str">
        <f t="shared" si="33"/>
        <v>Aug</v>
      </c>
      <c r="Q708" s="7">
        <f t="shared" si="34"/>
        <v>2025</v>
      </c>
      <c r="R708" s="23">
        <f t="shared" si="35"/>
        <v>0.16927681723925347</v>
      </c>
    </row>
    <row r="709" spans="1:18">
      <c r="A709" s="7" t="s">
        <v>1046</v>
      </c>
      <c r="B709" s="8">
        <v>45895</v>
      </c>
      <c r="C709" s="7" t="s">
        <v>326</v>
      </c>
      <c r="D709" s="7" t="s">
        <v>32</v>
      </c>
      <c r="E709" s="7" t="s">
        <v>48</v>
      </c>
      <c r="F709" s="7" t="s">
        <v>70</v>
      </c>
      <c r="G709" s="7">
        <v>2</v>
      </c>
      <c r="H709" s="18">
        <v>3361.07</v>
      </c>
      <c r="I709" s="22">
        <v>0.1</v>
      </c>
      <c r="J709" s="18">
        <v>6049.93</v>
      </c>
      <c r="K709" s="18">
        <v>4896.82</v>
      </c>
      <c r="L709" s="18">
        <v>1153.1099999999999</v>
      </c>
      <c r="M709" s="7" t="s">
        <v>35</v>
      </c>
      <c r="N709" s="7" t="s">
        <v>43</v>
      </c>
      <c r="O709" s="7" t="s">
        <v>44</v>
      </c>
      <c r="P709" s="7" t="str">
        <f t="shared" si="33"/>
        <v>Aug</v>
      </c>
      <c r="Q709" s="7">
        <f t="shared" si="34"/>
        <v>2025</v>
      </c>
      <c r="R709" s="23">
        <f t="shared" si="35"/>
        <v>0.19059889949139905</v>
      </c>
    </row>
    <row r="710" spans="1:18">
      <c r="A710" s="7" t="s">
        <v>801</v>
      </c>
      <c r="B710" s="8">
        <v>45845</v>
      </c>
      <c r="C710" s="7" t="s">
        <v>802</v>
      </c>
      <c r="D710" s="7" t="s">
        <v>47</v>
      </c>
      <c r="E710" s="7" t="s">
        <v>61</v>
      </c>
      <c r="F710" s="7" t="s">
        <v>84</v>
      </c>
      <c r="G710" s="7">
        <v>2</v>
      </c>
      <c r="H710" s="18">
        <v>3361.48</v>
      </c>
      <c r="I710" s="22">
        <v>0.15</v>
      </c>
      <c r="J710" s="18">
        <v>5714.52</v>
      </c>
      <c r="K710" s="18">
        <v>3250.65</v>
      </c>
      <c r="L710" s="18">
        <v>2463.87</v>
      </c>
      <c r="M710" s="7" t="s">
        <v>57</v>
      </c>
      <c r="N710" s="7" t="s">
        <v>63</v>
      </c>
      <c r="O710" s="7" t="s">
        <v>44</v>
      </c>
      <c r="P710" s="7" t="str">
        <f t="shared" si="33"/>
        <v>Jul</v>
      </c>
      <c r="Q710" s="7">
        <f t="shared" si="34"/>
        <v>2025</v>
      </c>
      <c r="R710" s="23">
        <f t="shared" si="35"/>
        <v>0.43115957245752917</v>
      </c>
    </row>
    <row r="711" spans="1:18">
      <c r="A711" s="7" t="s">
        <v>1755</v>
      </c>
      <c r="B711" s="8">
        <v>45963</v>
      </c>
      <c r="C711" s="7" t="s">
        <v>175</v>
      </c>
      <c r="D711" s="7" t="s">
        <v>56</v>
      </c>
      <c r="E711" s="7" t="s">
        <v>61</v>
      </c>
      <c r="F711" s="7" t="s">
        <v>89</v>
      </c>
      <c r="G711" s="7">
        <v>2</v>
      </c>
      <c r="H711" s="18">
        <v>3361.76</v>
      </c>
      <c r="I711" s="22">
        <v>0</v>
      </c>
      <c r="J711" s="18">
        <v>6723.52</v>
      </c>
      <c r="K711" s="18">
        <v>5676.17</v>
      </c>
      <c r="L711" s="18">
        <v>1047.3499999999999</v>
      </c>
      <c r="M711" s="7" t="s">
        <v>57</v>
      </c>
      <c r="N711" s="7" t="s">
        <v>71</v>
      </c>
      <c r="O711" s="7" t="s">
        <v>44</v>
      </c>
      <c r="P711" s="7" t="str">
        <f t="shared" si="33"/>
        <v>Nov</v>
      </c>
      <c r="Q711" s="7">
        <f t="shared" si="34"/>
        <v>2025</v>
      </c>
      <c r="R711" s="23">
        <f t="shared" si="35"/>
        <v>0.15577405882632905</v>
      </c>
    </row>
    <row r="712" spans="1:18">
      <c r="A712" s="7" t="s">
        <v>109</v>
      </c>
      <c r="B712" s="8">
        <v>45947</v>
      </c>
      <c r="C712" s="7" t="s">
        <v>110</v>
      </c>
      <c r="D712" s="7" t="s">
        <v>95</v>
      </c>
      <c r="E712" s="7" t="s">
        <v>33</v>
      </c>
      <c r="F712" s="7" t="s">
        <v>96</v>
      </c>
      <c r="G712" s="7">
        <v>6</v>
      </c>
      <c r="H712" s="18">
        <v>3369.69</v>
      </c>
      <c r="I712" s="22">
        <v>0</v>
      </c>
      <c r="J712" s="18">
        <v>20218.14</v>
      </c>
      <c r="K712" s="18">
        <v>12229.23</v>
      </c>
      <c r="L712" s="18">
        <v>7988.91</v>
      </c>
      <c r="M712" s="7" t="s">
        <v>57</v>
      </c>
      <c r="N712" s="7" t="s">
        <v>71</v>
      </c>
      <c r="O712" s="7" t="s">
        <v>44</v>
      </c>
      <c r="P712" s="7" t="str">
        <f t="shared" si="33"/>
        <v>Oct</v>
      </c>
      <c r="Q712" s="7">
        <f t="shared" si="34"/>
        <v>2025</v>
      </c>
      <c r="R712" s="23">
        <f t="shared" si="35"/>
        <v>0.39513575432754944</v>
      </c>
    </row>
    <row r="713" spans="1:18">
      <c r="A713" s="7" t="s">
        <v>618</v>
      </c>
      <c r="B713" s="8">
        <v>45885</v>
      </c>
      <c r="C713" s="7" t="s">
        <v>619</v>
      </c>
      <c r="D713" s="7" t="s">
        <v>66</v>
      </c>
      <c r="E713" s="7" t="s">
        <v>61</v>
      </c>
      <c r="F713" s="7" t="s">
        <v>81</v>
      </c>
      <c r="G713" s="7">
        <v>1</v>
      </c>
      <c r="H713" s="18">
        <v>3372.07</v>
      </c>
      <c r="I713" s="22">
        <v>0</v>
      </c>
      <c r="J713" s="18">
        <v>3372.07</v>
      </c>
      <c r="K713" s="18">
        <v>2017.43</v>
      </c>
      <c r="L713" s="18">
        <v>1354.64</v>
      </c>
      <c r="M713" s="7" t="s">
        <v>57</v>
      </c>
      <c r="N713" s="7" t="s">
        <v>36</v>
      </c>
      <c r="O713" s="7" t="s">
        <v>44</v>
      </c>
      <c r="P713" s="7" t="str">
        <f t="shared" si="33"/>
        <v>Aug</v>
      </c>
      <c r="Q713" s="7">
        <f t="shared" si="34"/>
        <v>2025</v>
      </c>
      <c r="R713" s="23">
        <f t="shared" si="35"/>
        <v>0.40172357038851508</v>
      </c>
    </row>
    <row r="714" spans="1:18">
      <c r="A714" s="7" t="s">
        <v>251</v>
      </c>
      <c r="B714" s="8">
        <v>46265</v>
      </c>
      <c r="C714" s="7" t="s">
        <v>252</v>
      </c>
      <c r="D714" s="7" t="s">
        <v>47</v>
      </c>
      <c r="E714" s="7" t="s">
        <v>33</v>
      </c>
      <c r="F714" s="7" t="s">
        <v>176</v>
      </c>
      <c r="G714" s="7">
        <v>4</v>
      </c>
      <c r="H714" s="18">
        <v>3373.84</v>
      </c>
      <c r="I714" s="22">
        <v>0.15</v>
      </c>
      <c r="J714" s="18">
        <v>11471.06</v>
      </c>
      <c r="K714" s="18">
        <v>6381.73</v>
      </c>
      <c r="L714" s="18">
        <v>5089.33</v>
      </c>
      <c r="M714" s="7" t="s">
        <v>35</v>
      </c>
      <c r="N714" s="7" t="s">
        <v>36</v>
      </c>
      <c r="O714" s="7" t="s">
        <v>37</v>
      </c>
      <c r="P714" s="7" t="str">
        <f t="shared" si="33"/>
        <v>Aug</v>
      </c>
      <c r="Q714" s="7">
        <f t="shared" si="34"/>
        <v>2026</v>
      </c>
      <c r="R714" s="23">
        <f t="shared" si="35"/>
        <v>0.4436669322625808</v>
      </c>
    </row>
    <row r="715" spans="1:18">
      <c r="A715" s="7" t="s">
        <v>451</v>
      </c>
      <c r="B715" s="8">
        <v>46179</v>
      </c>
      <c r="C715" s="7" t="s">
        <v>452</v>
      </c>
      <c r="D715" s="7" t="s">
        <v>47</v>
      </c>
      <c r="E715" s="7" t="s">
        <v>41</v>
      </c>
      <c r="F715" s="7" t="s">
        <v>53</v>
      </c>
      <c r="G715" s="7">
        <v>6</v>
      </c>
      <c r="H715" s="18">
        <v>3375</v>
      </c>
      <c r="I715" s="22">
        <v>0</v>
      </c>
      <c r="J715" s="18">
        <v>20250</v>
      </c>
      <c r="K715" s="18">
        <v>15533.24</v>
      </c>
      <c r="L715" s="18">
        <v>4716.76</v>
      </c>
      <c r="M715" s="7" t="s">
        <v>35</v>
      </c>
      <c r="N715" s="7" t="s">
        <v>63</v>
      </c>
      <c r="O715" s="7" t="s">
        <v>37</v>
      </c>
      <c r="P715" s="7" t="str">
        <f t="shared" si="33"/>
        <v>Jun</v>
      </c>
      <c r="Q715" s="7">
        <f t="shared" si="34"/>
        <v>2026</v>
      </c>
      <c r="R715" s="23">
        <f t="shared" si="35"/>
        <v>0.23292641975308642</v>
      </c>
    </row>
    <row r="716" spans="1:18">
      <c r="A716" s="7" t="s">
        <v>1299</v>
      </c>
      <c r="B716" s="8">
        <v>45711</v>
      </c>
      <c r="C716" s="7" t="s">
        <v>148</v>
      </c>
      <c r="D716" s="7" t="s">
        <v>40</v>
      </c>
      <c r="E716" s="7" t="s">
        <v>48</v>
      </c>
      <c r="F716" s="7" t="s">
        <v>102</v>
      </c>
      <c r="G716" s="7">
        <v>1</v>
      </c>
      <c r="H716" s="18">
        <v>3375.21</v>
      </c>
      <c r="I716" s="22">
        <v>0</v>
      </c>
      <c r="J716" s="18">
        <v>3375.21</v>
      </c>
      <c r="K716" s="18">
        <v>2762.19</v>
      </c>
      <c r="L716" s="18">
        <v>613.02</v>
      </c>
      <c r="M716" s="7" t="s">
        <v>57</v>
      </c>
      <c r="N716" s="7" t="s">
        <v>63</v>
      </c>
      <c r="O716" s="7" t="s">
        <v>37</v>
      </c>
      <c r="P716" s="7" t="str">
        <f t="shared" si="33"/>
        <v>Feb</v>
      </c>
      <c r="Q716" s="7">
        <f t="shared" si="34"/>
        <v>2025</v>
      </c>
      <c r="R716" s="23">
        <f t="shared" si="35"/>
        <v>0.18162425449083167</v>
      </c>
    </row>
    <row r="717" spans="1:18">
      <c r="A717" s="7" t="s">
        <v>1614</v>
      </c>
      <c r="B717" s="8">
        <v>45692</v>
      </c>
      <c r="C717" s="7" t="s">
        <v>181</v>
      </c>
      <c r="D717" s="7" t="s">
        <v>52</v>
      </c>
      <c r="E717" s="7" t="s">
        <v>33</v>
      </c>
      <c r="F717" s="7" t="s">
        <v>176</v>
      </c>
      <c r="G717" s="7">
        <v>6</v>
      </c>
      <c r="H717" s="18">
        <v>3380.11</v>
      </c>
      <c r="I717" s="22">
        <v>0</v>
      </c>
      <c r="J717" s="18">
        <v>20280.66</v>
      </c>
      <c r="K717" s="18">
        <v>14209.15</v>
      </c>
      <c r="L717" s="18">
        <v>6071.51</v>
      </c>
      <c r="M717" s="7" t="s">
        <v>35</v>
      </c>
      <c r="N717" s="7" t="s">
        <v>71</v>
      </c>
      <c r="O717" s="7" t="s">
        <v>37</v>
      </c>
      <c r="P717" s="7" t="str">
        <f t="shared" si="33"/>
        <v>Feb</v>
      </c>
      <c r="Q717" s="7">
        <f t="shared" si="34"/>
        <v>2025</v>
      </c>
      <c r="R717" s="23">
        <f t="shared" si="35"/>
        <v>0.29937437933479483</v>
      </c>
    </row>
    <row r="718" spans="1:18">
      <c r="A718" s="7" t="s">
        <v>1692</v>
      </c>
      <c r="B718" s="8">
        <v>46050</v>
      </c>
      <c r="C718" s="7" t="s">
        <v>897</v>
      </c>
      <c r="D718" s="7" t="s">
        <v>52</v>
      </c>
      <c r="E718" s="7" t="s">
        <v>41</v>
      </c>
      <c r="F718" s="7" t="s">
        <v>153</v>
      </c>
      <c r="G718" s="7">
        <v>4</v>
      </c>
      <c r="H718" s="18">
        <v>3386.48</v>
      </c>
      <c r="I718" s="22">
        <v>0</v>
      </c>
      <c r="J718" s="18">
        <v>13545.92</v>
      </c>
      <c r="K718" s="18">
        <v>10650.81</v>
      </c>
      <c r="L718" s="18">
        <v>2895.11</v>
      </c>
      <c r="M718" s="7" t="s">
        <v>57</v>
      </c>
      <c r="N718" s="7" t="s">
        <v>71</v>
      </c>
      <c r="O718" s="7" t="s">
        <v>37</v>
      </c>
      <c r="P718" s="7" t="str">
        <f t="shared" si="33"/>
        <v>Jan</v>
      </c>
      <c r="Q718" s="7">
        <f t="shared" si="34"/>
        <v>2026</v>
      </c>
      <c r="R718" s="23">
        <f t="shared" si="35"/>
        <v>0.21372560889182871</v>
      </c>
    </row>
    <row r="719" spans="1:18">
      <c r="A719" s="7" t="s">
        <v>574</v>
      </c>
      <c r="B719" s="8">
        <v>46000</v>
      </c>
      <c r="C719" s="7" t="s">
        <v>575</v>
      </c>
      <c r="D719" s="7" t="s">
        <v>40</v>
      </c>
      <c r="E719" s="7" t="s">
        <v>33</v>
      </c>
      <c r="F719" s="7" t="s">
        <v>92</v>
      </c>
      <c r="G719" s="7">
        <v>1</v>
      </c>
      <c r="H719" s="18">
        <v>3387.32</v>
      </c>
      <c r="I719" s="22">
        <v>0</v>
      </c>
      <c r="J719" s="18">
        <v>3387.32</v>
      </c>
      <c r="K719" s="18">
        <v>2003.37</v>
      </c>
      <c r="L719" s="18">
        <v>1383.95</v>
      </c>
      <c r="M719" s="7" t="s">
        <v>35</v>
      </c>
      <c r="N719" s="7" t="s">
        <v>71</v>
      </c>
      <c r="O719" s="7" t="s">
        <v>37</v>
      </c>
      <c r="P719" s="7" t="str">
        <f t="shared" si="33"/>
        <v>Dec</v>
      </c>
      <c r="Q719" s="7">
        <f t="shared" si="34"/>
        <v>2025</v>
      </c>
      <c r="R719" s="23">
        <f t="shared" si="35"/>
        <v>0.40856783533885194</v>
      </c>
    </row>
    <row r="720" spans="1:18">
      <c r="A720" s="7" t="s">
        <v>937</v>
      </c>
      <c r="B720" s="8">
        <v>46161</v>
      </c>
      <c r="C720" s="7" t="s">
        <v>159</v>
      </c>
      <c r="D720" s="7" t="s">
        <v>74</v>
      </c>
      <c r="E720" s="7" t="s">
        <v>33</v>
      </c>
      <c r="F720" s="7" t="s">
        <v>92</v>
      </c>
      <c r="G720" s="7">
        <v>1</v>
      </c>
      <c r="H720" s="18">
        <v>3395.48</v>
      </c>
      <c r="I720" s="22">
        <v>0</v>
      </c>
      <c r="J720" s="18">
        <v>3395.48</v>
      </c>
      <c r="K720" s="18">
        <v>2311.85</v>
      </c>
      <c r="L720" s="18">
        <v>1083.6300000000001</v>
      </c>
      <c r="M720" s="7" t="s">
        <v>57</v>
      </c>
      <c r="N720" s="7" t="s">
        <v>36</v>
      </c>
      <c r="O720" s="7" t="s">
        <v>44</v>
      </c>
      <c r="P720" s="7" t="str">
        <f t="shared" si="33"/>
        <v>May</v>
      </c>
      <c r="Q720" s="7">
        <f t="shared" si="34"/>
        <v>2026</v>
      </c>
      <c r="R720" s="23">
        <f t="shared" si="35"/>
        <v>0.31913897298761884</v>
      </c>
    </row>
    <row r="721" spans="1:18">
      <c r="A721" s="7" t="s">
        <v>183</v>
      </c>
      <c r="B721" s="8">
        <v>45687</v>
      </c>
      <c r="C721" s="7" t="s">
        <v>184</v>
      </c>
      <c r="D721" s="7" t="s">
        <v>74</v>
      </c>
      <c r="E721" s="7" t="s">
        <v>61</v>
      </c>
      <c r="F721" s="7" t="s">
        <v>81</v>
      </c>
      <c r="G721" s="7">
        <v>5</v>
      </c>
      <c r="H721" s="18">
        <v>3407.65</v>
      </c>
      <c r="I721" s="22">
        <v>0.05</v>
      </c>
      <c r="J721" s="18">
        <v>16186.34</v>
      </c>
      <c r="K721" s="18">
        <v>9094.39</v>
      </c>
      <c r="L721" s="18">
        <v>7091.95</v>
      </c>
      <c r="M721" s="7" t="s">
        <v>35</v>
      </c>
      <c r="N721" s="7" t="s">
        <v>63</v>
      </c>
      <c r="O721" s="7" t="s">
        <v>44</v>
      </c>
      <c r="P721" s="7" t="str">
        <f t="shared" si="33"/>
        <v>Jan</v>
      </c>
      <c r="Q721" s="7">
        <f t="shared" si="34"/>
        <v>2025</v>
      </c>
      <c r="R721" s="23">
        <f t="shared" si="35"/>
        <v>0.43814413882322994</v>
      </c>
    </row>
    <row r="722" spans="1:18">
      <c r="A722" s="7" t="s">
        <v>1449</v>
      </c>
      <c r="B722" s="8">
        <v>45689</v>
      </c>
      <c r="C722" s="7" t="s">
        <v>346</v>
      </c>
      <c r="D722" s="7" t="s">
        <v>95</v>
      </c>
      <c r="E722" s="7" t="s">
        <v>41</v>
      </c>
      <c r="F722" s="7" t="s">
        <v>119</v>
      </c>
      <c r="G722" s="7">
        <v>2</v>
      </c>
      <c r="H722" s="18">
        <v>3409.48</v>
      </c>
      <c r="I722" s="22">
        <v>0.1</v>
      </c>
      <c r="J722" s="18">
        <v>6137.06</v>
      </c>
      <c r="K722" s="18">
        <v>4758.6099999999997</v>
      </c>
      <c r="L722" s="18">
        <v>1378.45</v>
      </c>
      <c r="M722" s="7" t="s">
        <v>35</v>
      </c>
      <c r="N722" s="7" t="s">
        <v>36</v>
      </c>
      <c r="O722" s="7" t="s">
        <v>44</v>
      </c>
      <c r="P722" s="7" t="str">
        <f t="shared" si="33"/>
        <v>Feb</v>
      </c>
      <c r="Q722" s="7">
        <f t="shared" si="34"/>
        <v>2025</v>
      </c>
      <c r="R722" s="23">
        <f t="shared" si="35"/>
        <v>0.22461080712914652</v>
      </c>
    </row>
    <row r="723" spans="1:18">
      <c r="A723" s="7" t="s">
        <v>1535</v>
      </c>
      <c r="B723" s="8">
        <v>46183</v>
      </c>
      <c r="C723" s="7" t="s">
        <v>540</v>
      </c>
      <c r="D723" s="7" t="s">
        <v>60</v>
      </c>
      <c r="E723" s="7" t="s">
        <v>48</v>
      </c>
      <c r="F723" s="7" t="s">
        <v>99</v>
      </c>
      <c r="G723" s="7">
        <v>6</v>
      </c>
      <c r="H723" s="18">
        <v>3417.98</v>
      </c>
      <c r="I723" s="22">
        <v>0</v>
      </c>
      <c r="J723" s="18">
        <v>20507.88</v>
      </c>
      <c r="K723" s="18">
        <v>13752.05</v>
      </c>
      <c r="L723" s="18">
        <v>6755.83</v>
      </c>
      <c r="M723" s="7" t="s">
        <v>35</v>
      </c>
      <c r="N723" s="7" t="s">
        <v>63</v>
      </c>
      <c r="O723" s="7" t="s">
        <v>44</v>
      </c>
      <c r="P723" s="7" t="str">
        <f t="shared" si="33"/>
        <v>Jun</v>
      </c>
      <c r="Q723" s="7">
        <f t="shared" si="34"/>
        <v>2026</v>
      </c>
      <c r="R723" s="23">
        <f t="shared" si="35"/>
        <v>0.32942605476529019</v>
      </c>
    </row>
    <row r="724" spans="1:18">
      <c r="A724" s="7" t="s">
        <v>1200</v>
      </c>
      <c r="B724" s="8">
        <v>45695</v>
      </c>
      <c r="C724" s="7" t="s">
        <v>1201</v>
      </c>
      <c r="D724" s="7" t="s">
        <v>56</v>
      </c>
      <c r="E724" s="7" t="s">
        <v>41</v>
      </c>
      <c r="F724" s="7" t="s">
        <v>53</v>
      </c>
      <c r="G724" s="7">
        <v>5</v>
      </c>
      <c r="H724" s="18">
        <v>3422.88</v>
      </c>
      <c r="I724" s="22">
        <v>0.1</v>
      </c>
      <c r="J724" s="18">
        <v>15402.96</v>
      </c>
      <c r="K724" s="18">
        <v>10940.71</v>
      </c>
      <c r="L724" s="18">
        <v>4462.25</v>
      </c>
      <c r="M724" s="7" t="s">
        <v>57</v>
      </c>
      <c r="N724" s="7" t="s">
        <v>36</v>
      </c>
      <c r="O724" s="7" t="s">
        <v>44</v>
      </c>
      <c r="P724" s="7" t="str">
        <f t="shared" si="33"/>
        <v>Feb</v>
      </c>
      <c r="Q724" s="7">
        <f t="shared" si="34"/>
        <v>2025</v>
      </c>
      <c r="R724" s="23">
        <f t="shared" si="35"/>
        <v>0.28970081075325782</v>
      </c>
    </row>
    <row r="725" spans="1:18">
      <c r="A725" s="7" t="s">
        <v>1320</v>
      </c>
      <c r="B725" s="8">
        <v>46164</v>
      </c>
      <c r="C725" s="7" t="s">
        <v>152</v>
      </c>
      <c r="D725" s="7" t="s">
        <v>52</v>
      </c>
      <c r="E725" s="7" t="s">
        <v>33</v>
      </c>
      <c r="F725" s="7" t="s">
        <v>96</v>
      </c>
      <c r="G725" s="7">
        <v>3</v>
      </c>
      <c r="H725" s="18">
        <v>3430.52</v>
      </c>
      <c r="I725" s="22">
        <v>0.1</v>
      </c>
      <c r="J725" s="18">
        <v>9262.4</v>
      </c>
      <c r="K725" s="18">
        <v>7706.76</v>
      </c>
      <c r="L725" s="18">
        <v>1555.64</v>
      </c>
      <c r="M725" s="7" t="s">
        <v>35</v>
      </c>
      <c r="N725" s="7" t="s">
        <v>36</v>
      </c>
      <c r="O725" s="7" t="s">
        <v>44</v>
      </c>
      <c r="P725" s="7" t="str">
        <f t="shared" si="33"/>
        <v>May</v>
      </c>
      <c r="Q725" s="7">
        <f t="shared" si="34"/>
        <v>2026</v>
      </c>
      <c r="R725" s="23">
        <f t="shared" si="35"/>
        <v>0.16795215063050614</v>
      </c>
    </row>
    <row r="726" spans="1:18">
      <c r="A726" s="7" t="s">
        <v>1110</v>
      </c>
      <c r="B726" s="8">
        <v>46117</v>
      </c>
      <c r="C726" s="7" t="s">
        <v>859</v>
      </c>
      <c r="D726" s="7" t="s">
        <v>66</v>
      </c>
      <c r="E726" s="7" t="s">
        <v>48</v>
      </c>
      <c r="F726" s="7" t="s">
        <v>99</v>
      </c>
      <c r="G726" s="7">
        <v>2</v>
      </c>
      <c r="H726" s="18">
        <v>3437.34</v>
      </c>
      <c r="I726" s="22">
        <v>0</v>
      </c>
      <c r="J726" s="18">
        <v>6874.68</v>
      </c>
      <c r="K726" s="18">
        <v>5629.12</v>
      </c>
      <c r="L726" s="18">
        <v>1245.56</v>
      </c>
      <c r="M726" s="7" t="s">
        <v>57</v>
      </c>
      <c r="N726" s="7" t="s">
        <v>71</v>
      </c>
      <c r="O726" s="7" t="s">
        <v>37</v>
      </c>
      <c r="P726" s="7" t="str">
        <f t="shared" si="33"/>
        <v>Apr</v>
      </c>
      <c r="Q726" s="7">
        <f t="shared" si="34"/>
        <v>2026</v>
      </c>
      <c r="R726" s="23">
        <f t="shared" si="35"/>
        <v>0.18118079677890461</v>
      </c>
    </row>
    <row r="727" spans="1:18">
      <c r="A727" s="7" t="s">
        <v>1274</v>
      </c>
      <c r="B727" s="8">
        <v>45783</v>
      </c>
      <c r="C727" s="7" t="s">
        <v>665</v>
      </c>
      <c r="D727" s="7" t="s">
        <v>47</v>
      </c>
      <c r="E727" s="7" t="s">
        <v>61</v>
      </c>
      <c r="F727" s="7" t="s">
        <v>81</v>
      </c>
      <c r="G727" s="7">
        <v>3</v>
      </c>
      <c r="H727" s="18">
        <v>3440.49</v>
      </c>
      <c r="I727" s="22">
        <v>0</v>
      </c>
      <c r="J727" s="18">
        <v>10321.469999999999</v>
      </c>
      <c r="K727" s="18">
        <v>8183.45</v>
      </c>
      <c r="L727" s="18">
        <v>2138.02</v>
      </c>
      <c r="M727" s="7" t="s">
        <v>57</v>
      </c>
      <c r="N727" s="7" t="s">
        <v>43</v>
      </c>
      <c r="O727" s="7" t="s">
        <v>37</v>
      </c>
      <c r="P727" s="7" t="str">
        <f t="shared" si="33"/>
        <v>May</v>
      </c>
      <c r="Q727" s="7">
        <f t="shared" si="34"/>
        <v>2025</v>
      </c>
      <c r="R727" s="23">
        <f t="shared" si="35"/>
        <v>0.20714297478944377</v>
      </c>
    </row>
    <row r="728" spans="1:18">
      <c r="A728" s="7" t="s">
        <v>1094</v>
      </c>
      <c r="B728" s="8">
        <v>45994</v>
      </c>
      <c r="C728" s="7" t="s">
        <v>811</v>
      </c>
      <c r="D728" s="7" t="s">
        <v>60</v>
      </c>
      <c r="E728" s="7" t="s">
        <v>61</v>
      </c>
      <c r="F728" s="7" t="s">
        <v>89</v>
      </c>
      <c r="G728" s="7">
        <v>1</v>
      </c>
      <c r="H728" s="18">
        <v>3472.7</v>
      </c>
      <c r="I728" s="22">
        <v>0</v>
      </c>
      <c r="J728" s="18">
        <v>3472.7</v>
      </c>
      <c r="K728" s="18">
        <v>2281.7199999999998</v>
      </c>
      <c r="L728" s="18">
        <v>1190.98</v>
      </c>
      <c r="M728" s="7" t="s">
        <v>35</v>
      </c>
      <c r="N728" s="7" t="s">
        <v>71</v>
      </c>
      <c r="O728" s="7" t="s">
        <v>44</v>
      </c>
      <c r="P728" s="7" t="str">
        <f t="shared" si="33"/>
        <v>Dec</v>
      </c>
      <c r="Q728" s="7">
        <f t="shared" si="34"/>
        <v>2025</v>
      </c>
      <c r="R728" s="23">
        <f t="shared" si="35"/>
        <v>0.3429550493852046</v>
      </c>
    </row>
    <row r="729" spans="1:18">
      <c r="A729" s="7" t="s">
        <v>404</v>
      </c>
      <c r="B729" s="8">
        <v>46128</v>
      </c>
      <c r="C729" s="7" t="s">
        <v>405</v>
      </c>
      <c r="D729" s="7" t="s">
        <v>95</v>
      </c>
      <c r="E729" s="7" t="s">
        <v>41</v>
      </c>
      <c r="F729" s="7" t="s">
        <v>119</v>
      </c>
      <c r="G729" s="7">
        <v>6</v>
      </c>
      <c r="H729" s="18">
        <v>3475.22</v>
      </c>
      <c r="I729" s="22">
        <v>0.2</v>
      </c>
      <c r="J729" s="18">
        <v>16681.060000000001</v>
      </c>
      <c r="K729" s="18">
        <v>13012.89</v>
      </c>
      <c r="L729" s="18">
        <v>3668.17</v>
      </c>
      <c r="M729" s="7" t="s">
        <v>35</v>
      </c>
      <c r="N729" s="7" t="s">
        <v>36</v>
      </c>
      <c r="O729" s="7" t="s">
        <v>44</v>
      </c>
      <c r="P729" s="7" t="str">
        <f t="shared" si="33"/>
        <v>Apr</v>
      </c>
      <c r="Q729" s="7">
        <f t="shared" si="34"/>
        <v>2026</v>
      </c>
      <c r="R729" s="23">
        <f t="shared" si="35"/>
        <v>0.21990029410601003</v>
      </c>
    </row>
    <row r="730" spans="1:18">
      <c r="A730" s="7" t="s">
        <v>889</v>
      </c>
      <c r="B730" s="8">
        <v>46035</v>
      </c>
      <c r="C730" s="7" t="s">
        <v>445</v>
      </c>
      <c r="D730" s="7" t="s">
        <v>40</v>
      </c>
      <c r="E730" s="7" t="s">
        <v>41</v>
      </c>
      <c r="F730" s="7" t="s">
        <v>153</v>
      </c>
      <c r="G730" s="7">
        <v>6</v>
      </c>
      <c r="H730" s="18">
        <v>3477.95</v>
      </c>
      <c r="I730" s="22">
        <v>0.2</v>
      </c>
      <c r="J730" s="18">
        <v>16694.16</v>
      </c>
      <c r="K730" s="18">
        <v>13343.13</v>
      </c>
      <c r="L730" s="18">
        <v>3351.03</v>
      </c>
      <c r="M730" s="7" t="s">
        <v>57</v>
      </c>
      <c r="N730" s="7" t="s">
        <v>63</v>
      </c>
      <c r="O730" s="7" t="s">
        <v>44</v>
      </c>
      <c r="P730" s="7" t="str">
        <f t="shared" si="33"/>
        <v>Jan</v>
      </c>
      <c r="Q730" s="7">
        <f t="shared" si="34"/>
        <v>2026</v>
      </c>
      <c r="R730" s="23">
        <f t="shared" si="35"/>
        <v>0.20073067467904945</v>
      </c>
    </row>
    <row r="731" spans="1:18">
      <c r="A731" s="7" t="s">
        <v>1165</v>
      </c>
      <c r="B731" s="8">
        <v>46173</v>
      </c>
      <c r="C731" s="7" t="s">
        <v>1016</v>
      </c>
      <c r="D731" s="7" t="s">
        <v>56</v>
      </c>
      <c r="E731" s="7" t="s">
        <v>33</v>
      </c>
      <c r="F731" s="7" t="s">
        <v>92</v>
      </c>
      <c r="G731" s="7">
        <v>2</v>
      </c>
      <c r="H731" s="18">
        <v>3479.55</v>
      </c>
      <c r="I731" s="22">
        <v>0.2</v>
      </c>
      <c r="J731" s="18">
        <v>5567.28</v>
      </c>
      <c r="K731" s="18">
        <v>4074.95</v>
      </c>
      <c r="L731" s="18">
        <v>1492.33</v>
      </c>
      <c r="M731" s="7" t="s">
        <v>35</v>
      </c>
      <c r="N731" s="7" t="s">
        <v>36</v>
      </c>
      <c r="O731" s="7" t="s">
        <v>44</v>
      </c>
      <c r="P731" s="7" t="str">
        <f t="shared" si="33"/>
        <v>May</v>
      </c>
      <c r="Q731" s="7">
        <f t="shared" si="34"/>
        <v>2026</v>
      </c>
      <c r="R731" s="23">
        <f t="shared" si="35"/>
        <v>0.26805369947263297</v>
      </c>
    </row>
    <row r="732" spans="1:18">
      <c r="A732" s="7" t="s">
        <v>380</v>
      </c>
      <c r="B732" s="8">
        <v>46131</v>
      </c>
      <c r="C732" s="7" t="s">
        <v>211</v>
      </c>
      <c r="D732" s="7" t="s">
        <v>40</v>
      </c>
      <c r="E732" s="7" t="s">
        <v>48</v>
      </c>
      <c r="F732" s="7" t="s">
        <v>99</v>
      </c>
      <c r="G732" s="7">
        <v>6</v>
      </c>
      <c r="H732" s="18">
        <v>3481.5</v>
      </c>
      <c r="I732" s="22">
        <v>0.1</v>
      </c>
      <c r="J732" s="18">
        <v>18800.099999999999</v>
      </c>
      <c r="K732" s="18">
        <v>14914.48</v>
      </c>
      <c r="L732" s="18">
        <v>3885.62</v>
      </c>
      <c r="M732" s="7" t="s">
        <v>57</v>
      </c>
      <c r="N732" s="7" t="s">
        <v>63</v>
      </c>
      <c r="O732" s="7" t="s">
        <v>44</v>
      </c>
      <c r="P732" s="7" t="str">
        <f t="shared" si="33"/>
        <v>Apr</v>
      </c>
      <c r="Q732" s="7">
        <f t="shared" si="34"/>
        <v>2026</v>
      </c>
      <c r="R732" s="23">
        <f t="shared" si="35"/>
        <v>0.206680815527577</v>
      </c>
    </row>
    <row r="733" spans="1:18">
      <c r="A733" s="7" t="s">
        <v>1207</v>
      </c>
      <c r="B733" s="8">
        <v>45929</v>
      </c>
      <c r="C733" s="7" t="s">
        <v>215</v>
      </c>
      <c r="D733" s="7" t="s">
        <v>47</v>
      </c>
      <c r="E733" s="7" t="s">
        <v>61</v>
      </c>
      <c r="F733" s="7" t="s">
        <v>81</v>
      </c>
      <c r="G733" s="7">
        <v>2</v>
      </c>
      <c r="H733" s="18">
        <v>3483.35</v>
      </c>
      <c r="I733" s="22">
        <v>0</v>
      </c>
      <c r="J733" s="18">
        <v>6966.7</v>
      </c>
      <c r="K733" s="18">
        <v>5027.79</v>
      </c>
      <c r="L733" s="18">
        <v>1938.91</v>
      </c>
      <c r="M733" s="7" t="s">
        <v>35</v>
      </c>
      <c r="N733" s="7" t="s">
        <v>71</v>
      </c>
      <c r="O733" s="7" t="s">
        <v>44</v>
      </c>
      <c r="P733" s="7" t="str">
        <f t="shared" si="33"/>
        <v>Sep</v>
      </c>
      <c r="Q733" s="7">
        <f t="shared" si="34"/>
        <v>2025</v>
      </c>
      <c r="R733" s="23">
        <f t="shared" si="35"/>
        <v>0.2783111085592892</v>
      </c>
    </row>
    <row r="734" spans="1:18">
      <c r="A734" s="7" t="s">
        <v>560</v>
      </c>
      <c r="B734" s="8">
        <v>46085</v>
      </c>
      <c r="C734" s="7" t="s">
        <v>561</v>
      </c>
      <c r="D734" s="7" t="s">
        <v>60</v>
      </c>
      <c r="E734" s="7" t="s">
        <v>61</v>
      </c>
      <c r="F734" s="7" t="s">
        <v>81</v>
      </c>
      <c r="G734" s="7">
        <v>1</v>
      </c>
      <c r="H734" s="18">
        <v>3483.96</v>
      </c>
      <c r="I734" s="22">
        <v>0.1</v>
      </c>
      <c r="J734" s="18">
        <v>3135.56</v>
      </c>
      <c r="K734" s="18">
        <v>1767.53</v>
      </c>
      <c r="L734" s="18">
        <v>1368.03</v>
      </c>
      <c r="M734" s="7" t="s">
        <v>57</v>
      </c>
      <c r="N734" s="7" t="s">
        <v>63</v>
      </c>
      <c r="O734" s="7" t="s">
        <v>44</v>
      </c>
      <c r="P734" s="7" t="str">
        <f t="shared" si="33"/>
        <v>Mar</v>
      </c>
      <c r="Q734" s="7">
        <f t="shared" si="34"/>
        <v>2026</v>
      </c>
      <c r="R734" s="23">
        <f t="shared" si="35"/>
        <v>0.43629527102016863</v>
      </c>
    </row>
    <row r="735" spans="1:18">
      <c r="A735" s="7" t="s">
        <v>586</v>
      </c>
      <c r="B735" s="8">
        <v>46197</v>
      </c>
      <c r="C735" s="7" t="s">
        <v>519</v>
      </c>
      <c r="D735" s="7" t="s">
        <v>134</v>
      </c>
      <c r="E735" s="7" t="s">
        <v>41</v>
      </c>
      <c r="F735" s="7" t="s">
        <v>119</v>
      </c>
      <c r="G735" s="7">
        <v>2</v>
      </c>
      <c r="H735" s="18">
        <v>3484.67</v>
      </c>
      <c r="I735" s="22">
        <v>0.1</v>
      </c>
      <c r="J735" s="18">
        <v>6272.41</v>
      </c>
      <c r="K735" s="18">
        <v>5122.28</v>
      </c>
      <c r="L735" s="18">
        <v>1150.1300000000001</v>
      </c>
      <c r="M735" s="7" t="s">
        <v>57</v>
      </c>
      <c r="N735" s="7" t="s">
        <v>63</v>
      </c>
      <c r="O735" s="7" t="s">
        <v>37</v>
      </c>
      <c r="P735" s="7" t="str">
        <f t="shared" si="33"/>
        <v>Jun</v>
      </c>
      <c r="Q735" s="7">
        <f t="shared" si="34"/>
        <v>2026</v>
      </c>
      <c r="R735" s="23">
        <f t="shared" si="35"/>
        <v>0.18336333243522029</v>
      </c>
    </row>
    <row r="736" spans="1:18">
      <c r="A736" s="7" t="s">
        <v>409</v>
      </c>
      <c r="B736" s="8">
        <v>45727</v>
      </c>
      <c r="C736" s="7" t="s">
        <v>352</v>
      </c>
      <c r="D736" s="7" t="s">
        <v>134</v>
      </c>
      <c r="E736" s="7" t="s">
        <v>33</v>
      </c>
      <c r="F736" s="7" t="s">
        <v>96</v>
      </c>
      <c r="G736" s="7">
        <v>2</v>
      </c>
      <c r="H736" s="18">
        <v>3485.48</v>
      </c>
      <c r="I736" s="22">
        <v>0.1</v>
      </c>
      <c r="J736" s="18">
        <v>6273.86</v>
      </c>
      <c r="K736" s="18">
        <v>4334.6899999999996</v>
      </c>
      <c r="L736" s="18">
        <v>1939.17</v>
      </c>
      <c r="M736" s="7" t="s">
        <v>57</v>
      </c>
      <c r="N736" s="7" t="s">
        <v>63</v>
      </c>
      <c r="O736" s="7" t="s">
        <v>44</v>
      </c>
      <c r="P736" s="7" t="str">
        <f t="shared" si="33"/>
        <v>Mar</v>
      </c>
      <c r="Q736" s="7">
        <f t="shared" si="34"/>
        <v>2025</v>
      </c>
      <c r="R736" s="23">
        <f t="shared" si="35"/>
        <v>0.30908722859611149</v>
      </c>
    </row>
    <row r="737" spans="1:18">
      <c r="A737" s="7" t="s">
        <v>854</v>
      </c>
      <c r="B737" s="8">
        <v>46170</v>
      </c>
      <c r="C737" s="7" t="s">
        <v>682</v>
      </c>
      <c r="D737" s="7" t="s">
        <v>32</v>
      </c>
      <c r="E737" s="7" t="s">
        <v>33</v>
      </c>
      <c r="F737" s="7" t="s">
        <v>34</v>
      </c>
      <c r="G737" s="7">
        <v>6</v>
      </c>
      <c r="H737" s="18">
        <v>3491.88</v>
      </c>
      <c r="I737" s="22">
        <v>0.2</v>
      </c>
      <c r="J737" s="18">
        <v>16761.02</v>
      </c>
      <c r="K737" s="18">
        <v>11002.13</v>
      </c>
      <c r="L737" s="18">
        <v>5758.89</v>
      </c>
      <c r="M737" s="7" t="s">
        <v>57</v>
      </c>
      <c r="N737" s="7" t="s">
        <v>71</v>
      </c>
      <c r="O737" s="7" t="s">
        <v>44</v>
      </c>
      <c r="P737" s="7" t="str">
        <f t="shared" si="33"/>
        <v>May</v>
      </c>
      <c r="Q737" s="7">
        <f t="shared" si="34"/>
        <v>2026</v>
      </c>
      <c r="R737" s="23">
        <f t="shared" si="35"/>
        <v>0.34358827804035796</v>
      </c>
    </row>
    <row r="738" spans="1:18">
      <c r="A738" s="7" t="s">
        <v>463</v>
      </c>
      <c r="B738" s="8">
        <v>46039</v>
      </c>
      <c r="C738" s="7" t="s">
        <v>464</v>
      </c>
      <c r="D738" s="7" t="s">
        <v>56</v>
      </c>
      <c r="E738" s="7" t="s">
        <v>48</v>
      </c>
      <c r="F738" s="7" t="s">
        <v>99</v>
      </c>
      <c r="G738" s="7">
        <v>4</v>
      </c>
      <c r="H738" s="18">
        <v>3499.2</v>
      </c>
      <c r="I738" s="22">
        <v>0.2</v>
      </c>
      <c r="J738" s="18">
        <v>11197.44</v>
      </c>
      <c r="K738" s="18">
        <v>7408.95</v>
      </c>
      <c r="L738" s="18">
        <v>3788.49</v>
      </c>
      <c r="M738" s="7" t="s">
        <v>35</v>
      </c>
      <c r="N738" s="7" t="s">
        <v>43</v>
      </c>
      <c r="O738" s="7" t="s">
        <v>44</v>
      </c>
      <c r="P738" s="7" t="str">
        <f t="shared" si="33"/>
        <v>Jan</v>
      </c>
      <c r="Q738" s="7">
        <f t="shared" si="34"/>
        <v>2026</v>
      </c>
      <c r="R738" s="23">
        <f t="shared" si="35"/>
        <v>0.3383353695130315</v>
      </c>
    </row>
    <row r="739" spans="1:18">
      <c r="A739" s="7" t="s">
        <v>1049</v>
      </c>
      <c r="B739" s="8">
        <v>45937</v>
      </c>
      <c r="C739" s="7" t="s">
        <v>474</v>
      </c>
      <c r="D739" s="7" t="s">
        <v>60</v>
      </c>
      <c r="E739" s="7" t="s">
        <v>61</v>
      </c>
      <c r="F739" s="7" t="s">
        <v>84</v>
      </c>
      <c r="G739" s="7">
        <v>6</v>
      </c>
      <c r="H739" s="18">
        <v>3505.62</v>
      </c>
      <c r="I739" s="22">
        <v>0</v>
      </c>
      <c r="J739" s="18">
        <v>21033.72</v>
      </c>
      <c r="K739" s="18">
        <v>13240.96</v>
      </c>
      <c r="L739" s="18">
        <v>7792.76</v>
      </c>
      <c r="M739" s="7" t="s">
        <v>57</v>
      </c>
      <c r="N739" s="7" t="s">
        <v>36</v>
      </c>
      <c r="O739" s="7" t="s">
        <v>44</v>
      </c>
      <c r="P739" s="7" t="str">
        <f t="shared" si="33"/>
        <v>Oct</v>
      </c>
      <c r="Q739" s="7">
        <f t="shared" si="34"/>
        <v>2025</v>
      </c>
      <c r="R739" s="23">
        <f t="shared" si="35"/>
        <v>0.37048891018802188</v>
      </c>
    </row>
    <row r="740" spans="1:18">
      <c r="A740" s="7" t="s">
        <v>876</v>
      </c>
      <c r="B740" s="8">
        <v>45848</v>
      </c>
      <c r="C740" s="7" t="s">
        <v>288</v>
      </c>
      <c r="D740" s="7" t="s">
        <v>47</v>
      </c>
      <c r="E740" s="7" t="s">
        <v>33</v>
      </c>
      <c r="F740" s="7" t="s">
        <v>176</v>
      </c>
      <c r="G740" s="7">
        <v>1</v>
      </c>
      <c r="H740" s="18">
        <v>3506.46</v>
      </c>
      <c r="I740" s="22">
        <v>0.2</v>
      </c>
      <c r="J740" s="18">
        <v>2805.17</v>
      </c>
      <c r="K740" s="18">
        <v>1893.04</v>
      </c>
      <c r="L740" s="18">
        <v>912.13</v>
      </c>
      <c r="M740" s="7" t="s">
        <v>57</v>
      </c>
      <c r="N740" s="7" t="s">
        <v>71</v>
      </c>
      <c r="O740" s="7" t="s">
        <v>44</v>
      </c>
      <c r="P740" s="7" t="str">
        <f t="shared" si="33"/>
        <v>Jul</v>
      </c>
      <c r="Q740" s="7">
        <f t="shared" si="34"/>
        <v>2025</v>
      </c>
      <c r="R740" s="23">
        <f t="shared" si="35"/>
        <v>0.32516032896401997</v>
      </c>
    </row>
    <row r="741" spans="1:18">
      <c r="A741" s="7" t="s">
        <v>732</v>
      </c>
      <c r="B741" s="8">
        <v>45988</v>
      </c>
      <c r="C741" s="7" t="s">
        <v>540</v>
      </c>
      <c r="D741" s="7" t="s">
        <v>60</v>
      </c>
      <c r="E741" s="7" t="s">
        <v>33</v>
      </c>
      <c r="F741" s="7" t="s">
        <v>34</v>
      </c>
      <c r="G741" s="7">
        <v>1</v>
      </c>
      <c r="H741" s="18">
        <v>3513.78</v>
      </c>
      <c r="I741" s="22">
        <v>0</v>
      </c>
      <c r="J741" s="18">
        <v>3513.78</v>
      </c>
      <c r="K741" s="18">
        <v>2896.76</v>
      </c>
      <c r="L741" s="18">
        <v>617.02</v>
      </c>
      <c r="M741" s="7" t="s">
        <v>57</v>
      </c>
      <c r="N741" s="7" t="s">
        <v>63</v>
      </c>
      <c r="O741" s="7" t="s">
        <v>37</v>
      </c>
      <c r="P741" s="7" t="str">
        <f t="shared" si="33"/>
        <v>Nov</v>
      </c>
      <c r="Q741" s="7">
        <f t="shared" si="34"/>
        <v>2025</v>
      </c>
      <c r="R741" s="23">
        <f t="shared" si="35"/>
        <v>0.17560006602576142</v>
      </c>
    </row>
    <row r="742" spans="1:18">
      <c r="A742" s="7" t="s">
        <v>1031</v>
      </c>
      <c r="B742" s="8">
        <v>46138</v>
      </c>
      <c r="C742" s="7" t="s">
        <v>1032</v>
      </c>
      <c r="D742" s="7" t="s">
        <v>32</v>
      </c>
      <c r="E742" s="7" t="s">
        <v>33</v>
      </c>
      <c r="F742" s="7" t="s">
        <v>96</v>
      </c>
      <c r="G742" s="7">
        <v>2</v>
      </c>
      <c r="H742" s="18">
        <v>3516.07</v>
      </c>
      <c r="I742" s="22">
        <v>0.1</v>
      </c>
      <c r="J742" s="18">
        <v>6328.93</v>
      </c>
      <c r="K742" s="18">
        <v>4577.4799999999996</v>
      </c>
      <c r="L742" s="18">
        <v>1751.45</v>
      </c>
      <c r="M742" s="7" t="s">
        <v>35</v>
      </c>
      <c r="N742" s="7" t="s">
        <v>43</v>
      </c>
      <c r="O742" s="7" t="s">
        <v>37</v>
      </c>
      <c r="P742" s="7" t="str">
        <f t="shared" si="33"/>
        <v>Apr</v>
      </c>
      <c r="Q742" s="7">
        <f t="shared" si="34"/>
        <v>2026</v>
      </c>
      <c r="R742" s="23">
        <f t="shared" si="35"/>
        <v>0.27673714198134597</v>
      </c>
    </row>
    <row r="743" spans="1:18">
      <c r="A743" s="7" t="s">
        <v>270</v>
      </c>
      <c r="B743" s="8">
        <v>45973</v>
      </c>
      <c r="C743" s="7" t="s">
        <v>271</v>
      </c>
      <c r="D743" s="7" t="s">
        <v>32</v>
      </c>
      <c r="E743" s="7" t="s">
        <v>41</v>
      </c>
      <c r="F743" s="7" t="s">
        <v>42</v>
      </c>
      <c r="G743" s="7">
        <v>4</v>
      </c>
      <c r="H743" s="18">
        <v>3516.15</v>
      </c>
      <c r="I743" s="22">
        <v>0.2</v>
      </c>
      <c r="J743" s="18">
        <v>11251.68</v>
      </c>
      <c r="K743" s="18">
        <v>9311.66</v>
      </c>
      <c r="L743" s="18">
        <v>1940.02</v>
      </c>
      <c r="M743" s="7" t="s">
        <v>57</v>
      </c>
      <c r="N743" s="7" t="s">
        <v>36</v>
      </c>
      <c r="O743" s="7" t="s">
        <v>44</v>
      </c>
      <c r="P743" s="7" t="str">
        <f t="shared" si="33"/>
        <v>Nov</v>
      </c>
      <c r="Q743" s="7">
        <f t="shared" si="34"/>
        <v>2025</v>
      </c>
      <c r="R743" s="23">
        <f t="shared" si="35"/>
        <v>0.17242047409809025</v>
      </c>
    </row>
    <row r="744" spans="1:18">
      <c r="A744" s="7" t="s">
        <v>910</v>
      </c>
      <c r="B744" s="8">
        <v>45921</v>
      </c>
      <c r="C744" s="7" t="s">
        <v>51</v>
      </c>
      <c r="D744" s="7" t="s">
        <v>47</v>
      </c>
      <c r="E744" s="7" t="s">
        <v>48</v>
      </c>
      <c r="F744" s="7" t="s">
        <v>102</v>
      </c>
      <c r="G744" s="7">
        <v>6</v>
      </c>
      <c r="H744" s="18">
        <v>3520.23</v>
      </c>
      <c r="I744" s="22">
        <v>0.05</v>
      </c>
      <c r="J744" s="18">
        <v>20065.310000000001</v>
      </c>
      <c r="K744" s="18">
        <v>16390.34</v>
      </c>
      <c r="L744" s="18">
        <v>3674.97</v>
      </c>
      <c r="M744" s="7" t="s">
        <v>35</v>
      </c>
      <c r="N744" s="7" t="s">
        <v>43</v>
      </c>
      <c r="O744" s="7" t="s">
        <v>37</v>
      </c>
      <c r="P744" s="7" t="str">
        <f t="shared" si="33"/>
        <v>Sep</v>
      </c>
      <c r="Q744" s="7">
        <f t="shared" si="34"/>
        <v>2025</v>
      </c>
      <c r="R744" s="23">
        <f t="shared" si="35"/>
        <v>0.1831504222959924</v>
      </c>
    </row>
    <row r="745" spans="1:18">
      <c r="A745" s="7" t="s">
        <v>985</v>
      </c>
      <c r="B745" s="8">
        <v>46042</v>
      </c>
      <c r="C745" s="7" t="s">
        <v>986</v>
      </c>
      <c r="D745" s="7" t="s">
        <v>95</v>
      </c>
      <c r="E745" s="7" t="s">
        <v>41</v>
      </c>
      <c r="F745" s="7" t="s">
        <v>42</v>
      </c>
      <c r="G745" s="7">
        <v>5</v>
      </c>
      <c r="H745" s="18">
        <v>3520.63</v>
      </c>
      <c r="I745" s="22">
        <v>0.1</v>
      </c>
      <c r="J745" s="18">
        <v>15842.84</v>
      </c>
      <c r="K745" s="18">
        <v>11806.6</v>
      </c>
      <c r="L745" s="18">
        <v>4036.24</v>
      </c>
      <c r="M745" s="7" t="s">
        <v>35</v>
      </c>
      <c r="N745" s="7" t="s">
        <v>63</v>
      </c>
      <c r="O745" s="7" t="s">
        <v>44</v>
      </c>
      <c r="P745" s="7" t="str">
        <f t="shared" si="33"/>
        <v>Jan</v>
      </c>
      <c r="Q745" s="7">
        <f t="shared" si="34"/>
        <v>2026</v>
      </c>
      <c r="R745" s="23">
        <f t="shared" si="35"/>
        <v>0.25476745331013884</v>
      </c>
    </row>
    <row r="746" spans="1:18">
      <c r="A746" s="7" t="s">
        <v>1595</v>
      </c>
      <c r="B746" s="8">
        <v>45820</v>
      </c>
      <c r="C746" s="7" t="s">
        <v>117</v>
      </c>
      <c r="D746" s="7" t="s">
        <v>32</v>
      </c>
      <c r="E746" s="7" t="s">
        <v>48</v>
      </c>
      <c r="F746" s="7" t="s">
        <v>99</v>
      </c>
      <c r="G746" s="7">
        <v>2</v>
      </c>
      <c r="H746" s="18">
        <v>3532.6</v>
      </c>
      <c r="I746" s="22">
        <v>0.2</v>
      </c>
      <c r="J746" s="18">
        <v>5652.16</v>
      </c>
      <c r="K746" s="18">
        <v>3575.98</v>
      </c>
      <c r="L746" s="18">
        <v>2076.1799999999998</v>
      </c>
      <c r="M746" s="7" t="s">
        <v>35</v>
      </c>
      <c r="N746" s="7" t="s">
        <v>71</v>
      </c>
      <c r="O746" s="7" t="s">
        <v>44</v>
      </c>
      <c r="P746" s="7" t="str">
        <f t="shared" si="33"/>
        <v>Jun</v>
      </c>
      <c r="Q746" s="7">
        <f t="shared" si="34"/>
        <v>2025</v>
      </c>
      <c r="R746" s="23">
        <f t="shared" si="35"/>
        <v>0.36732505803091203</v>
      </c>
    </row>
    <row r="747" spans="1:18">
      <c r="A747" s="7" t="s">
        <v>1391</v>
      </c>
      <c r="B747" s="8">
        <v>45732</v>
      </c>
      <c r="C747" s="7" t="s">
        <v>1392</v>
      </c>
      <c r="D747" s="7" t="s">
        <v>1758</v>
      </c>
      <c r="E747" s="7" t="s">
        <v>48</v>
      </c>
      <c r="F747" s="7" t="s">
        <v>99</v>
      </c>
      <c r="G747" s="7">
        <v>5</v>
      </c>
      <c r="H747" s="18">
        <v>3538.49</v>
      </c>
      <c r="I747" s="22">
        <v>0.1</v>
      </c>
      <c r="J747" s="18">
        <v>15923.2</v>
      </c>
      <c r="K747" s="18">
        <v>12562.07</v>
      </c>
      <c r="L747" s="18">
        <v>3361.13</v>
      </c>
      <c r="M747" s="7" t="s">
        <v>35</v>
      </c>
      <c r="N747" s="7" t="s">
        <v>36</v>
      </c>
      <c r="O747" s="7" t="s">
        <v>44</v>
      </c>
      <c r="P747" s="7" t="str">
        <f t="shared" si="33"/>
        <v>Mar</v>
      </c>
      <c r="Q747" s="7">
        <f t="shared" si="34"/>
        <v>2025</v>
      </c>
      <c r="R747" s="23">
        <f t="shared" si="35"/>
        <v>0.21108382737138262</v>
      </c>
    </row>
    <row r="748" spans="1:18">
      <c r="A748" s="7" t="s">
        <v>1603</v>
      </c>
      <c r="B748" s="8">
        <v>45810</v>
      </c>
      <c r="C748" s="7" t="s">
        <v>1544</v>
      </c>
      <c r="D748" s="7" t="s">
        <v>95</v>
      </c>
      <c r="E748" s="7" t="s">
        <v>33</v>
      </c>
      <c r="F748" s="7" t="s">
        <v>96</v>
      </c>
      <c r="G748" s="7">
        <v>2</v>
      </c>
      <c r="H748" s="18">
        <v>3542.17</v>
      </c>
      <c r="I748" s="22">
        <v>0.05</v>
      </c>
      <c r="J748" s="18">
        <v>6730.12</v>
      </c>
      <c r="K748" s="18">
        <v>4901.91</v>
      </c>
      <c r="L748" s="18">
        <v>1828.21</v>
      </c>
      <c r="M748" s="7" t="s">
        <v>35</v>
      </c>
      <c r="N748" s="7" t="s">
        <v>63</v>
      </c>
      <c r="O748" s="7" t="s">
        <v>44</v>
      </c>
      <c r="P748" s="7" t="str">
        <f t="shared" si="33"/>
        <v>Jun</v>
      </c>
      <c r="Q748" s="7">
        <f t="shared" si="34"/>
        <v>2025</v>
      </c>
      <c r="R748" s="23">
        <f t="shared" si="35"/>
        <v>0.27164597362305576</v>
      </c>
    </row>
    <row r="749" spans="1:18">
      <c r="A749" s="7" t="s">
        <v>1406</v>
      </c>
      <c r="B749" s="8">
        <v>45708</v>
      </c>
      <c r="C749" s="7" t="s">
        <v>322</v>
      </c>
      <c r="D749" s="7" t="s">
        <v>32</v>
      </c>
      <c r="E749" s="7" t="s">
        <v>41</v>
      </c>
      <c r="F749" s="7" t="s">
        <v>53</v>
      </c>
      <c r="G749" s="7">
        <v>3</v>
      </c>
      <c r="H749" s="18">
        <v>3547.24</v>
      </c>
      <c r="I749" s="22">
        <v>0.2</v>
      </c>
      <c r="J749" s="18">
        <v>8513.3799999999992</v>
      </c>
      <c r="K749" s="18">
        <v>4957.01</v>
      </c>
      <c r="L749" s="18">
        <v>3556.37</v>
      </c>
      <c r="M749" s="7" t="s">
        <v>57</v>
      </c>
      <c r="N749" s="7" t="s">
        <v>63</v>
      </c>
      <c r="O749" s="7" t="s">
        <v>37</v>
      </c>
      <c r="P749" s="7" t="str">
        <f t="shared" si="33"/>
        <v>Feb</v>
      </c>
      <c r="Q749" s="7">
        <f t="shared" si="34"/>
        <v>2025</v>
      </c>
      <c r="R749" s="23">
        <f t="shared" si="35"/>
        <v>0.41773890041323192</v>
      </c>
    </row>
    <row r="750" spans="1:18">
      <c r="A750" s="7" t="s">
        <v>384</v>
      </c>
      <c r="B750" s="8">
        <v>45825</v>
      </c>
      <c r="C750" s="7" t="s">
        <v>385</v>
      </c>
      <c r="D750" s="7" t="s">
        <v>40</v>
      </c>
      <c r="E750" s="7" t="s">
        <v>48</v>
      </c>
      <c r="F750" s="7" t="s">
        <v>113</v>
      </c>
      <c r="G750" s="7">
        <v>1</v>
      </c>
      <c r="H750" s="18">
        <v>3561.82</v>
      </c>
      <c r="I750" s="22">
        <v>0.2</v>
      </c>
      <c r="J750" s="18">
        <v>2849.46</v>
      </c>
      <c r="K750" s="18">
        <v>1928</v>
      </c>
      <c r="L750" s="18">
        <v>921.46</v>
      </c>
      <c r="M750" s="7" t="s">
        <v>57</v>
      </c>
      <c r="N750" s="7" t="s">
        <v>43</v>
      </c>
      <c r="O750" s="7" t="s">
        <v>44</v>
      </c>
      <c r="P750" s="7" t="str">
        <f t="shared" si="33"/>
        <v>Jun</v>
      </c>
      <c r="Q750" s="7">
        <f t="shared" si="34"/>
        <v>2025</v>
      </c>
      <c r="R750" s="23">
        <f t="shared" si="35"/>
        <v>0.32338057035368106</v>
      </c>
    </row>
    <row r="751" spans="1:18">
      <c r="A751" s="7" t="s">
        <v>880</v>
      </c>
      <c r="B751" s="8">
        <v>45984</v>
      </c>
      <c r="C751" s="7" t="s">
        <v>59</v>
      </c>
      <c r="D751" s="7" t="s">
        <v>32</v>
      </c>
      <c r="E751" s="7" t="s">
        <v>61</v>
      </c>
      <c r="F751" s="7" t="s">
        <v>84</v>
      </c>
      <c r="G751" s="7">
        <v>6</v>
      </c>
      <c r="H751" s="18">
        <v>3562.24</v>
      </c>
      <c r="I751" s="22">
        <v>0.05</v>
      </c>
      <c r="J751" s="18">
        <v>20304.77</v>
      </c>
      <c r="K751" s="18">
        <v>16031.51</v>
      </c>
      <c r="L751" s="18">
        <v>4273.26</v>
      </c>
      <c r="M751" s="7" t="s">
        <v>35</v>
      </c>
      <c r="N751" s="7" t="s">
        <v>43</v>
      </c>
      <c r="O751" s="7" t="s">
        <v>44</v>
      </c>
      <c r="P751" s="7" t="str">
        <f t="shared" si="33"/>
        <v>Nov</v>
      </c>
      <c r="Q751" s="7">
        <f t="shared" si="34"/>
        <v>2025</v>
      </c>
      <c r="R751" s="23">
        <f t="shared" si="35"/>
        <v>0.21045596675066991</v>
      </c>
    </row>
    <row r="752" spans="1:18">
      <c r="A752" s="7" t="s">
        <v>1021</v>
      </c>
      <c r="B752" s="8">
        <v>46046</v>
      </c>
      <c r="C752" s="7" t="s">
        <v>577</v>
      </c>
      <c r="D752" s="7" t="s">
        <v>134</v>
      </c>
      <c r="E752" s="7" t="s">
        <v>61</v>
      </c>
      <c r="F752" s="7" t="s">
        <v>129</v>
      </c>
      <c r="G752" s="7">
        <v>1</v>
      </c>
      <c r="H752" s="18">
        <v>3562.55</v>
      </c>
      <c r="I752" s="22">
        <v>0</v>
      </c>
      <c r="J752" s="18">
        <v>3562.55</v>
      </c>
      <c r="K752" s="18">
        <v>2338.25</v>
      </c>
      <c r="L752" s="18">
        <v>1224.3</v>
      </c>
      <c r="M752" s="7" t="s">
        <v>57</v>
      </c>
      <c r="N752" s="7" t="s">
        <v>71</v>
      </c>
      <c r="O752" s="7" t="s">
        <v>37</v>
      </c>
      <c r="P752" s="7" t="str">
        <f t="shared" si="33"/>
        <v>Jan</v>
      </c>
      <c r="Q752" s="7">
        <f t="shared" si="34"/>
        <v>2026</v>
      </c>
      <c r="R752" s="23">
        <f t="shared" si="35"/>
        <v>0.34365833461986495</v>
      </c>
    </row>
    <row r="753" spans="1:18">
      <c r="A753" s="7" t="s">
        <v>1635</v>
      </c>
      <c r="B753" s="8">
        <v>45911</v>
      </c>
      <c r="C753" s="7" t="s">
        <v>564</v>
      </c>
      <c r="D753" s="7" t="s">
        <v>47</v>
      </c>
      <c r="E753" s="7" t="s">
        <v>61</v>
      </c>
      <c r="F753" s="7" t="s">
        <v>62</v>
      </c>
      <c r="G753" s="7">
        <v>1</v>
      </c>
      <c r="H753" s="18">
        <v>3565.27</v>
      </c>
      <c r="I753" s="22">
        <v>0.1</v>
      </c>
      <c r="J753" s="18">
        <v>3208.74</v>
      </c>
      <c r="K753" s="18">
        <v>1956.66</v>
      </c>
      <c r="L753" s="18">
        <v>1252.08</v>
      </c>
      <c r="M753" s="7" t="s">
        <v>35</v>
      </c>
      <c r="N753" s="7" t="s">
        <v>43</v>
      </c>
      <c r="O753" s="7" t="s">
        <v>44</v>
      </c>
      <c r="P753" s="7" t="str">
        <f t="shared" si="33"/>
        <v>Sep</v>
      </c>
      <c r="Q753" s="7">
        <f t="shared" si="34"/>
        <v>2025</v>
      </c>
      <c r="R753" s="23">
        <f t="shared" si="35"/>
        <v>0.39020924101049009</v>
      </c>
    </row>
    <row r="754" spans="1:18">
      <c r="A754" s="7" t="s">
        <v>503</v>
      </c>
      <c r="B754" s="8">
        <v>46122</v>
      </c>
      <c r="C754" s="7" t="s">
        <v>504</v>
      </c>
      <c r="D754" s="7" t="s">
        <v>40</v>
      </c>
      <c r="E754" s="7" t="s">
        <v>33</v>
      </c>
      <c r="F754" s="7" t="s">
        <v>34</v>
      </c>
      <c r="G754" s="7">
        <v>4</v>
      </c>
      <c r="H754" s="18">
        <v>3568.71</v>
      </c>
      <c r="I754" s="22">
        <v>0.05</v>
      </c>
      <c r="J754" s="18">
        <v>13561.1</v>
      </c>
      <c r="K754" s="18">
        <v>8356.41</v>
      </c>
      <c r="L754" s="18">
        <v>5204.6899999999996</v>
      </c>
      <c r="M754" s="7" t="s">
        <v>35</v>
      </c>
      <c r="N754" s="7" t="s">
        <v>71</v>
      </c>
      <c r="O754" s="7" t="s">
        <v>44</v>
      </c>
      <c r="P754" s="7" t="str">
        <f t="shared" si="33"/>
        <v>Apr</v>
      </c>
      <c r="Q754" s="7">
        <f t="shared" si="34"/>
        <v>2026</v>
      </c>
      <c r="R754" s="23">
        <f t="shared" si="35"/>
        <v>0.38379556230689249</v>
      </c>
    </row>
    <row r="755" spans="1:18">
      <c r="A755" s="7" t="s">
        <v>143</v>
      </c>
      <c r="B755" s="8">
        <v>45941</v>
      </c>
      <c r="C755" s="7" t="s">
        <v>144</v>
      </c>
      <c r="D755" s="7" t="s">
        <v>66</v>
      </c>
      <c r="E755" s="7" t="s">
        <v>33</v>
      </c>
      <c r="F755" s="7" t="s">
        <v>67</v>
      </c>
      <c r="G755" s="7">
        <v>2</v>
      </c>
      <c r="H755" s="18">
        <v>3576.69</v>
      </c>
      <c r="I755" s="22">
        <v>0.15</v>
      </c>
      <c r="J755" s="18">
        <v>6080.37</v>
      </c>
      <c r="K755" s="18">
        <v>4755.9399999999996</v>
      </c>
      <c r="L755" s="18">
        <v>1324.43</v>
      </c>
      <c r="M755" s="7" t="s">
        <v>57</v>
      </c>
      <c r="N755" s="7" t="s">
        <v>63</v>
      </c>
      <c r="O755" s="7" t="s">
        <v>37</v>
      </c>
      <c r="P755" s="7" t="str">
        <f t="shared" si="33"/>
        <v>Oct</v>
      </c>
      <c r="Q755" s="7">
        <f t="shared" si="34"/>
        <v>2025</v>
      </c>
      <c r="R755" s="23">
        <f t="shared" si="35"/>
        <v>0.21782062604742805</v>
      </c>
    </row>
    <row r="756" spans="1:18">
      <c r="A756" s="7" t="s">
        <v>1029</v>
      </c>
      <c r="B756" s="8">
        <v>45772</v>
      </c>
      <c r="C756" s="7" t="s">
        <v>1030</v>
      </c>
      <c r="D756" s="7" t="s">
        <v>47</v>
      </c>
      <c r="E756" s="7" t="s">
        <v>41</v>
      </c>
      <c r="F756" s="7" t="s">
        <v>119</v>
      </c>
      <c r="G756" s="7">
        <v>6</v>
      </c>
      <c r="H756" s="18">
        <v>3577.95</v>
      </c>
      <c r="I756" s="22">
        <v>0.2</v>
      </c>
      <c r="J756" s="18">
        <v>17174.16</v>
      </c>
      <c r="K756" s="18">
        <v>11282.8</v>
      </c>
      <c r="L756" s="18">
        <v>5891.36</v>
      </c>
      <c r="M756" s="7" t="s">
        <v>35</v>
      </c>
      <c r="N756" s="7" t="s">
        <v>63</v>
      </c>
      <c r="O756" s="7" t="s">
        <v>37</v>
      </c>
      <c r="P756" s="7" t="str">
        <f t="shared" si="33"/>
        <v>Apr</v>
      </c>
      <c r="Q756" s="7">
        <f t="shared" si="34"/>
        <v>2025</v>
      </c>
      <c r="R756" s="23">
        <f t="shared" si="35"/>
        <v>0.34303628241497691</v>
      </c>
    </row>
    <row r="757" spans="1:18">
      <c r="A757" s="7" t="s">
        <v>1565</v>
      </c>
      <c r="B757" s="8">
        <v>45722</v>
      </c>
      <c r="C757" s="7" t="s">
        <v>741</v>
      </c>
      <c r="D757" s="7" t="s">
        <v>52</v>
      </c>
      <c r="E757" s="7" t="s">
        <v>61</v>
      </c>
      <c r="F757" s="7" t="s">
        <v>81</v>
      </c>
      <c r="G757" s="7">
        <v>3</v>
      </c>
      <c r="H757" s="18">
        <v>3579.13</v>
      </c>
      <c r="I757" s="22">
        <v>0</v>
      </c>
      <c r="J757" s="18">
        <v>10737.39</v>
      </c>
      <c r="K757" s="18">
        <v>8584.99</v>
      </c>
      <c r="L757" s="18">
        <v>2152.4</v>
      </c>
      <c r="M757" s="7" t="s">
        <v>57</v>
      </c>
      <c r="N757" s="7" t="s">
        <v>36</v>
      </c>
      <c r="O757" s="7" t="s">
        <v>44</v>
      </c>
      <c r="P757" s="7" t="str">
        <f t="shared" si="33"/>
        <v>Mar</v>
      </c>
      <c r="Q757" s="7">
        <f t="shared" si="34"/>
        <v>2025</v>
      </c>
      <c r="R757" s="23">
        <f t="shared" si="35"/>
        <v>0.20045839817683817</v>
      </c>
    </row>
    <row r="758" spans="1:18">
      <c r="A758" s="7" t="s">
        <v>116</v>
      </c>
      <c r="B758" s="8">
        <v>45760</v>
      </c>
      <c r="C758" s="7" t="s">
        <v>117</v>
      </c>
      <c r="D758" s="7" t="s">
        <v>40</v>
      </c>
      <c r="E758" s="7" t="s">
        <v>41</v>
      </c>
      <c r="F758" s="7" t="s">
        <v>42</v>
      </c>
      <c r="G758" s="7">
        <v>6</v>
      </c>
      <c r="H758" s="18">
        <v>3579.33</v>
      </c>
      <c r="I758" s="22">
        <v>0</v>
      </c>
      <c r="J758" s="18">
        <v>21475.98</v>
      </c>
      <c r="K758" s="18">
        <v>15043.22</v>
      </c>
      <c r="L758" s="18">
        <v>6432.76</v>
      </c>
      <c r="M758" s="7" t="s">
        <v>35</v>
      </c>
      <c r="N758" s="7" t="s">
        <v>71</v>
      </c>
      <c r="O758" s="7" t="s">
        <v>44</v>
      </c>
      <c r="P758" s="7" t="str">
        <f t="shared" si="33"/>
        <v>Apr</v>
      </c>
      <c r="Q758" s="7">
        <f t="shared" si="34"/>
        <v>2025</v>
      </c>
      <c r="R758" s="23">
        <f t="shared" si="35"/>
        <v>0.29953278034343489</v>
      </c>
    </row>
    <row r="759" spans="1:18">
      <c r="A759" s="7" t="s">
        <v>647</v>
      </c>
      <c r="B759" s="8">
        <v>45740</v>
      </c>
      <c r="C759" s="7" t="s">
        <v>648</v>
      </c>
      <c r="D759" s="7" t="s">
        <v>52</v>
      </c>
      <c r="E759" s="7" t="s">
        <v>41</v>
      </c>
      <c r="F759" s="7" t="s">
        <v>42</v>
      </c>
      <c r="G759" s="7">
        <v>5</v>
      </c>
      <c r="H759" s="18">
        <v>3579.41</v>
      </c>
      <c r="I759" s="22">
        <v>0.2</v>
      </c>
      <c r="J759" s="18">
        <v>14317.64</v>
      </c>
      <c r="K759" s="18">
        <v>9652.68</v>
      </c>
      <c r="L759" s="18">
        <v>4664.96</v>
      </c>
      <c r="M759" s="7" t="s">
        <v>35</v>
      </c>
      <c r="N759" s="7" t="s">
        <v>43</v>
      </c>
      <c r="O759" s="7" t="s">
        <v>44</v>
      </c>
      <c r="P759" s="7" t="str">
        <f t="shared" si="33"/>
        <v>Mar</v>
      </c>
      <c r="Q759" s="7">
        <f t="shared" si="34"/>
        <v>2025</v>
      </c>
      <c r="R759" s="23">
        <f t="shared" si="35"/>
        <v>0.32581905956568263</v>
      </c>
    </row>
    <row r="760" spans="1:18">
      <c r="A760" s="7" t="s">
        <v>165</v>
      </c>
      <c r="B760" s="8">
        <v>46000</v>
      </c>
      <c r="C760" s="7" t="s">
        <v>166</v>
      </c>
      <c r="D760" s="7" t="s">
        <v>134</v>
      </c>
      <c r="E760" s="7" t="s">
        <v>41</v>
      </c>
      <c r="F760" s="7" t="s">
        <v>153</v>
      </c>
      <c r="G760" s="7">
        <v>5</v>
      </c>
      <c r="H760" s="18">
        <v>3580.34</v>
      </c>
      <c r="I760" s="22">
        <v>0.05</v>
      </c>
      <c r="J760" s="18">
        <v>17006.62</v>
      </c>
      <c r="K760" s="18">
        <v>9408.42</v>
      </c>
      <c r="L760" s="18">
        <v>7598.2</v>
      </c>
      <c r="M760" s="7" t="s">
        <v>35</v>
      </c>
      <c r="N760" s="7" t="s">
        <v>36</v>
      </c>
      <c r="O760" s="7" t="s">
        <v>44</v>
      </c>
      <c r="P760" s="7" t="str">
        <f t="shared" si="33"/>
        <v>Dec</v>
      </c>
      <c r="Q760" s="7">
        <f t="shared" si="34"/>
        <v>2025</v>
      </c>
      <c r="R760" s="23">
        <f t="shared" si="35"/>
        <v>0.44677896019314833</v>
      </c>
    </row>
    <row r="761" spans="1:18">
      <c r="A761" s="7" t="s">
        <v>877</v>
      </c>
      <c r="B761" s="8">
        <v>45809</v>
      </c>
      <c r="C761" s="7" t="s">
        <v>550</v>
      </c>
      <c r="D761" s="7" t="s">
        <v>52</v>
      </c>
      <c r="E761" s="7" t="s">
        <v>48</v>
      </c>
      <c r="F761" s="7" t="s">
        <v>99</v>
      </c>
      <c r="G761" s="7">
        <v>4</v>
      </c>
      <c r="H761" s="18">
        <v>3582.64</v>
      </c>
      <c r="I761" s="22">
        <v>0.1</v>
      </c>
      <c r="J761" s="18">
        <v>12897.5</v>
      </c>
      <c r="K761" s="18">
        <v>8570.02</v>
      </c>
      <c r="L761" s="18">
        <v>4327.4799999999996</v>
      </c>
      <c r="M761" s="7" t="s">
        <v>57</v>
      </c>
      <c r="N761" s="7" t="s">
        <v>43</v>
      </c>
      <c r="O761" s="7" t="s">
        <v>37</v>
      </c>
      <c r="P761" s="7" t="str">
        <f t="shared" si="33"/>
        <v>Jun</v>
      </c>
      <c r="Q761" s="7">
        <f t="shared" si="34"/>
        <v>2025</v>
      </c>
      <c r="R761" s="23">
        <f t="shared" si="35"/>
        <v>0.33552859081217284</v>
      </c>
    </row>
    <row r="762" spans="1:18">
      <c r="A762" s="7" t="s">
        <v>448</v>
      </c>
      <c r="B762" s="8">
        <v>45782</v>
      </c>
      <c r="C762" s="7" t="s">
        <v>449</v>
      </c>
      <c r="D762" s="7" t="s">
        <v>95</v>
      </c>
      <c r="E762" s="7" t="s">
        <v>61</v>
      </c>
      <c r="F762" s="7" t="s">
        <v>81</v>
      </c>
      <c r="G762" s="7">
        <v>1</v>
      </c>
      <c r="H762" s="18">
        <v>3583.67</v>
      </c>
      <c r="I762" s="22">
        <v>0</v>
      </c>
      <c r="J762" s="18">
        <v>3583.67</v>
      </c>
      <c r="K762" s="18">
        <v>2338.2800000000002</v>
      </c>
      <c r="L762" s="18">
        <v>1245.3900000000001</v>
      </c>
      <c r="M762" s="7" t="s">
        <v>35</v>
      </c>
      <c r="N762" s="7" t="s">
        <v>71</v>
      </c>
      <c r="O762" s="7" t="s">
        <v>44</v>
      </c>
      <c r="P762" s="7" t="str">
        <f t="shared" si="33"/>
        <v>May</v>
      </c>
      <c r="Q762" s="7">
        <f t="shared" si="34"/>
        <v>2025</v>
      </c>
      <c r="R762" s="23">
        <f t="shared" si="35"/>
        <v>0.34751804714161744</v>
      </c>
    </row>
    <row r="763" spans="1:18">
      <c r="A763" s="7" t="s">
        <v>878</v>
      </c>
      <c r="B763" s="8">
        <v>46209</v>
      </c>
      <c r="C763" s="7" t="s">
        <v>600</v>
      </c>
      <c r="D763" s="7" t="s">
        <v>52</v>
      </c>
      <c r="E763" s="7" t="s">
        <v>48</v>
      </c>
      <c r="F763" s="7" t="s">
        <v>102</v>
      </c>
      <c r="G763" s="7">
        <v>3</v>
      </c>
      <c r="H763" s="18">
        <v>3583.91</v>
      </c>
      <c r="I763" s="22">
        <v>0.15</v>
      </c>
      <c r="J763" s="18">
        <v>9138.9699999999993</v>
      </c>
      <c r="K763" s="18">
        <v>6095.94</v>
      </c>
      <c r="L763" s="18">
        <v>3043.03</v>
      </c>
      <c r="M763" s="7" t="s">
        <v>35</v>
      </c>
      <c r="N763" s="7" t="s">
        <v>43</v>
      </c>
      <c r="O763" s="7" t="s">
        <v>44</v>
      </c>
      <c r="P763" s="7" t="str">
        <f t="shared" si="33"/>
        <v>Jul</v>
      </c>
      <c r="Q763" s="7">
        <f t="shared" si="34"/>
        <v>2026</v>
      </c>
      <c r="R763" s="23">
        <f t="shared" si="35"/>
        <v>0.33297297179003765</v>
      </c>
    </row>
    <row r="764" spans="1:18">
      <c r="A764" s="7" t="s">
        <v>884</v>
      </c>
      <c r="B764" s="8">
        <v>46147</v>
      </c>
      <c r="C764" s="7" t="s">
        <v>885</v>
      </c>
      <c r="D764" s="7" t="s">
        <v>66</v>
      </c>
      <c r="E764" s="7" t="s">
        <v>33</v>
      </c>
      <c r="F764" s="7" t="s">
        <v>176</v>
      </c>
      <c r="G764" s="7">
        <v>4</v>
      </c>
      <c r="H764" s="18">
        <v>3585.56</v>
      </c>
      <c r="I764" s="22">
        <v>0</v>
      </c>
      <c r="J764" s="18">
        <v>14342.24</v>
      </c>
      <c r="K764" s="18">
        <v>8676.68</v>
      </c>
      <c r="L764" s="18">
        <v>5665.56</v>
      </c>
      <c r="M764" s="7" t="s">
        <v>35</v>
      </c>
      <c r="N764" s="7" t="s">
        <v>43</v>
      </c>
      <c r="O764" s="7" t="s">
        <v>37</v>
      </c>
      <c r="P764" s="7" t="str">
        <f t="shared" si="33"/>
        <v>May</v>
      </c>
      <c r="Q764" s="7">
        <f t="shared" si="34"/>
        <v>2026</v>
      </c>
      <c r="R764" s="23">
        <f t="shared" si="35"/>
        <v>0.3950261604881804</v>
      </c>
    </row>
    <row r="765" spans="1:18">
      <c r="A765" s="7" t="s">
        <v>1348</v>
      </c>
      <c r="B765" s="8">
        <v>45739</v>
      </c>
      <c r="C765" s="7" t="s">
        <v>447</v>
      </c>
      <c r="D765" s="7" t="s">
        <v>134</v>
      </c>
      <c r="E765" s="7" t="s">
        <v>48</v>
      </c>
      <c r="F765" s="7" t="s">
        <v>99</v>
      </c>
      <c r="G765" s="7">
        <v>2</v>
      </c>
      <c r="H765" s="18">
        <v>3586.51</v>
      </c>
      <c r="I765" s="22">
        <v>0.1</v>
      </c>
      <c r="J765" s="18">
        <v>6455.72</v>
      </c>
      <c r="K765" s="18">
        <v>5230.53</v>
      </c>
      <c r="L765" s="18">
        <v>1225.19</v>
      </c>
      <c r="M765" s="7" t="s">
        <v>57</v>
      </c>
      <c r="N765" s="7" t="s">
        <v>43</v>
      </c>
      <c r="O765" s="7" t="s">
        <v>44</v>
      </c>
      <c r="P765" s="7" t="str">
        <f t="shared" si="33"/>
        <v>Mar</v>
      </c>
      <c r="Q765" s="7">
        <f t="shared" si="34"/>
        <v>2025</v>
      </c>
      <c r="R765" s="23">
        <f t="shared" si="35"/>
        <v>0.18978363373876189</v>
      </c>
    </row>
    <row r="766" spans="1:18">
      <c r="A766" s="7" t="s">
        <v>1689</v>
      </c>
      <c r="B766" s="8">
        <v>45775</v>
      </c>
      <c r="C766" s="7" t="s">
        <v>970</v>
      </c>
      <c r="D766" s="7" t="s">
        <v>47</v>
      </c>
      <c r="E766" s="7" t="s">
        <v>48</v>
      </c>
      <c r="F766" s="7" t="s">
        <v>99</v>
      </c>
      <c r="G766" s="7">
        <v>4</v>
      </c>
      <c r="H766" s="18">
        <v>3588.66</v>
      </c>
      <c r="I766" s="22">
        <v>0.1</v>
      </c>
      <c r="J766" s="18">
        <v>12919.18</v>
      </c>
      <c r="K766" s="18">
        <v>9073.73</v>
      </c>
      <c r="L766" s="18">
        <v>3845.45</v>
      </c>
      <c r="M766" s="7" t="s">
        <v>35</v>
      </c>
      <c r="N766" s="7" t="s">
        <v>63</v>
      </c>
      <c r="O766" s="7" t="s">
        <v>37</v>
      </c>
      <c r="P766" s="7" t="str">
        <f t="shared" si="33"/>
        <v>Apr</v>
      </c>
      <c r="Q766" s="7">
        <f t="shared" si="34"/>
        <v>2025</v>
      </c>
      <c r="R766" s="23">
        <f t="shared" si="35"/>
        <v>0.29765434029094723</v>
      </c>
    </row>
    <row r="767" spans="1:18">
      <c r="A767" s="7" t="s">
        <v>1379</v>
      </c>
      <c r="B767" s="8">
        <v>45680</v>
      </c>
      <c r="C767" s="7" t="s">
        <v>1380</v>
      </c>
      <c r="D767" s="7" t="s">
        <v>56</v>
      </c>
      <c r="E767" s="7" t="s">
        <v>48</v>
      </c>
      <c r="F767" s="7" t="s">
        <v>102</v>
      </c>
      <c r="G767" s="7">
        <v>4</v>
      </c>
      <c r="H767" s="18">
        <v>3589.77</v>
      </c>
      <c r="I767" s="22">
        <v>0.15</v>
      </c>
      <c r="J767" s="18">
        <v>12205.22</v>
      </c>
      <c r="K767" s="18">
        <v>6937.97</v>
      </c>
      <c r="L767" s="18">
        <v>5267.25</v>
      </c>
      <c r="M767" s="7" t="s">
        <v>35</v>
      </c>
      <c r="N767" s="7" t="s">
        <v>63</v>
      </c>
      <c r="O767" s="7" t="s">
        <v>37</v>
      </c>
      <c r="P767" s="7" t="str">
        <f t="shared" si="33"/>
        <v>Jan</v>
      </c>
      <c r="Q767" s="7">
        <f t="shared" si="34"/>
        <v>2025</v>
      </c>
      <c r="R767" s="23">
        <f t="shared" si="35"/>
        <v>0.43155715341468653</v>
      </c>
    </row>
    <row r="768" spans="1:18">
      <c r="A768" s="7" t="s">
        <v>1676</v>
      </c>
      <c r="B768" s="8">
        <v>45992</v>
      </c>
      <c r="C768" s="7" t="s">
        <v>1677</v>
      </c>
      <c r="D768" s="7" t="s">
        <v>74</v>
      </c>
      <c r="E768" s="7" t="s">
        <v>48</v>
      </c>
      <c r="F768" s="7" t="s">
        <v>49</v>
      </c>
      <c r="G768" s="7">
        <v>1</v>
      </c>
      <c r="H768" s="18">
        <v>3593.37</v>
      </c>
      <c r="I768" s="22">
        <v>0.2</v>
      </c>
      <c r="J768" s="18">
        <v>2874.7</v>
      </c>
      <c r="K768" s="18">
        <v>1587.5</v>
      </c>
      <c r="L768" s="18">
        <v>1287.2</v>
      </c>
      <c r="M768" s="7" t="s">
        <v>35</v>
      </c>
      <c r="N768" s="7" t="s">
        <v>71</v>
      </c>
      <c r="O768" s="7" t="s">
        <v>44</v>
      </c>
      <c r="P768" s="7" t="str">
        <f t="shared" si="33"/>
        <v>Dec</v>
      </c>
      <c r="Q768" s="7">
        <f t="shared" si="34"/>
        <v>2025</v>
      </c>
      <c r="R768" s="23">
        <f t="shared" si="35"/>
        <v>0.44776846279611793</v>
      </c>
    </row>
    <row r="769" spans="1:18">
      <c r="A769" s="7" t="s">
        <v>1651</v>
      </c>
      <c r="B769" s="8">
        <v>46187</v>
      </c>
      <c r="C769" s="7" t="s">
        <v>1048</v>
      </c>
      <c r="D769" s="7" t="s">
        <v>52</v>
      </c>
      <c r="E769" s="7" t="s">
        <v>41</v>
      </c>
      <c r="F769" s="7" t="s">
        <v>124</v>
      </c>
      <c r="G769" s="7">
        <v>3</v>
      </c>
      <c r="H769" s="18">
        <v>3598.81</v>
      </c>
      <c r="I769" s="22">
        <v>0.15</v>
      </c>
      <c r="J769" s="18">
        <v>9176.9699999999993</v>
      </c>
      <c r="K769" s="18">
        <v>6699.37</v>
      </c>
      <c r="L769" s="18">
        <v>2477.6</v>
      </c>
      <c r="M769" s="7" t="s">
        <v>35</v>
      </c>
      <c r="N769" s="7" t="s">
        <v>43</v>
      </c>
      <c r="O769" s="7" t="s">
        <v>44</v>
      </c>
      <c r="P769" s="7" t="str">
        <f t="shared" si="33"/>
        <v>Jun</v>
      </c>
      <c r="Q769" s="7">
        <f t="shared" si="34"/>
        <v>2026</v>
      </c>
      <c r="R769" s="23">
        <f t="shared" si="35"/>
        <v>0.26998017864284179</v>
      </c>
    </row>
    <row r="770" spans="1:18">
      <c r="A770" s="7" t="s">
        <v>1014</v>
      </c>
      <c r="B770" s="8">
        <v>45913</v>
      </c>
      <c r="C770" s="7" t="s">
        <v>422</v>
      </c>
      <c r="D770" s="7" t="s">
        <v>52</v>
      </c>
      <c r="E770" s="7" t="s">
        <v>33</v>
      </c>
      <c r="F770" s="7" t="s">
        <v>176</v>
      </c>
      <c r="G770" s="7">
        <v>6</v>
      </c>
      <c r="H770" s="18">
        <v>3601.51</v>
      </c>
      <c r="I770" s="22">
        <v>0.15</v>
      </c>
      <c r="J770" s="18">
        <v>18367.7</v>
      </c>
      <c r="K770" s="18">
        <v>12010.74</v>
      </c>
      <c r="L770" s="18">
        <v>6356.96</v>
      </c>
      <c r="M770" s="7" t="s">
        <v>35</v>
      </c>
      <c r="N770" s="7" t="s">
        <v>36</v>
      </c>
      <c r="O770" s="7" t="s">
        <v>44</v>
      </c>
      <c r="P770" s="7" t="str">
        <f t="shared" ref="P770:P833" si="36">TEXT(B770,"mmm")</f>
        <v>Sep</v>
      </c>
      <c r="Q770" s="7">
        <f t="shared" ref="Q770:Q833" si="37">YEAR(B770)</f>
        <v>2025</v>
      </c>
      <c r="R770" s="23">
        <f t="shared" ref="R770:R833" si="38">IFERROR(L770/J770,0)</f>
        <v>0.3460945028501119</v>
      </c>
    </row>
    <row r="771" spans="1:18">
      <c r="A771" s="7" t="s">
        <v>1674</v>
      </c>
      <c r="B771" s="8">
        <v>45790</v>
      </c>
      <c r="C771" s="7" t="s">
        <v>142</v>
      </c>
      <c r="D771" s="7" t="s">
        <v>52</v>
      </c>
      <c r="E771" s="7" t="s">
        <v>48</v>
      </c>
      <c r="F771" s="7" t="s">
        <v>70</v>
      </c>
      <c r="G771" s="7">
        <v>2</v>
      </c>
      <c r="H771" s="18">
        <v>3608.35</v>
      </c>
      <c r="I771" s="22">
        <v>0.1</v>
      </c>
      <c r="J771" s="18">
        <v>6495.03</v>
      </c>
      <c r="K771" s="18">
        <v>3616.81</v>
      </c>
      <c r="L771" s="18">
        <v>2878.22</v>
      </c>
      <c r="M771" s="7" t="s">
        <v>57</v>
      </c>
      <c r="N771" s="7" t="s">
        <v>36</v>
      </c>
      <c r="O771" s="7" t="s">
        <v>44</v>
      </c>
      <c r="P771" s="7" t="str">
        <f t="shared" si="36"/>
        <v>May</v>
      </c>
      <c r="Q771" s="7">
        <f t="shared" si="37"/>
        <v>2025</v>
      </c>
      <c r="R771" s="23">
        <f t="shared" si="38"/>
        <v>0.4431419100450652</v>
      </c>
    </row>
    <row r="772" spans="1:18">
      <c r="A772" s="7" t="s">
        <v>291</v>
      </c>
      <c r="B772" s="8">
        <v>45785</v>
      </c>
      <c r="C772" s="7" t="s">
        <v>292</v>
      </c>
      <c r="D772" s="7" t="s">
        <v>60</v>
      </c>
      <c r="E772" s="7" t="s">
        <v>33</v>
      </c>
      <c r="F772" s="7" t="s">
        <v>34</v>
      </c>
      <c r="G772" s="7">
        <v>3</v>
      </c>
      <c r="H772" s="18">
        <v>3612.32</v>
      </c>
      <c r="I772" s="22">
        <v>0</v>
      </c>
      <c r="J772" s="18">
        <v>10836.96</v>
      </c>
      <c r="K772" s="18">
        <v>8145.27</v>
      </c>
      <c r="L772" s="18">
        <v>2691.69</v>
      </c>
      <c r="M772" s="7" t="s">
        <v>57</v>
      </c>
      <c r="N772" s="7" t="s">
        <v>43</v>
      </c>
      <c r="O772" s="7" t="s">
        <v>37</v>
      </c>
      <c r="P772" s="7" t="str">
        <f t="shared" si="36"/>
        <v>May</v>
      </c>
      <c r="Q772" s="7">
        <f t="shared" si="37"/>
        <v>2025</v>
      </c>
      <c r="R772" s="23">
        <f t="shared" si="38"/>
        <v>0.24838054214466052</v>
      </c>
    </row>
    <row r="773" spans="1:18">
      <c r="A773" s="7" t="s">
        <v>266</v>
      </c>
      <c r="B773" s="8">
        <v>45797</v>
      </c>
      <c r="C773" s="7" t="s">
        <v>267</v>
      </c>
      <c r="D773" s="7" t="s">
        <v>32</v>
      </c>
      <c r="E773" s="7" t="s">
        <v>61</v>
      </c>
      <c r="F773" s="7" t="s">
        <v>129</v>
      </c>
      <c r="G773" s="7">
        <v>5</v>
      </c>
      <c r="H773" s="18">
        <v>3613.23</v>
      </c>
      <c r="I773" s="22">
        <v>0</v>
      </c>
      <c r="J773" s="18">
        <v>18066.150000000001</v>
      </c>
      <c r="K773" s="18">
        <v>11075.6</v>
      </c>
      <c r="L773" s="18">
        <v>6990.55</v>
      </c>
      <c r="M773" s="7" t="s">
        <v>35</v>
      </c>
      <c r="N773" s="7" t="s">
        <v>36</v>
      </c>
      <c r="O773" s="7" t="s">
        <v>44</v>
      </c>
      <c r="P773" s="7" t="str">
        <f t="shared" si="36"/>
        <v>May</v>
      </c>
      <c r="Q773" s="7">
        <f t="shared" si="37"/>
        <v>2025</v>
      </c>
      <c r="R773" s="23">
        <f t="shared" si="38"/>
        <v>0.38694187748911635</v>
      </c>
    </row>
    <row r="774" spans="1:18">
      <c r="A774" s="7" t="s">
        <v>1564</v>
      </c>
      <c r="B774" s="8">
        <v>45737</v>
      </c>
      <c r="C774" s="7" t="s">
        <v>685</v>
      </c>
      <c r="D774" s="7" t="s">
        <v>66</v>
      </c>
      <c r="E774" s="7" t="s">
        <v>48</v>
      </c>
      <c r="F774" s="7" t="s">
        <v>99</v>
      </c>
      <c r="G774" s="7">
        <v>3</v>
      </c>
      <c r="H774" s="18">
        <v>3613.99</v>
      </c>
      <c r="I774" s="22">
        <v>0.1</v>
      </c>
      <c r="J774" s="18">
        <v>9757.77</v>
      </c>
      <c r="K774" s="18">
        <v>7472.28</v>
      </c>
      <c r="L774" s="18">
        <v>2285.4899999999998</v>
      </c>
      <c r="M774" s="7" t="s">
        <v>57</v>
      </c>
      <c r="N774" s="7" t="s">
        <v>63</v>
      </c>
      <c r="O774" s="7" t="s">
        <v>44</v>
      </c>
      <c r="P774" s="7" t="str">
        <f t="shared" si="36"/>
        <v>Mar</v>
      </c>
      <c r="Q774" s="7">
        <f t="shared" si="37"/>
        <v>2025</v>
      </c>
      <c r="R774" s="23">
        <f t="shared" si="38"/>
        <v>0.23422257339535568</v>
      </c>
    </row>
    <row r="775" spans="1:18">
      <c r="A775" s="7" t="s">
        <v>235</v>
      </c>
      <c r="B775" s="8">
        <v>45743</v>
      </c>
      <c r="C775" s="7" t="s">
        <v>236</v>
      </c>
      <c r="D775" s="7" t="s">
        <v>74</v>
      </c>
      <c r="E775" s="7" t="s">
        <v>33</v>
      </c>
      <c r="F775" s="7" t="s">
        <v>176</v>
      </c>
      <c r="G775" s="7">
        <v>4</v>
      </c>
      <c r="H775" s="18">
        <v>3620.75</v>
      </c>
      <c r="I775" s="22">
        <v>0.1</v>
      </c>
      <c r="J775" s="18">
        <v>13034.7</v>
      </c>
      <c r="K775" s="18">
        <v>10029.379999999999</v>
      </c>
      <c r="L775" s="18">
        <v>3005.32</v>
      </c>
      <c r="M775" s="7" t="s">
        <v>35</v>
      </c>
      <c r="N775" s="7" t="s">
        <v>71</v>
      </c>
      <c r="O775" s="7" t="s">
        <v>44</v>
      </c>
      <c r="P775" s="7" t="str">
        <f t="shared" si="36"/>
        <v>Mar</v>
      </c>
      <c r="Q775" s="7">
        <f t="shared" si="37"/>
        <v>2025</v>
      </c>
      <c r="R775" s="23">
        <f t="shared" si="38"/>
        <v>0.23056303558961849</v>
      </c>
    </row>
    <row r="776" spans="1:18">
      <c r="A776" s="7" t="s">
        <v>746</v>
      </c>
      <c r="B776" s="8">
        <v>45958</v>
      </c>
      <c r="C776" s="7" t="s">
        <v>288</v>
      </c>
      <c r="D776" s="7" t="s">
        <v>40</v>
      </c>
      <c r="E776" s="7" t="s">
        <v>61</v>
      </c>
      <c r="F776" s="7" t="s">
        <v>62</v>
      </c>
      <c r="G776" s="7">
        <v>2</v>
      </c>
      <c r="H776" s="18">
        <v>3629.94</v>
      </c>
      <c r="I776" s="22">
        <v>0.05</v>
      </c>
      <c r="J776" s="18">
        <v>6896.89</v>
      </c>
      <c r="K776" s="18">
        <v>4869.6400000000003</v>
      </c>
      <c r="L776" s="18">
        <v>2027.25</v>
      </c>
      <c r="M776" s="7" t="s">
        <v>57</v>
      </c>
      <c r="N776" s="7" t="s">
        <v>36</v>
      </c>
      <c r="O776" s="7" t="s">
        <v>44</v>
      </c>
      <c r="P776" s="7" t="str">
        <f t="shared" si="36"/>
        <v>Oct</v>
      </c>
      <c r="Q776" s="7">
        <f t="shared" si="37"/>
        <v>2025</v>
      </c>
      <c r="R776" s="23">
        <f t="shared" si="38"/>
        <v>0.29393683239837087</v>
      </c>
    </row>
    <row r="777" spans="1:18">
      <c r="A777" s="7" t="s">
        <v>793</v>
      </c>
      <c r="B777" s="8">
        <v>45774</v>
      </c>
      <c r="C777" s="7" t="s">
        <v>674</v>
      </c>
      <c r="D777" s="7" t="s">
        <v>134</v>
      </c>
      <c r="E777" s="7" t="s">
        <v>61</v>
      </c>
      <c r="F777" s="7" t="s">
        <v>84</v>
      </c>
      <c r="G777" s="7">
        <v>5</v>
      </c>
      <c r="H777" s="18">
        <v>3632.24</v>
      </c>
      <c r="I777" s="22">
        <v>0</v>
      </c>
      <c r="J777" s="18">
        <v>18161.2</v>
      </c>
      <c r="K777" s="18">
        <v>12645.08</v>
      </c>
      <c r="L777" s="18">
        <v>5516.12</v>
      </c>
      <c r="M777" s="7" t="s">
        <v>35</v>
      </c>
      <c r="N777" s="7" t="s">
        <v>36</v>
      </c>
      <c r="O777" s="7" t="s">
        <v>44</v>
      </c>
      <c r="P777" s="7" t="str">
        <f t="shared" si="36"/>
        <v>Apr</v>
      </c>
      <c r="Q777" s="7">
        <f t="shared" si="37"/>
        <v>2025</v>
      </c>
      <c r="R777" s="23">
        <f t="shared" si="38"/>
        <v>0.30373103098914167</v>
      </c>
    </row>
    <row r="778" spans="1:18">
      <c r="A778" s="7" t="s">
        <v>1420</v>
      </c>
      <c r="B778" s="8">
        <v>45752</v>
      </c>
      <c r="C778" s="7" t="s">
        <v>1421</v>
      </c>
      <c r="D778" s="7" t="s">
        <v>66</v>
      </c>
      <c r="E778" s="7" t="s">
        <v>61</v>
      </c>
      <c r="F778" s="7" t="s">
        <v>89</v>
      </c>
      <c r="G778" s="7">
        <v>1</v>
      </c>
      <c r="H778" s="18">
        <v>3632.94</v>
      </c>
      <c r="I778" s="22">
        <v>0</v>
      </c>
      <c r="J778" s="18">
        <v>3632.94</v>
      </c>
      <c r="K778" s="18">
        <v>2974.55</v>
      </c>
      <c r="L778" s="18">
        <v>658.39</v>
      </c>
      <c r="M778" s="7" t="s">
        <v>35</v>
      </c>
      <c r="N778" s="7" t="s">
        <v>71</v>
      </c>
      <c r="O778" s="7" t="s">
        <v>44</v>
      </c>
      <c r="P778" s="7" t="str">
        <f t="shared" si="36"/>
        <v>Apr</v>
      </c>
      <c r="Q778" s="7">
        <f t="shared" si="37"/>
        <v>2025</v>
      </c>
      <c r="R778" s="23">
        <f t="shared" si="38"/>
        <v>0.18122787604529664</v>
      </c>
    </row>
    <row r="779" spans="1:18">
      <c r="A779" s="7" t="s">
        <v>498</v>
      </c>
      <c r="B779" s="8">
        <v>45930</v>
      </c>
      <c r="C779" s="7" t="s">
        <v>499</v>
      </c>
      <c r="D779" s="7" t="s">
        <v>60</v>
      </c>
      <c r="E779" s="7" t="s">
        <v>41</v>
      </c>
      <c r="F779" s="7" t="s">
        <v>42</v>
      </c>
      <c r="G779" s="7">
        <v>4</v>
      </c>
      <c r="H779" s="18">
        <v>3635.96</v>
      </c>
      <c r="I779" s="22">
        <v>0.2</v>
      </c>
      <c r="J779" s="18">
        <v>11635.07</v>
      </c>
      <c r="K779" s="18">
        <v>7246.23</v>
      </c>
      <c r="L779" s="18">
        <v>4388.84</v>
      </c>
      <c r="M779" s="7" t="s">
        <v>35</v>
      </c>
      <c r="N779" s="7" t="s">
        <v>71</v>
      </c>
      <c r="O779" s="7" t="s">
        <v>44</v>
      </c>
      <c r="P779" s="7" t="str">
        <f t="shared" si="36"/>
        <v>Sep</v>
      </c>
      <c r="Q779" s="7">
        <f t="shared" si="37"/>
        <v>2025</v>
      </c>
      <c r="R779" s="23">
        <f t="shared" si="38"/>
        <v>0.37720787240644021</v>
      </c>
    </row>
    <row r="780" spans="1:18">
      <c r="A780" s="7" t="s">
        <v>917</v>
      </c>
      <c r="B780" s="8">
        <v>46008</v>
      </c>
      <c r="C780" s="7" t="s">
        <v>540</v>
      </c>
      <c r="D780" s="7" t="s">
        <v>95</v>
      </c>
      <c r="E780" s="7" t="s">
        <v>48</v>
      </c>
      <c r="F780" s="7" t="s">
        <v>113</v>
      </c>
      <c r="G780" s="7">
        <v>4</v>
      </c>
      <c r="H780" s="18">
        <v>3640.66</v>
      </c>
      <c r="I780" s="22">
        <v>0.2</v>
      </c>
      <c r="J780" s="18">
        <v>11650.11</v>
      </c>
      <c r="K780" s="18">
        <v>8839.99</v>
      </c>
      <c r="L780" s="18">
        <v>2810.12</v>
      </c>
      <c r="M780" s="7" t="s">
        <v>35</v>
      </c>
      <c r="N780" s="7" t="s">
        <v>63</v>
      </c>
      <c r="O780" s="7" t="s">
        <v>37</v>
      </c>
      <c r="P780" s="7" t="str">
        <f t="shared" si="36"/>
        <v>Dec</v>
      </c>
      <c r="Q780" s="7">
        <f t="shared" si="37"/>
        <v>2025</v>
      </c>
      <c r="R780" s="23">
        <f t="shared" si="38"/>
        <v>0.24120973965052689</v>
      </c>
    </row>
    <row r="781" spans="1:18">
      <c r="A781" s="7" t="s">
        <v>488</v>
      </c>
      <c r="B781" s="8">
        <v>46223</v>
      </c>
      <c r="C781" s="7" t="s">
        <v>489</v>
      </c>
      <c r="D781" s="7" t="s">
        <v>32</v>
      </c>
      <c r="E781" s="7" t="s">
        <v>41</v>
      </c>
      <c r="F781" s="7" t="s">
        <v>119</v>
      </c>
      <c r="G781" s="7">
        <v>4</v>
      </c>
      <c r="H781" s="18">
        <v>3643.06</v>
      </c>
      <c r="I781" s="22">
        <v>0.2</v>
      </c>
      <c r="J781" s="18">
        <v>11657.79</v>
      </c>
      <c r="K781" s="18">
        <v>8196.5499999999993</v>
      </c>
      <c r="L781" s="18">
        <v>3461.24</v>
      </c>
      <c r="M781" s="7" t="s">
        <v>57</v>
      </c>
      <c r="N781" s="7" t="s">
        <v>63</v>
      </c>
      <c r="O781" s="7" t="s">
        <v>37</v>
      </c>
      <c r="P781" s="7" t="str">
        <f t="shared" si="36"/>
        <v>Jul</v>
      </c>
      <c r="Q781" s="7">
        <f t="shared" si="37"/>
        <v>2026</v>
      </c>
      <c r="R781" s="23">
        <f t="shared" si="38"/>
        <v>0.29690361552232453</v>
      </c>
    </row>
    <row r="782" spans="1:18">
      <c r="A782" s="7" t="s">
        <v>1405</v>
      </c>
      <c r="B782" s="8">
        <v>45747</v>
      </c>
      <c r="C782" s="7" t="s">
        <v>914</v>
      </c>
      <c r="D782" s="7" t="s">
        <v>95</v>
      </c>
      <c r="E782" s="7" t="s">
        <v>33</v>
      </c>
      <c r="F782" s="7" t="s">
        <v>176</v>
      </c>
      <c r="G782" s="7">
        <v>6</v>
      </c>
      <c r="H782" s="18">
        <v>3643.34</v>
      </c>
      <c r="I782" s="22">
        <v>0.2</v>
      </c>
      <c r="J782" s="18">
        <v>17488.03</v>
      </c>
      <c r="K782" s="18">
        <v>10881.61</v>
      </c>
      <c r="L782" s="18">
        <v>6606.42</v>
      </c>
      <c r="M782" s="7" t="s">
        <v>57</v>
      </c>
      <c r="N782" s="7" t="s">
        <v>71</v>
      </c>
      <c r="O782" s="7" t="s">
        <v>37</v>
      </c>
      <c r="P782" s="7" t="str">
        <f t="shared" si="36"/>
        <v>Mar</v>
      </c>
      <c r="Q782" s="7">
        <f t="shared" si="37"/>
        <v>2025</v>
      </c>
      <c r="R782" s="23">
        <f t="shared" si="38"/>
        <v>0.37776810767136154</v>
      </c>
    </row>
    <row r="783" spans="1:18">
      <c r="A783" s="7" t="s">
        <v>1166</v>
      </c>
      <c r="B783" s="8">
        <v>45843</v>
      </c>
      <c r="C783" s="7" t="s">
        <v>1167</v>
      </c>
      <c r="D783" s="7" t="s">
        <v>66</v>
      </c>
      <c r="E783" s="7" t="s">
        <v>33</v>
      </c>
      <c r="F783" s="7" t="s">
        <v>96</v>
      </c>
      <c r="G783" s="7">
        <v>4</v>
      </c>
      <c r="H783" s="18">
        <v>3650.21</v>
      </c>
      <c r="I783" s="22">
        <v>0.15</v>
      </c>
      <c r="J783" s="18">
        <v>12410.71</v>
      </c>
      <c r="K783" s="18">
        <v>9814.17</v>
      </c>
      <c r="L783" s="18">
        <v>2596.54</v>
      </c>
      <c r="M783" s="7" t="s">
        <v>35</v>
      </c>
      <c r="N783" s="7" t="s">
        <v>43</v>
      </c>
      <c r="O783" s="7" t="s">
        <v>44</v>
      </c>
      <c r="P783" s="7" t="str">
        <f t="shared" si="36"/>
        <v>Jul</v>
      </c>
      <c r="Q783" s="7">
        <f t="shared" si="37"/>
        <v>2025</v>
      </c>
      <c r="R783" s="23">
        <f t="shared" si="38"/>
        <v>0.20921768375862462</v>
      </c>
    </row>
    <row r="784" spans="1:18">
      <c r="A784" s="7" t="s">
        <v>423</v>
      </c>
      <c r="B784" s="8">
        <v>45709</v>
      </c>
      <c r="C784" s="7" t="s">
        <v>424</v>
      </c>
      <c r="D784" s="7" t="s">
        <v>74</v>
      </c>
      <c r="E784" s="7" t="s">
        <v>41</v>
      </c>
      <c r="F784" s="7" t="s">
        <v>124</v>
      </c>
      <c r="G784" s="7">
        <v>2</v>
      </c>
      <c r="H784" s="18">
        <v>3663.54</v>
      </c>
      <c r="I784" s="22">
        <v>0</v>
      </c>
      <c r="J784" s="18">
        <v>7327.08</v>
      </c>
      <c r="K784" s="18">
        <v>5688.12</v>
      </c>
      <c r="L784" s="18">
        <v>1638.96</v>
      </c>
      <c r="M784" s="7" t="s">
        <v>35</v>
      </c>
      <c r="N784" s="7" t="s">
        <v>36</v>
      </c>
      <c r="O784" s="7" t="s">
        <v>37</v>
      </c>
      <c r="P784" s="7" t="str">
        <f t="shared" si="36"/>
        <v>Feb</v>
      </c>
      <c r="Q784" s="7">
        <f t="shared" si="37"/>
        <v>2025</v>
      </c>
      <c r="R784" s="23">
        <f t="shared" si="38"/>
        <v>0.22368528800013102</v>
      </c>
    </row>
    <row r="785" spans="1:18">
      <c r="A785" s="7" t="s">
        <v>1672</v>
      </c>
      <c r="B785" s="8">
        <v>46029</v>
      </c>
      <c r="C785" s="7" t="s">
        <v>239</v>
      </c>
      <c r="D785" s="7" t="s">
        <v>56</v>
      </c>
      <c r="E785" s="7" t="s">
        <v>33</v>
      </c>
      <c r="F785" s="7" t="s">
        <v>96</v>
      </c>
      <c r="G785" s="7">
        <v>3</v>
      </c>
      <c r="H785" s="18">
        <v>3665.4</v>
      </c>
      <c r="I785" s="22">
        <v>0.05</v>
      </c>
      <c r="J785" s="18">
        <v>10446.39</v>
      </c>
      <c r="K785" s="18">
        <v>8725.8799999999992</v>
      </c>
      <c r="L785" s="18">
        <v>1720.51</v>
      </c>
      <c r="M785" s="7" t="s">
        <v>57</v>
      </c>
      <c r="N785" s="7" t="s">
        <v>63</v>
      </c>
      <c r="O785" s="7" t="s">
        <v>37</v>
      </c>
      <c r="P785" s="7" t="str">
        <f t="shared" si="36"/>
        <v>Jan</v>
      </c>
      <c r="Q785" s="7">
        <f t="shared" si="37"/>
        <v>2026</v>
      </c>
      <c r="R785" s="23">
        <f t="shared" si="38"/>
        <v>0.16469900128178253</v>
      </c>
    </row>
    <row r="786" spans="1:18">
      <c r="A786" s="7" t="s">
        <v>1147</v>
      </c>
      <c r="B786" s="8">
        <v>46205</v>
      </c>
      <c r="C786" s="7" t="s">
        <v>195</v>
      </c>
      <c r="D786" s="7" t="s">
        <v>40</v>
      </c>
      <c r="E786" s="7" t="s">
        <v>33</v>
      </c>
      <c r="F786" s="7" t="s">
        <v>96</v>
      </c>
      <c r="G786" s="7">
        <v>4</v>
      </c>
      <c r="H786" s="18">
        <v>3668.91</v>
      </c>
      <c r="I786" s="22">
        <v>0.1</v>
      </c>
      <c r="J786" s="18">
        <v>13208.08</v>
      </c>
      <c r="K786" s="18">
        <v>10240.14</v>
      </c>
      <c r="L786" s="18">
        <v>2967.94</v>
      </c>
      <c r="M786" s="7" t="s">
        <v>35</v>
      </c>
      <c r="N786" s="7" t="s">
        <v>43</v>
      </c>
      <c r="O786" s="7" t="s">
        <v>44</v>
      </c>
      <c r="P786" s="7" t="str">
        <f t="shared" si="36"/>
        <v>Jul</v>
      </c>
      <c r="Q786" s="7">
        <f t="shared" si="37"/>
        <v>2026</v>
      </c>
      <c r="R786" s="23">
        <f t="shared" si="38"/>
        <v>0.22470639184499186</v>
      </c>
    </row>
    <row r="787" spans="1:18">
      <c r="A787" s="7" t="s">
        <v>599</v>
      </c>
      <c r="B787" s="8">
        <v>45865</v>
      </c>
      <c r="C787" s="7" t="s">
        <v>600</v>
      </c>
      <c r="D787" s="7" t="s">
        <v>60</v>
      </c>
      <c r="E787" s="7" t="s">
        <v>48</v>
      </c>
      <c r="F787" s="7" t="s">
        <v>99</v>
      </c>
      <c r="G787" s="7">
        <v>3</v>
      </c>
      <c r="H787" s="18">
        <v>3676.94</v>
      </c>
      <c r="I787" s="22">
        <v>0.1</v>
      </c>
      <c r="J787" s="18">
        <v>9927.74</v>
      </c>
      <c r="K787" s="18">
        <v>8326.7000000000007</v>
      </c>
      <c r="L787" s="18">
        <v>1601.04</v>
      </c>
      <c r="M787" s="7" t="s">
        <v>57</v>
      </c>
      <c r="N787" s="7" t="s">
        <v>43</v>
      </c>
      <c r="O787" s="7" t="s">
        <v>44</v>
      </c>
      <c r="P787" s="7" t="str">
        <f t="shared" si="36"/>
        <v>Jul</v>
      </c>
      <c r="Q787" s="7">
        <f t="shared" si="37"/>
        <v>2025</v>
      </c>
      <c r="R787" s="23">
        <f t="shared" si="38"/>
        <v>0.16126933219443701</v>
      </c>
    </row>
    <row r="788" spans="1:18">
      <c r="A788" s="7" t="s">
        <v>373</v>
      </c>
      <c r="B788" s="8">
        <v>45945</v>
      </c>
      <c r="C788" s="7" t="s">
        <v>374</v>
      </c>
      <c r="D788" s="7" t="s">
        <v>74</v>
      </c>
      <c r="E788" s="7" t="s">
        <v>41</v>
      </c>
      <c r="F788" s="7" t="s">
        <v>124</v>
      </c>
      <c r="G788" s="7">
        <v>4</v>
      </c>
      <c r="H788" s="18">
        <v>3683.49</v>
      </c>
      <c r="I788" s="22">
        <v>0.2</v>
      </c>
      <c r="J788" s="18">
        <v>11787.17</v>
      </c>
      <c r="K788" s="18">
        <v>8781.1</v>
      </c>
      <c r="L788" s="18">
        <v>3006.07</v>
      </c>
      <c r="M788" s="7" t="s">
        <v>35</v>
      </c>
      <c r="N788" s="7" t="s">
        <v>36</v>
      </c>
      <c r="O788" s="7" t="s">
        <v>44</v>
      </c>
      <c r="P788" s="7" t="str">
        <f t="shared" si="36"/>
        <v>Oct</v>
      </c>
      <c r="Q788" s="7">
        <f t="shared" si="37"/>
        <v>2025</v>
      </c>
      <c r="R788" s="23">
        <f t="shared" si="38"/>
        <v>0.2550289849047736</v>
      </c>
    </row>
    <row r="789" spans="1:18">
      <c r="A789" s="7" t="s">
        <v>1458</v>
      </c>
      <c r="B789" s="8">
        <v>45764</v>
      </c>
      <c r="C789" s="7" t="s">
        <v>161</v>
      </c>
      <c r="D789" s="7" t="s">
        <v>32</v>
      </c>
      <c r="E789" s="7" t="s">
        <v>61</v>
      </c>
      <c r="F789" s="7" t="s">
        <v>62</v>
      </c>
      <c r="G789" s="7">
        <v>2</v>
      </c>
      <c r="H789" s="18">
        <v>3690.98</v>
      </c>
      <c r="I789" s="22">
        <v>0.15</v>
      </c>
      <c r="J789" s="18">
        <v>6274.67</v>
      </c>
      <c r="K789" s="18">
        <v>4463.54</v>
      </c>
      <c r="L789" s="18">
        <v>1811.13</v>
      </c>
      <c r="M789" s="7" t="s">
        <v>35</v>
      </c>
      <c r="N789" s="7" t="s">
        <v>63</v>
      </c>
      <c r="O789" s="7" t="s">
        <v>44</v>
      </c>
      <c r="P789" s="7" t="str">
        <f t="shared" si="36"/>
        <v>Apr</v>
      </c>
      <c r="Q789" s="7">
        <f t="shared" si="37"/>
        <v>2025</v>
      </c>
      <c r="R789" s="23">
        <f t="shared" si="38"/>
        <v>0.28864147437235743</v>
      </c>
    </row>
    <row r="790" spans="1:18">
      <c r="A790" s="7" t="s">
        <v>1218</v>
      </c>
      <c r="B790" s="8">
        <v>45703</v>
      </c>
      <c r="C790" s="7" t="s">
        <v>1219</v>
      </c>
      <c r="D790" s="7" t="s">
        <v>74</v>
      </c>
      <c r="E790" s="7" t="s">
        <v>48</v>
      </c>
      <c r="F790" s="7" t="s">
        <v>70</v>
      </c>
      <c r="G790" s="7">
        <v>6</v>
      </c>
      <c r="H790" s="18">
        <v>3696.09</v>
      </c>
      <c r="I790" s="22">
        <v>0.1</v>
      </c>
      <c r="J790" s="18">
        <v>19958.89</v>
      </c>
      <c r="K790" s="18">
        <v>12469.87</v>
      </c>
      <c r="L790" s="18">
        <v>7489.02</v>
      </c>
      <c r="M790" s="7" t="s">
        <v>57</v>
      </c>
      <c r="N790" s="7" t="s">
        <v>36</v>
      </c>
      <c r="O790" s="7" t="s">
        <v>44</v>
      </c>
      <c r="P790" s="7" t="str">
        <f t="shared" si="36"/>
        <v>Feb</v>
      </c>
      <c r="Q790" s="7">
        <f t="shared" si="37"/>
        <v>2025</v>
      </c>
      <c r="R790" s="23">
        <f t="shared" si="38"/>
        <v>0.37522226937469971</v>
      </c>
    </row>
    <row r="791" spans="1:18">
      <c r="A791" s="7" t="s">
        <v>1321</v>
      </c>
      <c r="B791" s="8">
        <v>45899</v>
      </c>
      <c r="C791" s="7" t="s">
        <v>140</v>
      </c>
      <c r="D791" s="7" t="s">
        <v>52</v>
      </c>
      <c r="E791" s="7" t="s">
        <v>61</v>
      </c>
      <c r="F791" s="7" t="s">
        <v>129</v>
      </c>
      <c r="G791" s="7">
        <v>5</v>
      </c>
      <c r="H791" s="18">
        <v>3706.34</v>
      </c>
      <c r="I791" s="22">
        <v>0.05</v>
      </c>
      <c r="J791" s="18">
        <v>17605.12</v>
      </c>
      <c r="K791" s="18">
        <v>11080.47</v>
      </c>
      <c r="L791" s="18">
        <v>6524.65</v>
      </c>
      <c r="M791" s="7" t="s">
        <v>35</v>
      </c>
      <c r="N791" s="7" t="s">
        <v>43</v>
      </c>
      <c r="O791" s="7" t="s">
        <v>44</v>
      </c>
      <c r="P791" s="7" t="str">
        <f t="shared" si="36"/>
        <v>Aug</v>
      </c>
      <c r="Q791" s="7">
        <f t="shared" si="37"/>
        <v>2025</v>
      </c>
      <c r="R791" s="23">
        <f t="shared" si="38"/>
        <v>0.37061093590955357</v>
      </c>
    </row>
    <row r="792" spans="1:18">
      <c r="A792" s="7" t="s">
        <v>1446</v>
      </c>
      <c r="B792" s="8">
        <v>45916</v>
      </c>
      <c r="C792" s="7" t="s">
        <v>215</v>
      </c>
      <c r="D792" s="7" t="s">
        <v>47</v>
      </c>
      <c r="E792" s="7" t="s">
        <v>61</v>
      </c>
      <c r="F792" s="7" t="s">
        <v>129</v>
      </c>
      <c r="G792" s="7">
        <v>6</v>
      </c>
      <c r="H792" s="18">
        <v>3712.54</v>
      </c>
      <c r="I792" s="22">
        <v>0.1</v>
      </c>
      <c r="J792" s="18">
        <v>20047.72</v>
      </c>
      <c r="K792" s="18">
        <v>14383.24</v>
      </c>
      <c r="L792" s="18">
        <v>5664.48</v>
      </c>
      <c r="M792" s="7" t="s">
        <v>57</v>
      </c>
      <c r="N792" s="7" t="s">
        <v>36</v>
      </c>
      <c r="O792" s="7" t="s">
        <v>37</v>
      </c>
      <c r="P792" s="7" t="str">
        <f t="shared" si="36"/>
        <v>Sep</v>
      </c>
      <c r="Q792" s="7">
        <f t="shared" si="37"/>
        <v>2025</v>
      </c>
      <c r="R792" s="23">
        <f t="shared" si="38"/>
        <v>0.28254983609108664</v>
      </c>
    </row>
    <row r="793" spans="1:18">
      <c r="A793" s="7" t="s">
        <v>1304</v>
      </c>
      <c r="B793" s="8">
        <v>46172</v>
      </c>
      <c r="C793" s="7" t="s">
        <v>619</v>
      </c>
      <c r="D793" s="7" t="s">
        <v>74</v>
      </c>
      <c r="E793" s="7" t="s">
        <v>33</v>
      </c>
      <c r="F793" s="7" t="s">
        <v>92</v>
      </c>
      <c r="G793" s="7">
        <v>5</v>
      </c>
      <c r="H793" s="18">
        <v>3723.63</v>
      </c>
      <c r="I793" s="22">
        <v>0</v>
      </c>
      <c r="J793" s="18">
        <v>18618.150000000001</v>
      </c>
      <c r="K793" s="18">
        <v>13351.54</v>
      </c>
      <c r="L793" s="18">
        <v>5266.61</v>
      </c>
      <c r="M793" s="7" t="s">
        <v>57</v>
      </c>
      <c r="N793" s="7" t="s">
        <v>63</v>
      </c>
      <c r="O793" s="7" t="s">
        <v>37</v>
      </c>
      <c r="P793" s="7" t="str">
        <f t="shared" si="36"/>
        <v>May</v>
      </c>
      <c r="Q793" s="7">
        <f t="shared" si="37"/>
        <v>2026</v>
      </c>
      <c r="R793" s="23">
        <f t="shared" si="38"/>
        <v>0.28287504397590518</v>
      </c>
    </row>
    <row r="794" spans="1:18">
      <c r="A794" s="7" t="s">
        <v>1199</v>
      </c>
      <c r="B794" s="8">
        <v>46022</v>
      </c>
      <c r="C794" s="7" t="s">
        <v>234</v>
      </c>
      <c r="D794" s="7" t="s">
        <v>40</v>
      </c>
      <c r="E794" s="7" t="s">
        <v>41</v>
      </c>
      <c r="F794" s="7" t="s">
        <v>153</v>
      </c>
      <c r="G794" s="7">
        <v>4</v>
      </c>
      <c r="H794" s="18">
        <v>3724.5</v>
      </c>
      <c r="I794" s="22">
        <v>0.2</v>
      </c>
      <c r="J794" s="18">
        <v>11918.4</v>
      </c>
      <c r="K794" s="18">
        <v>7493.1</v>
      </c>
      <c r="L794" s="18">
        <v>4425.3</v>
      </c>
      <c r="M794" s="7" t="s">
        <v>57</v>
      </c>
      <c r="N794" s="7" t="s">
        <v>71</v>
      </c>
      <c r="O794" s="7" t="s">
        <v>44</v>
      </c>
      <c r="P794" s="7" t="str">
        <f t="shared" si="36"/>
        <v>Dec</v>
      </c>
      <c r="Q794" s="7">
        <f t="shared" si="37"/>
        <v>2025</v>
      </c>
      <c r="R794" s="23">
        <f t="shared" si="38"/>
        <v>0.37129983890455098</v>
      </c>
    </row>
    <row r="795" spans="1:18">
      <c r="A795" s="7" t="s">
        <v>147</v>
      </c>
      <c r="B795" s="8">
        <v>45676</v>
      </c>
      <c r="C795" s="7" t="s">
        <v>148</v>
      </c>
      <c r="D795" s="7" t="s">
        <v>60</v>
      </c>
      <c r="E795" s="7" t="s">
        <v>41</v>
      </c>
      <c r="F795" s="7" t="s">
        <v>124</v>
      </c>
      <c r="G795" s="7">
        <v>3</v>
      </c>
      <c r="H795" s="18">
        <v>3726.87</v>
      </c>
      <c r="I795" s="22">
        <v>0.15</v>
      </c>
      <c r="J795" s="18">
        <v>9503.52</v>
      </c>
      <c r="K795" s="18">
        <v>6028.16</v>
      </c>
      <c r="L795" s="18">
        <v>3475.36</v>
      </c>
      <c r="M795" s="7" t="s">
        <v>57</v>
      </c>
      <c r="N795" s="7" t="s">
        <v>71</v>
      </c>
      <c r="O795" s="7" t="s">
        <v>44</v>
      </c>
      <c r="P795" s="7" t="str">
        <f t="shared" si="36"/>
        <v>Jan</v>
      </c>
      <c r="Q795" s="7">
        <f t="shared" si="37"/>
        <v>2025</v>
      </c>
      <c r="R795" s="23">
        <f t="shared" si="38"/>
        <v>0.36569186995976227</v>
      </c>
    </row>
    <row r="796" spans="1:18">
      <c r="A796" s="7" t="s">
        <v>1251</v>
      </c>
      <c r="B796" s="8">
        <v>45918</v>
      </c>
      <c r="C796" s="7" t="s">
        <v>725</v>
      </c>
      <c r="D796" s="7" t="s">
        <v>47</v>
      </c>
      <c r="E796" s="7" t="s">
        <v>33</v>
      </c>
      <c r="F796" s="7" t="s">
        <v>34</v>
      </c>
      <c r="G796" s="7">
        <v>6</v>
      </c>
      <c r="H796" s="18">
        <v>3742.78</v>
      </c>
      <c r="I796" s="22">
        <v>0.2</v>
      </c>
      <c r="J796" s="18">
        <v>17965.34</v>
      </c>
      <c r="K796" s="18">
        <v>14752.33</v>
      </c>
      <c r="L796" s="18">
        <v>3213.01</v>
      </c>
      <c r="M796" s="7" t="s">
        <v>57</v>
      </c>
      <c r="N796" s="7" t="s">
        <v>63</v>
      </c>
      <c r="O796" s="7" t="s">
        <v>44</v>
      </c>
      <c r="P796" s="7" t="str">
        <f t="shared" si="36"/>
        <v>Sep</v>
      </c>
      <c r="Q796" s="7">
        <f t="shared" si="37"/>
        <v>2025</v>
      </c>
      <c r="R796" s="23">
        <f t="shared" si="38"/>
        <v>0.1788449314068089</v>
      </c>
    </row>
    <row r="797" spans="1:18">
      <c r="A797" s="7" t="s">
        <v>1424</v>
      </c>
      <c r="B797" s="8">
        <v>45771</v>
      </c>
      <c r="C797" s="7" t="s">
        <v>695</v>
      </c>
      <c r="D797" s="7" t="s">
        <v>66</v>
      </c>
      <c r="E797" s="7" t="s">
        <v>48</v>
      </c>
      <c r="F797" s="7" t="s">
        <v>70</v>
      </c>
      <c r="G797" s="7">
        <v>1</v>
      </c>
      <c r="H797" s="18">
        <v>3768.81</v>
      </c>
      <c r="I797" s="22">
        <v>0.05</v>
      </c>
      <c r="J797" s="18">
        <v>3580.37</v>
      </c>
      <c r="K797" s="18">
        <v>3037.62</v>
      </c>
      <c r="L797" s="18">
        <v>542.75</v>
      </c>
      <c r="M797" s="7" t="s">
        <v>57</v>
      </c>
      <c r="N797" s="7" t="s">
        <v>71</v>
      </c>
      <c r="O797" s="7" t="s">
        <v>44</v>
      </c>
      <c r="P797" s="7" t="str">
        <f t="shared" si="36"/>
        <v>Apr</v>
      </c>
      <c r="Q797" s="7">
        <f t="shared" si="37"/>
        <v>2025</v>
      </c>
      <c r="R797" s="23">
        <f t="shared" si="38"/>
        <v>0.15159047807908121</v>
      </c>
    </row>
    <row r="798" spans="1:18">
      <c r="A798" s="7" t="s">
        <v>675</v>
      </c>
      <c r="B798" s="8">
        <v>45889</v>
      </c>
      <c r="C798" s="7" t="s">
        <v>676</v>
      </c>
      <c r="D798" s="7" t="s">
        <v>32</v>
      </c>
      <c r="E798" s="7" t="s">
        <v>61</v>
      </c>
      <c r="F798" s="7" t="s">
        <v>89</v>
      </c>
      <c r="G798" s="7">
        <v>5</v>
      </c>
      <c r="H798" s="18">
        <v>3768.82</v>
      </c>
      <c r="I798" s="22">
        <v>0.2</v>
      </c>
      <c r="J798" s="18">
        <v>15075.28</v>
      </c>
      <c r="K798" s="18">
        <v>9751.81</v>
      </c>
      <c r="L798" s="18">
        <v>5323.47</v>
      </c>
      <c r="M798" s="7" t="s">
        <v>35</v>
      </c>
      <c r="N798" s="7" t="s">
        <v>63</v>
      </c>
      <c r="O798" s="7" t="s">
        <v>44</v>
      </c>
      <c r="P798" s="7" t="str">
        <f t="shared" si="36"/>
        <v>Aug</v>
      </c>
      <c r="Q798" s="7">
        <f t="shared" si="37"/>
        <v>2025</v>
      </c>
      <c r="R798" s="23">
        <f t="shared" si="38"/>
        <v>0.35312577942167578</v>
      </c>
    </row>
    <row r="799" spans="1:18">
      <c r="A799" s="7" t="s">
        <v>987</v>
      </c>
      <c r="B799" s="8">
        <v>45774</v>
      </c>
      <c r="C799" s="7" t="s">
        <v>988</v>
      </c>
      <c r="D799" s="7" t="s">
        <v>74</v>
      </c>
      <c r="E799" s="7" t="s">
        <v>48</v>
      </c>
      <c r="F799" s="7" t="s">
        <v>113</v>
      </c>
      <c r="G799" s="7">
        <v>3</v>
      </c>
      <c r="H799" s="18">
        <v>3770.24</v>
      </c>
      <c r="I799" s="22">
        <v>0.1</v>
      </c>
      <c r="J799" s="18">
        <v>10179.65</v>
      </c>
      <c r="K799" s="18">
        <v>6359.58</v>
      </c>
      <c r="L799" s="18">
        <v>3820.07</v>
      </c>
      <c r="M799" s="7" t="s">
        <v>57</v>
      </c>
      <c r="N799" s="7" t="s">
        <v>43</v>
      </c>
      <c r="O799" s="7" t="s">
        <v>44</v>
      </c>
      <c r="P799" s="7" t="str">
        <f t="shared" si="36"/>
        <v>Apr</v>
      </c>
      <c r="Q799" s="7">
        <f t="shared" si="37"/>
        <v>2025</v>
      </c>
      <c r="R799" s="23">
        <f t="shared" si="38"/>
        <v>0.37526535784629139</v>
      </c>
    </row>
    <row r="800" spans="1:18">
      <c r="A800" s="7" t="s">
        <v>528</v>
      </c>
      <c r="B800" s="8">
        <v>46154</v>
      </c>
      <c r="C800" s="7" t="s">
        <v>529</v>
      </c>
      <c r="D800" s="7" t="s">
        <v>52</v>
      </c>
      <c r="E800" s="7" t="s">
        <v>61</v>
      </c>
      <c r="F800" s="7" t="s">
        <v>84</v>
      </c>
      <c r="G800" s="7">
        <v>1</v>
      </c>
      <c r="H800" s="18">
        <v>3772.89</v>
      </c>
      <c r="I800" s="22">
        <v>0.1</v>
      </c>
      <c r="J800" s="18">
        <v>3395.6</v>
      </c>
      <c r="K800" s="18">
        <v>2457.4899999999998</v>
      </c>
      <c r="L800" s="18">
        <v>938.11</v>
      </c>
      <c r="M800" s="7" t="s">
        <v>57</v>
      </c>
      <c r="N800" s="7" t="s">
        <v>43</v>
      </c>
      <c r="O800" s="7" t="s">
        <v>44</v>
      </c>
      <c r="P800" s="7" t="str">
        <f t="shared" si="36"/>
        <v>May</v>
      </c>
      <c r="Q800" s="7">
        <f t="shared" si="37"/>
        <v>2026</v>
      </c>
      <c r="R800" s="23">
        <f t="shared" si="38"/>
        <v>0.27627223465661443</v>
      </c>
    </row>
    <row r="801" spans="1:18">
      <c r="A801" s="7" t="s">
        <v>172</v>
      </c>
      <c r="B801" s="8">
        <v>45745</v>
      </c>
      <c r="C801" s="7" t="s">
        <v>173</v>
      </c>
      <c r="D801" s="7" t="s">
        <v>56</v>
      </c>
      <c r="E801" s="7" t="s">
        <v>61</v>
      </c>
      <c r="F801" s="7" t="s">
        <v>89</v>
      </c>
      <c r="G801" s="7">
        <v>5</v>
      </c>
      <c r="H801" s="18">
        <v>3776.61</v>
      </c>
      <c r="I801" s="22">
        <v>0</v>
      </c>
      <c r="J801" s="18">
        <v>18883.05</v>
      </c>
      <c r="K801" s="18">
        <v>13549.22</v>
      </c>
      <c r="L801" s="18">
        <v>5333.83</v>
      </c>
      <c r="M801" s="7" t="s">
        <v>57</v>
      </c>
      <c r="N801" s="7" t="s">
        <v>63</v>
      </c>
      <c r="O801" s="7" t="s">
        <v>44</v>
      </c>
      <c r="P801" s="7" t="str">
        <f t="shared" si="36"/>
        <v>Mar</v>
      </c>
      <c r="Q801" s="7">
        <f t="shared" si="37"/>
        <v>2025</v>
      </c>
      <c r="R801" s="23">
        <f t="shared" si="38"/>
        <v>0.28246655068963966</v>
      </c>
    </row>
    <row r="802" spans="1:18">
      <c r="A802" s="7" t="s">
        <v>1533</v>
      </c>
      <c r="B802" s="8">
        <v>45753</v>
      </c>
      <c r="C802" s="7" t="s">
        <v>750</v>
      </c>
      <c r="D802" s="7" t="s">
        <v>1534</v>
      </c>
      <c r="E802" s="7" t="s">
        <v>48</v>
      </c>
      <c r="F802" s="7" t="s">
        <v>102</v>
      </c>
      <c r="G802" s="7">
        <v>3</v>
      </c>
      <c r="H802" s="18">
        <v>3780.71</v>
      </c>
      <c r="I802" s="22">
        <v>0</v>
      </c>
      <c r="J802" s="18">
        <v>11342.13</v>
      </c>
      <c r="K802" s="18">
        <v>8455.4</v>
      </c>
      <c r="L802" s="18">
        <v>2886.73</v>
      </c>
      <c r="M802" s="7" t="s">
        <v>57</v>
      </c>
      <c r="N802" s="7" t="s">
        <v>71</v>
      </c>
      <c r="O802" s="7" t="s">
        <v>44</v>
      </c>
      <c r="P802" s="7" t="str">
        <f t="shared" si="36"/>
        <v>Apr</v>
      </c>
      <c r="Q802" s="7">
        <f t="shared" si="37"/>
        <v>2025</v>
      </c>
      <c r="R802" s="23">
        <f t="shared" si="38"/>
        <v>0.25451392286986663</v>
      </c>
    </row>
    <row r="803" spans="1:18">
      <c r="A803" s="7" t="s">
        <v>562</v>
      </c>
      <c r="B803" s="8">
        <v>45904</v>
      </c>
      <c r="C803" s="7" t="s">
        <v>127</v>
      </c>
      <c r="D803" s="7" t="s">
        <v>60</v>
      </c>
      <c r="E803" s="7" t="s">
        <v>48</v>
      </c>
      <c r="F803" s="7" t="s">
        <v>70</v>
      </c>
      <c r="G803" s="7">
        <v>4</v>
      </c>
      <c r="H803" s="18">
        <v>3787.49</v>
      </c>
      <c r="I803" s="22">
        <v>0</v>
      </c>
      <c r="J803" s="18">
        <v>15149.96</v>
      </c>
      <c r="K803" s="18">
        <v>9798.2900000000009</v>
      </c>
      <c r="L803" s="18">
        <v>5351.67</v>
      </c>
      <c r="M803" s="7" t="s">
        <v>35</v>
      </c>
      <c r="N803" s="7" t="s">
        <v>36</v>
      </c>
      <c r="O803" s="7" t="s">
        <v>44</v>
      </c>
      <c r="P803" s="7" t="str">
        <f t="shared" si="36"/>
        <v>Sep</v>
      </c>
      <c r="Q803" s="7">
        <f t="shared" si="37"/>
        <v>2025</v>
      </c>
      <c r="R803" s="23">
        <f t="shared" si="38"/>
        <v>0.35324647721842173</v>
      </c>
    </row>
    <row r="804" spans="1:18">
      <c r="A804" s="7" t="s">
        <v>1378</v>
      </c>
      <c r="B804" s="8">
        <v>46211</v>
      </c>
      <c r="C804" s="7" t="s">
        <v>335</v>
      </c>
      <c r="D804" s="7" t="s">
        <v>60</v>
      </c>
      <c r="E804" s="7" t="s">
        <v>61</v>
      </c>
      <c r="F804" s="7" t="s">
        <v>84</v>
      </c>
      <c r="G804" s="7">
        <v>2</v>
      </c>
      <c r="H804" s="18">
        <v>3791.36</v>
      </c>
      <c r="I804" s="22">
        <v>0.1</v>
      </c>
      <c r="J804" s="18">
        <v>6824.45</v>
      </c>
      <c r="K804" s="18">
        <v>5536.9</v>
      </c>
      <c r="L804" s="18">
        <v>1287.55</v>
      </c>
      <c r="M804" s="7" t="s">
        <v>57</v>
      </c>
      <c r="N804" s="7" t="s">
        <v>43</v>
      </c>
      <c r="O804" s="7" t="s">
        <v>44</v>
      </c>
      <c r="P804" s="7" t="str">
        <f t="shared" si="36"/>
        <v>Jul</v>
      </c>
      <c r="Q804" s="7">
        <f t="shared" si="37"/>
        <v>2026</v>
      </c>
      <c r="R804" s="23">
        <f t="shared" si="38"/>
        <v>0.18866721860369701</v>
      </c>
    </row>
    <row r="805" spans="1:18">
      <c r="A805" s="7" t="s">
        <v>1062</v>
      </c>
      <c r="B805" s="8">
        <v>45954</v>
      </c>
      <c r="C805" s="7" t="s">
        <v>292</v>
      </c>
      <c r="D805" s="7" t="s">
        <v>95</v>
      </c>
      <c r="E805" s="7" t="s">
        <v>61</v>
      </c>
      <c r="F805" s="7" t="s">
        <v>129</v>
      </c>
      <c r="G805" s="7">
        <v>6</v>
      </c>
      <c r="H805" s="18">
        <v>3791.57</v>
      </c>
      <c r="I805" s="22">
        <v>0.1</v>
      </c>
      <c r="J805" s="18">
        <v>20474.48</v>
      </c>
      <c r="K805" s="18">
        <v>13905.2</v>
      </c>
      <c r="L805" s="18">
        <v>6569.28</v>
      </c>
      <c r="M805" s="7" t="s">
        <v>35</v>
      </c>
      <c r="N805" s="7" t="s">
        <v>71</v>
      </c>
      <c r="O805" s="7" t="s">
        <v>44</v>
      </c>
      <c r="P805" s="7" t="str">
        <f t="shared" si="36"/>
        <v>Oct</v>
      </c>
      <c r="Q805" s="7">
        <f t="shared" si="37"/>
        <v>2025</v>
      </c>
      <c r="R805" s="23">
        <f t="shared" si="38"/>
        <v>0.32085210466883651</v>
      </c>
    </row>
    <row r="806" spans="1:18">
      <c r="A806" s="7" t="s">
        <v>1155</v>
      </c>
      <c r="B806" s="8">
        <v>46103</v>
      </c>
      <c r="C806" s="7" t="s">
        <v>536</v>
      </c>
      <c r="D806" s="7" t="s">
        <v>74</v>
      </c>
      <c r="E806" s="7" t="s">
        <v>61</v>
      </c>
      <c r="F806" s="7" t="s">
        <v>62</v>
      </c>
      <c r="G806" s="7">
        <v>3</v>
      </c>
      <c r="H806" s="18">
        <v>3797.05</v>
      </c>
      <c r="I806" s="22">
        <v>0.15</v>
      </c>
      <c r="J806" s="18">
        <v>9682.48</v>
      </c>
      <c r="K806" s="18">
        <v>7388.58</v>
      </c>
      <c r="L806" s="18">
        <v>2293.9</v>
      </c>
      <c r="M806" s="7" t="s">
        <v>57</v>
      </c>
      <c r="N806" s="7" t="s">
        <v>43</v>
      </c>
      <c r="O806" s="7" t="s">
        <v>44</v>
      </c>
      <c r="P806" s="7" t="str">
        <f t="shared" si="36"/>
        <v>Mar</v>
      </c>
      <c r="Q806" s="7">
        <f t="shared" si="37"/>
        <v>2026</v>
      </c>
      <c r="R806" s="23">
        <f t="shared" si="38"/>
        <v>0.23691244391932648</v>
      </c>
    </row>
    <row r="807" spans="1:18">
      <c r="A807" s="7" t="s">
        <v>398</v>
      </c>
      <c r="B807" s="8">
        <v>46118</v>
      </c>
      <c r="C807" s="7" t="s">
        <v>399</v>
      </c>
      <c r="D807" s="7" t="s">
        <v>52</v>
      </c>
      <c r="E807" s="7" t="s">
        <v>48</v>
      </c>
      <c r="F807" s="7" t="s">
        <v>102</v>
      </c>
      <c r="G807" s="7">
        <v>4</v>
      </c>
      <c r="H807" s="18">
        <v>3797.82</v>
      </c>
      <c r="I807" s="22">
        <v>0.1</v>
      </c>
      <c r="J807" s="18">
        <v>13672.15</v>
      </c>
      <c r="K807" s="18">
        <v>8434.6</v>
      </c>
      <c r="L807" s="18">
        <v>5237.55</v>
      </c>
      <c r="M807" s="7" t="s">
        <v>35</v>
      </c>
      <c r="N807" s="7" t="s">
        <v>71</v>
      </c>
      <c r="O807" s="7" t="s">
        <v>37</v>
      </c>
      <c r="P807" s="7" t="str">
        <f t="shared" si="36"/>
        <v>Apr</v>
      </c>
      <c r="Q807" s="7">
        <f t="shared" si="37"/>
        <v>2026</v>
      </c>
      <c r="R807" s="23">
        <f t="shared" si="38"/>
        <v>0.38308166601448934</v>
      </c>
    </row>
    <row r="808" spans="1:18">
      <c r="A808" s="7" t="s">
        <v>1106</v>
      </c>
      <c r="B808" s="8">
        <v>46134</v>
      </c>
      <c r="C808" s="7" t="s">
        <v>888</v>
      </c>
      <c r="D808" s="7" t="s">
        <v>40</v>
      </c>
      <c r="E808" s="7" t="s">
        <v>33</v>
      </c>
      <c r="F808" s="7" t="s">
        <v>67</v>
      </c>
      <c r="G808" s="7">
        <v>2</v>
      </c>
      <c r="H808" s="18">
        <v>3803.2</v>
      </c>
      <c r="I808" s="22">
        <v>0.15</v>
      </c>
      <c r="J808" s="18">
        <v>6465.44</v>
      </c>
      <c r="K808" s="18">
        <v>4202.1499999999996</v>
      </c>
      <c r="L808" s="18">
        <v>2263.29</v>
      </c>
      <c r="M808" s="7" t="s">
        <v>57</v>
      </c>
      <c r="N808" s="7" t="s">
        <v>43</v>
      </c>
      <c r="O808" s="7" t="s">
        <v>37</v>
      </c>
      <c r="P808" s="7" t="str">
        <f t="shared" si="36"/>
        <v>Apr</v>
      </c>
      <c r="Q808" s="7">
        <f t="shared" si="37"/>
        <v>2026</v>
      </c>
      <c r="R808" s="23">
        <f t="shared" si="38"/>
        <v>0.35005970204657377</v>
      </c>
    </row>
    <row r="809" spans="1:18">
      <c r="A809" s="7" t="s">
        <v>678</v>
      </c>
      <c r="B809" s="8">
        <v>46013</v>
      </c>
      <c r="C809" s="7" t="s">
        <v>679</v>
      </c>
      <c r="D809" s="7" t="s">
        <v>52</v>
      </c>
      <c r="E809" s="7" t="s">
        <v>41</v>
      </c>
      <c r="F809" s="7" t="s">
        <v>42</v>
      </c>
      <c r="G809" s="7">
        <v>3</v>
      </c>
      <c r="H809" s="18">
        <v>3807.48</v>
      </c>
      <c r="I809" s="22">
        <v>0.15</v>
      </c>
      <c r="J809" s="18">
        <v>9709.07</v>
      </c>
      <c r="K809" s="18">
        <v>6092.17</v>
      </c>
      <c r="L809" s="18">
        <v>3616.9</v>
      </c>
      <c r="M809" s="7" t="s">
        <v>57</v>
      </c>
      <c r="N809" s="7" t="s">
        <v>43</v>
      </c>
      <c r="O809" s="7" t="s">
        <v>44</v>
      </c>
      <c r="P809" s="7" t="str">
        <f t="shared" si="36"/>
        <v>Dec</v>
      </c>
      <c r="Q809" s="7">
        <f t="shared" si="37"/>
        <v>2025</v>
      </c>
      <c r="R809" s="23">
        <f t="shared" si="38"/>
        <v>0.37252795581863146</v>
      </c>
    </row>
    <row r="810" spans="1:18">
      <c r="A810" s="7" t="s">
        <v>120</v>
      </c>
      <c r="B810" s="8">
        <v>46010</v>
      </c>
      <c r="C810" s="7" t="s">
        <v>121</v>
      </c>
      <c r="D810" s="7" t="s">
        <v>40</v>
      </c>
      <c r="E810" s="7" t="s">
        <v>33</v>
      </c>
      <c r="F810" s="7" t="s">
        <v>34</v>
      </c>
      <c r="G810" s="7">
        <v>3</v>
      </c>
      <c r="H810" s="18">
        <v>3809.06</v>
      </c>
      <c r="I810" s="22">
        <v>0.1</v>
      </c>
      <c r="J810" s="18">
        <v>10284.459999999999</v>
      </c>
      <c r="K810" s="18">
        <v>6009.63</v>
      </c>
      <c r="L810" s="18">
        <v>4274.83</v>
      </c>
      <c r="M810" s="7" t="s">
        <v>35</v>
      </c>
      <c r="N810" s="7" t="s">
        <v>43</v>
      </c>
      <c r="O810" s="7" t="s">
        <v>37</v>
      </c>
      <c r="P810" s="7" t="str">
        <f t="shared" si="36"/>
        <v>Dec</v>
      </c>
      <c r="Q810" s="7">
        <f t="shared" si="37"/>
        <v>2025</v>
      </c>
      <c r="R810" s="23">
        <f t="shared" si="38"/>
        <v>0.41565915954751154</v>
      </c>
    </row>
    <row r="811" spans="1:18">
      <c r="A811" s="7" t="s">
        <v>1663</v>
      </c>
      <c r="B811" s="8">
        <v>45678</v>
      </c>
      <c r="C811" s="7" t="s">
        <v>1501</v>
      </c>
      <c r="D811" s="7" t="s">
        <v>95</v>
      </c>
      <c r="E811" s="7" t="s">
        <v>33</v>
      </c>
      <c r="F811" s="7" t="s">
        <v>176</v>
      </c>
      <c r="G811" s="7">
        <v>3</v>
      </c>
      <c r="H811" s="18">
        <v>3812.54</v>
      </c>
      <c r="I811" s="22">
        <v>0</v>
      </c>
      <c r="J811" s="18">
        <v>11437.62</v>
      </c>
      <c r="K811" s="18">
        <v>9022.33</v>
      </c>
      <c r="L811" s="18">
        <v>2415.29</v>
      </c>
      <c r="M811" s="7" t="s">
        <v>35</v>
      </c>
      <c r="N811" s="7" t="s">
        <v>71</v>
      </c>
      <c r="O811" s="7" t="s">
        <v>44</v>
      </c>
      <c r="P811" s="7" t="str">
        <f t="shared" si="36"/>
        <v>Jan</v>
      </c>
      <c r="Q811" s="7">
        <f t="shared" si="37"/>
        <v>2025</v>
      </c>
      <c r="R811" s="23">
        <f t="shared" si="38"/>
        <v>0.21117068061362415</v>
      </c>
    </row>
    <row r="812" spans="1:18">
      <c r="A812" s="7" t="s">
        <v>1505</v>
      </c>
      <c r="B812" s="8">
        <v>45862</v>
      </c>
      <c r="C812" s="7" t="s">
        <v>1366</v>
      </c>
      <c r="D812" s="7" t="s">
        <v>95</v>
      </c>
      <c r="E812" s="7" t="s">
        <v>48</v>
      </c>
      <c r="F812" s="7" t="s">
        <v>70</v>
      </c>
      <c r="G812" s="7">
        <v>1</v>
      </c>
      <c r="H812" s="18">
        <v>3819.17</v>
      </c>
      <c r="I812" s="22">
        <v>0.05</v>
      </c>
      <c r="J812" s="18">
        <v>3628.21</v>
      </c>
      <c r="K812" s="18">
        <v>2643.28</v>
      </c>
      <c r="L812" s="18">
        <v>984.93</v>
      </c>
      <c r="M812" s="7" t="s">
        <v>35</v>
      </c>
      <c r="N812" s="7" t="s">
        <v>43</v>
      </c>
      <c r="O812" s="7" t="s">
        <v>44</v>
      </c>
      <c r="P812" s="7" t="str">
        <f t="shared" si="36"/>
        <v>Jul</v>
      </c>
      <c r="Q812" s="7">
        <f t="shared" si="37"/>
        <v>2025</v>
      </c>
      <c r="R812" s="23">
        <f t="shared" si="38"/>
        <v>0.27146444114315321</v>
      </c>
    </row>
    <row r="813" spans="1:18">
      <c r="A813" s="7" t="s">
        <v>1480</v>
      </c>
      <c r="B813" s="8">
        <v>45668</v>
      </c>
      <c r="C813" s="7" t="s">
        <v>939</v>
      </c>
      <c r="D813" s="7" t="s">
        <v>56</v>
      </c>
      <c r="E813" s="7" t="s">
        <v>61</v>
      </c>
      <c r="F813" s="7" t="s">
        <v>62</v>
      </c>
      <c r="G813" s="7">
        <v>3</v>
      </c>
      <c r="H813" s="18">
        <v>3841.22</v>
      </c>
      <c r="I813" s="22">
        <v>0</v>
      </c>
      <c r="J813" s="18">
        <v>11523.66</v>
      </c>
      <c r="K813" s="18">
        <v>7727.12</v>
      </c>
      <c r="L813" s="18">
        <v>3796.54</v>
      </c>
      <c r="M813" s="7" t="s">
        <v>57</v>
      </c>
      <c r="N813" s="7" t="s">
        <v>63</v>
      </c>
      <c r="O813" s="7" t="s">
        <v>37</v>
      </c>
      <c r="P813" s="7" t="str">
        <f t="shared" si="36"/>
        <v>Jan</v>
      </c>
      <c r="Q813" s="7">
        <f t="shared" si="37"/>
        <v>2025</v>
      </c>
      <c r="R813" s="23">
        <f t="shared" si="38"/>
        <v>0.32945609294269357</v>
      </c>
    </row>
    <row r="814" spans="1:18">
      <c r="A814" s="7" t="s">
        <v>570</v>
      </c>
      <c r="B814" s="8">
        <v>45925</v>
      </c>
      <c r="C814" s="7" t="s">
        <v>302</v>
      </c>
      <c r="D814" s="7" t="s">
        <v>40</v>
      </c>
      <c r="E814" s="7" t="s">
        <v>61</v>
      </c>
      <c r="F814" s="7" t="s">
        <v>129</v>
      </c>
      <c r="G814" s="7">
        <v>4</v>
      </c>
      <c r="H814" s="18">
        <v>3845.26</v>
      </c>
      <c r="I814" s="22">
        <v>0</v>
      </c>
      <c r="J814" s="18">
        <v>15381.04</v>
      </c>
      <c r="K814" s="18">
        <v>12464.76</v>
      </c>
      <c r="L814" s="18">
        <v>2916.28</v>
      </c>
      <c r="M814" s="7" t="s">
        <v>57</v>
      </c>
      <c r="N814" s="7" t="s">
        <v>63</v>
      </c>
      <c r="O814" s="7" t="s">
        <v>44</v>
      </c>
      <c r="P814" s="7" t="str">
        <f t="shared" si="36"/>
        <v>Sep</v>
      </c>
      <c r="Q814" s="7">
        <f t="shared" si="37"/>
        <v>2025</v>
      </c>
      <c r="R814" s="23">
        <f t="shared" si="38"/>
        <v>0.18960226356605275</v>
      </c>
    </row>
    <row r="815" spans="1:18">
      <c r="A815" s="7" t="s">
        <v>1588</v>
      </c>
      <c r="B815" s="8">
        <v>45821</v>
      </c>
      <c r="C815" s="7" t="s">
        <v>80</v>
      </c>
      <c r="D815" s="7" t="s">
        <v>66</v>
      </c>
      <c r="E815" s="7" t="s">
        <v>41</v>
      </c>
      <c r="F815" s="7" t="s">
        <v>119</v>
      </c>
      <c r="G815" s="7">
        <v>4</v>
      </c>
      <c r="H815" s="18">
        <v>3845.53</v>
      </c>
      <c r="I815" s="22">
        <v>0.15</v>
      </c>
      <c r="J815" s="18">
        <v>13074.8</v>
      </c>
      <c r="K815" s="18">
        <v>7912.94</v>
      </c>
      <c r="L815" s="18">
        <v>5161.8599999999997</v>
      </c>
      <c r="M815" s="7" t="s">
        <v>57</v>
      </c>
      <c r="N815" s="7" t="s">
        <v>36</v>
      </c>
      <c r="O815" s="7" t="s">
        <v>44</v>
      </c>
      <c r="P815" s="7" t="str">
        <f t="shared" si="36"/>
        <v>Jun</v>
      </c>
      <c r="Q815" s="7">
        <f t="shared" si="37"/>
        <v>2025</v>
      </c>
      <c r="R815" s="23">
        <f t="shared" si="38"/>
        <v>0.39479456664729096</v>
      </c>
    </row>
    <row r="816" spans="1:18">
      <c r="A816" s="7" t="s">
        <v>1188</v>
      </c>
      <c r="B816" s="8">
        <v>45731</v>
      </c>
      <c r="C816" s="7" t="s">
        <v>725</v>
      </c>
      <c r="D816" s="7" t="s">
        <v>60</v>
      </c>
      <c r="E816" s="7" t="s">
        <v>61</v>
      </c>
      <c r="F816" s="7" t="s">
        <v>81</v>
      </c>
      <c r="G816" s="7">
        <v>6</v>
      </c>
      <c r="H816" s="18">
        <v>3849.89</v>
      </c>
      <c r="I816" s="22">
        <v>0</v>
      </c>
      <c r="J816" s="18">
        <v>23099.34</v>
      </c>
      <c r="K816" s="18">
        <v>15568.58</v>
      </c>
      <c r="L816" s="18">
        <v>7530.76</v>
      </c>
      <c r="M816" s="7" t="s">
        <v>35</v>
      </c>
      <c r="N816" s="7" t="s">
        <v>71</v>
      </c>
      <c r="O816" s="7" t="s">
        <v>44</v>
      </c>
      <c r="P816" s="7" t="str">
        <f t="shared" si="36"/>
        <v>Mar</v>
      </c>
      <c r="Q816" s="7">
        <f t="shared" si="37"/>
        <v>2025</v>
      </c>
      <c r="R816" s="23">
        <f t="shared" si="38"/>
        <v>0.32601624115667377</v>
      </c>
    </row>
    <row r="817" spans="1:18">
      <c r="A817" s="7" t="s">
        <v>1041</v>
      </c>
      <c r="B817" s="8">
        <v>45907</v>
      </c>
      <c r="C817" s="7" t="s">
        <v>1042</v>
      </c>
      <c r="D817" s="7" t="s">
        <v>66</v>
      </c>
      <c r="E817" s="7" t="s">
        <v>61</v>
      </c>
      <c r="F817" s="7" t="s">
        <v>129</v>
      </c>
      <c r="G817" s="7">
        <v>1</v>
      </c>
      <c r="H817" s="18">
        <v>3850.47</v>
      </c>
      <c r="I817" s="22">
        <v>0.2</v>
      </c>
      <c r="J817" s="18">
        <v>3080.38</v>
      </c>
      <c r="K817" s="18">
        <v>2247.6799999999998</v>
      </c>
      <c r="L817" s="18">
        <v>832.7</v>
      </c>
      <c r="M817" s="7" t="s">
        <v>57</v>
      </c>
      <c r="N817" s="7" t="s">
        <v>43</v>
      </c>
      <c r="O817" s="7" t="s">
        <v>44</v>
      </c>
      <c r="P817" s="7" t="str">
        <f t="shared" si="36"/>
        <v>Sep</v>
      </c>
      <c r="Q817" s="7">
        <f t="shared" si="37"/>
        <v>2025</v>
      </c>
      <c r="R817" s="23">
        <f t="shared" si="38"/>
        <v>0.27032379122056371</v>
      </c>
    </row>
    <row r="818" spans="1:18">
      <c r="A818" s="7" t="s">
        <v>760</v>
      </c>
      <c r="B818" s="8">
        <v>45801</v>
      </c>
      <c r="C818" s="7" t="s">
        <v>482</v>
      </c>
      <c r="D818" s="7" t="s">
        <v>56</v>
      </c>
      <c r="E818" s="7" t="s">
        <v>61</v>
      </c>
      <c r="F818" s="7" t="s">
        <v>62</v>
      </c>
      <c r="G818" s="7">
        <v>2</v>
      </c>
      <c r="H818" s="18">
        <v>3856.71</v>
      </c>
      <c r="I818" s="22">
        <v>0.2</v>
      </c>
      <c r="J818" s="18">
        <v>6170.74</v>
      </c>
      <c r="K818" s="18">
        <v>5217</v>
      </c>
      <c r="L818" s="18">
        <v>953.74</v>
      </c>
      <c r="M818" s="7" t="s">
        <v>35</v>
      </c>
      <c r="N818" s="7" t="s">
        <v>36</v>
      </c>
      <c r="O818" s="7" t="s">
        <v>44</v>
      </c>
      <c r="P818" s="7" t="str">
        <f t="shared" si="36"/>
        <v>May</v>
      </c>
      <c r="Q818" s="7">
        <f t="shared" si="37"/>
        <v>2025</v>
      </c>
      <c r="R818" s="23">
        <f t="shared" si="38"/>
        <v>0.15455844841947644</v>
      </c>
    </row>
    <row r="819" spans="1:18">
      <c r="A819" s="7" t="s">
        <v>1024</v>
      </c>
      <c r="B819" s="8">
        <v>46057</v>
      </c>
      <c r="C819" s="7" t="s">
        <v>420</v>
      </c>
      <c r="D819" s="7" t="s">
        <v>66</v>
      </c>
      <c r="E819" s="7" t="s">
        <v>61</v>
      </c>
      <c r="F819" s="7" t="s">
        <v>89</v>
      </c>
      <c r="G819" s="7">
        <v>2</v>
      </c>
      <c r="H819" s="18">
        <v>3862.72</v>
      </c>
      <c r="I819" s="22">
        <v>0</v>
      </c>
      <c r="J819" s="18">
        <v>7725.44</v>
      </c>
      <c r="K819" s="18">
        <v>6144.29</v>
      </c>
      <c r="L819" s="18">
        <v>1581.15</v>
      </c>
      <c r="M819" s="7" t="s">
        <v>57</v>
      </c>
      <c r="N819" s="7" t="s">
        <v>36</v>
      </c>
      <c r="O819" s="7" t="s">
        <v>37</v>
      </c>
      <c r="P819" s="7" t="str">
        <f t="shared" si="36"/>
        <v>Feb</v>
      </c>
      <c r="Q819" s="7">
        <f t="shared" si="37"/>
        <v>2026</v>
      </c>
      <c r="R819" s="23">
        <f t="shared" si="38"/>
        <v>0.20466795418772266</v>
      </c>
    </row>
    <row r="820" spans="1:18">
      <c r="A820" s="7" t="s">
        <v>571</v>
      </c>
      <c r="B820" s="8">
        <v>46203</v>
      </c>
      <c r="C820" s="7" t="s">
        <v>339</v>
      </c>
      <c r="D820" s="7" t="s">
        <v>74</v>
      </c>
      <c r="E820" s="7" t="s">
        <v>61</v>
      </c>
      <c r="F820" s="7" t="s">
        <v>81</v>
      </c>
      <c r="G820" s="7">
        <v>1</v>
      </c>
      <c r="H820" s="18">
        <v>3863.95</v>
      </c>
      <c r="I820" s="22">
        <v>0.1</v>
      </c>
      <c r="J820" s="18">
        <v>3477.55</v>
      </c>
      <c r="K820" s="18">
        <v>2700.87</v>
      </c>
      <c r="L820" s="18">
        <v>776.68</v>
      </c>
      <c r="M820" s="7" t="s">
        <v>35</v>
      </c>
      <c r="N820" s="7" t="s">
        <v>43</v>
      </c>
      <c r="O820" s="7" t="s">
        <v>44</v>
      </c>
      <c r="P820" s="7" t="str">
        <f t="shared" si="36"/>
        <v>Jun</v>
      </c>
      <c r="Q820" s="7">
        <f t="shared" si="37"/>
        <v>2026</v>
      </c>
      <c r="R820" s="23">
        <f t="shared" si="38"/>
        <v>0.22334114534658017</v>
      </c>
    </row>
    <row r="821" spans="1:18">
      <c r="A821" s="7" t="s">
        <v>1189</v>
      </c>
      <c r="B821" s="8">
        <v>46083</v>
      </c>
      <c r="C821" s="7" t="s">
        <v>1190</v>
      </c>
      <c r="D821" s="7" t="s">
        <v>52</v>
      </c>
      <c r="E821" s="7" t="s">
        <v>41</v>
      </c>
      <c r="F821" s="7" t="s">
        <v>153</v>
      </c>
      <c r="G821" s="7">
        <v>3</v>
      </c>
      <c r="H821" s="18">
        <v>3865.73</v>
      </c>
      <c r="I821" s="22">
        <v>0.05</v>
      </c>
      <c r="J821" s="18">
        <v>11017.33</v>
      </c>
      <c r="K821" s="18">
        <v>6728.2</v>
      </c>
      <c r="L821" s="18">
        <v>4289.13</v>
      </c>
      <c r="M821" s="7" t="s">
        <v>57</v>
      </c>
      <c r="N821" s="7" t="s">
        <v>63</v>
      </c>
      <c r="O821" s="7" t="s">
        <v>44</v>
      </c>
      <c r="P821" s="7" t="str">
        <f t="shared" si="36"/>
        <v>Mar</v>
      </c>
      <c r="Q821" s="7">
        <f t="shared" si="37"/>
        <v>2026</v>
      </c>
      <c r="R821" s="23">
        <f t="shared" si="38"/>
        <v>0.38930757270590971</v>
      </c>
    </row>
    <row r="822" spans="1:18">
      <c r="A822" s="7" t="s">
        <v>1479</v>
      </c>
      <c r="B822" s="8">
        <v>46037</v>
      </c>
      <c r="C822" s="7" t="s">
        <v>195</v>
      </c>
      <c r="D822" s="7" t="s">
        <v>74</v>
      </c>
      <c r="E822" s="7" t="s">
        <v>33</v>
      </c>
      <c r="F822" s="7" t="s">
        <v>176</v>
      </c>
      <c r="G822" s="7">
        <v>6</v>
      </c>
      <c r="H822" s="18">
        <v>3869.95</v>
      </c>
      <c r="I822" s="22">
        <v>0</v>
      </c>
      <c r="J822" s="18">
        <v>23219.7</v>
      </c>
      <c r="K822" s="18">
        <v>16157.78</v>
      </c>
      <c r="L822" s="18">
        <v>7061.92</v>
      </c>
      <c r="M822" s="7" t="s">
        <v>35</v>
      </c>
      <c r="N822" s="7" t="s">
        <v>63</v>
      </c>
      <c r="O822" s="7" t="s">
        <v>37</v>
      </c>
      <c r="P822" s="7" t="str">
        <f t="shared" si="36"/>
        <v>Jan</v>
      </c>
      <c r="Q822" s="7">
        <f t="shared" si="37"/>
        <v>2026</v>
      </c>
      <c r="R822" s="23">
        <f t="shared" si="38"/>
        <v>0.30413485101013366</v>
      </c>
    </row>
    <row r="823" spans="1:18">
      <c r="A823" s="7" t="s">
        <v>1221</v>
      </c>
      <c r="B823" s="8">
        <v>45661</v>
      </c>
      <c r="C823" s="7" t="s">
        <v>267</v>
      </c>
      <c r="D823" s="7" t="s">
        <v>47</v>
      </c>
      <c r="E823" s="7" t="s">
        <v>61</v>
      </c>
      <c r="F823" s="7" t="s">
        <v>129</v>
      </c>
      <c r="G823" s="7">
        <v>4</v>
      </c>
      <c r="H823" s="18">
        <v>3873.18</v>
      </c>
      <c r="I823" s="22">
        <v>0.2</v>
      </c>
      <c r="J823" s="18">
        <v>12394.18</v>
      </c>
      <c r="K823" s="18">
        <v>10444.83</v>
      </c>
      <c r="L823" s="18">
        <v>1949.35</v>
      </c>
      <c r="M823" s="7" t="s">
        <v>57</v>
      </c>
      <c r="N823" s="7" t="s">
        <v>71</v>
      </c>
      <c r="O823" s="7" t="s">
        <v>44</v>
      </c>
      <c r="P823" s="7" t="str">
        <f t="shared" si="36"/>
        <v>Jan</v>
      </c>
      <c r="Q823" s="7">
        <f t="shared" si="37"/>
        <v>2025</v>
      </c>
      <c r="R823" s="23">
        <f t="shared" si="38"/>
        <v>0.15727946503923615</v>
      </c>
    </row>
    <row r="824" spans="1:18">
      <c r="A824" s="7" t="s">
        <v>1702</v>
      </c>
      <c r="B824" s="8">
        <v>46212</v>
      </c>
      <c r="C824" s="7" t="s">
        <v>412</v>
      </c>
      <c r="D824" s="7" t="s">
        <v>52</v>
      </c>
      <c r="E824" s="7" t="s">
        <v>48</v>
      </c>
      <c r="F824" s="7" t="s">
        <v>113</v>
      </c>
      <c r="G824" s="7">
        <v>1</v>
      </c>
      <c r="H824" s="18">
        <v>3873.39</v>
      </c>
      <c r="I824" s="22">
        <v>0.2</v>
      </c>
      <c r="J824" s="18">
        <v>3098.71</v>
      </c>
      <c r="K824" s="18">
        <v>2532.5700000000002</v>
      </c>
      <c r="L824" s="18">
        <v>566.14</v>
      </c>
      <c r="M824" s="7" t="s">
        <v>57</v>
      </c>
      <c r="N824" s="7" t="s">
        <v>71</v>
      </c>
      <c r="O824" s="7" t="s">
        <v>44</v>
      </c>
      <c r="P824" s="7" t="str">
        <f t="shared" si="36"/>
        <v>Jul</v>
      </c>
      <c r="Q824" s="7">
        <f t="shared" si="37"/>
        <v>2026</v>
      </c>
      <c r="R824" s="23">
        <f t="shared" si="38"/>
        <v>0.18270183398898251</v>
      </c>
    </row>
    <row r="825" spans="1:18">
      <c r="A825" s="7" t="s">
        <v>349</v>
      </c>
      <c r="B825" s="8">
        <v>46072</v>
      </c>
      <c r="C825" s="7" t="s">
        <v>350</v>
      </c>
      <c r="D825" s="7" t="s">
        <v>66</v>
      </c>
      <c r="E825" s="7" t="s">
        <v>48</v>
      </c>
      <c r="F825" s="7" t="s">
        <v>99</v>
      </c>
      <c r="G825" s="7">
        <v>5</v>
      </c>
      <c r="H825" s="18">
        <v>3877.89</v>
      </c>
      <c r="I825" s="22">
        <v>0.2</v>
      </c>
      <c r="J825" s="18">
        <v>15511.56</v>
      </c>
      <c r="K825" s="18">
        <v>10749.89</v>
      </c>
      <c r="L825" s="18">
        <v>4761.67</v>
      </c>
      <c r="M825" s="7" t="s">
        <v>57</v>
      </c>
      <c r="N825" s="7" t="s">
        <v>71</v>
      </c>
      <c r="O825" s="7" t="s">
        <v>37</v>
      </c>
      <c r="P825" s="7" t="str">
        <f t="shared" si="36"/>
        <v>Feb</v>
      </c>
      <c r="Q825" s="7">
        <f t="shared" si="37"/>
        <v>2026</v>
      </c>
      <c r="R825" s="23">
        <f t="shared" si="38"/>
        <v>0.30697557176712081</v>
      </c>
    </row>
    <row r="826" spans="1:18">
      <c r="A826" s="7" t="s">
        <v>1006</v>
      </c>
      <c r="B826" s="8">
        <v>46202</v>
      </c>
      <c r="C826" s="7" t="s">
        <v>1007</v>
      </c>
      <c r="D826" s="7" t="s">
        <v>95</v>
      </c>
      <c r="E826" s="7" t="s">
        <v>61</v>
      </c>
      <c r="F826" s="7" t="s">
        <v>84</v>
      </c>
      <c r="G826" s="7">
        <v>4</v>
      </c>
      <c r="H826" s="18">
        <v>3890.88</v>
      </c>
      <c r="I826" s="22">
        <v>0.05</v>
      </c>
      <c r="J826" s="18">
        <v>14785.34</v>
      </c>
      <c r="K826" s="18">
        <v>9278.01</v>
      </c>
      <c r="L826" s="18">
        <v>5507.33</v>
      </c>
      <c r="M826" s="7" t="s">
        <v>35</v>
      </c>
      <c r="N826" s="7" t="s">
        <v>36</v>
      </c>
      <c r="O826" s="7" t="s">
        <v>44</v>
      </c>
      <c r="P826" s="7" t="str">
        <f t="shared" si="36"/>
        <v>Jun</v>
      </c>
      <c r="Q826" s="7">
        <f t="shared" si="37"/>
        <v>2026</v>
      </c>
      <c r="R826" s="23">
        <f t="shared" si="38"/>
        <v>0.37248585423128583</v>
      </c>
    </row>
    <row r="827" spans="1:18">
      <c r="A827" s="7" t="s">
        <v>492</v>
      </c>
      <c r="B827" s="8">
        <v>45679</v>
      </c>
      <c r="C827" s="7" t="s">
        <v>493</v>
      </c>
      <c r="D827" s="7" t="s">
        <v>56</v>
      </c>
      <c r="E827" s="7" t="s">
        <v>33</v>
      </c>
      <c r="F827" s="7" t="s">
        <v>92</v>
      </c>
      <c r="G827" s="7">
        <v>5</v>
      </c>
      <c r="H827" s="18">
        <v>3891.32</v>
      </c>
      <c r="I827" s="22">
        <v>0</v>
      </c>
      <c r="J827" s="18">
        <v>19456.599999999999</v>
      </c>
      <c r="K827" s="18">
        <v>12579.58</v>
      </c>
      <c r="L827" s="18">
        <v>6877.02</v>
      </c>
      <c r="M827" s="7" t="s">
        <v>35</v>
      </c>
      <c r="N827" s="7" t="s">
        <v>71</v>
      </c>
      <c r="O827" s="7" t="s">
        <v>44</v>
      </c>
      <c r="P827" s="7" t="str">
        <f t="shared" si="36"/>
        <v>Jan</v>
      </c>
      <c r="Q827" s="7">
        <f t="shared" si="37"/>
        <v>2025</v>
      </c>
      <c r="R827" s="23">
        <f t="shared" si="38"/>
        <v>0.35345435482047227</v>
      </c>
    </row>
    <row r="828" spans="1:18">
      <c r="A828" s="7" t="s">
        <v>983</v>
      </c>
      <c r="B828" s="8">
        <v>46045</v>
      </c>
      <c r="C828" s="7" t="s">
        <v>427</v>
      </c>
      <c r="D828" s="7" t="s">
        <v>52</v>
      </c>
      <c r="E828" s="7" t="s">
        <v>33</v>
      </c>
      <c r="F828" s="7" t="s">
        <v>176</v>
      </c>
      <c r="G828" s="7">
        <v>5</v>
      </c>
      <c r="H828" s="18">
        <v>3900.66</v>
      </c>
      <c r="I828" s="22">
        <v>0.2</v>
      </c>
      <c r="J828" s="18">
        <v>15602.64</v>
      </c>
      <c r="K828" s="18">
        <v>12039.75</v>
      </c>
      <c r="L828" s="18">
        <v>3562.89</v>
      </c>
      <c r="M828" s="7" t="s">
        <v>57</v>
      </c>
      <c r="N828" s="7" t="s">
        <v>43</v>
      </c>
      <c r="O828" s="7" t="s">
        <v>37</v>
      </c>
      <c r="P828" s="7" t="str">
        <f t="shared" si="36"/>
        <v>Jan</v>
      </c>
      <c r="Q828" s="7">
        <f t="shared" si="37"/>
        <v>2026</v>
      </c>
      <c r="R828" s="23">
        <f t="shared" si="38"/>
        <v>0.2283517404746889</v>
      </c>
    </row>
    <row r="829" spans="1:18">
      <c r="A829" s="7" t="s">
        <v>1194</v>
      </c>
      <c r="B829" s="8">
        <v>46017</v>
      </c>
      <c r="C829" s="7" t="s">
        <v>1195</v>
      </c>
      <c r="D829" s="7" t="s">
        <v>66</v>
      </c>
      <c r="E829" s="7" t="s">
        <v>33</v>
      </c>
      <c r="F829" s="7" t="s">
        <v>92</v>
      </c>
      <c r="G829" s="7">
        <v>6</v>
      </c>
      <c r="H829" s="18">
        <v>3907.02</v>
      </c>
      <c r="I829" s="22">
        <v>0.15</v>
      </c>
      <c r="J829" s="18">
        <v>19925.8</v>
      </c>
      <c r="K829" s="18">
        <v>13914.09</v>
      </c>
      <c r="L829" s="18">
        <v>6011.71</v>
      </c>
      <c r="M829" s="7" t="s">
        <v>57</v>
      </c>
      <c r="N829" s="7" t="s">
        <v>43</v>
      </c>
      <c r="O829" s="7" t="s">
        <v>44</v>
      </c>
      <c r="P829" s="7" t="str">
        <f t="shared" si="36"/>
        <v>Dec</v>
      </c>
      <c r="Q829" s="7">
        <f t="shared" si="37"/>
        <v>2025</v>
      </c>
      <c r="R829" s="23">
        <f t="shared" si="38"/>
        <v>0.30170482490038042</v>
      </c>
    </row>
    <row r="830" spans="1:18">
      <c r="A830" s="7" t="s">
        <v>610</v>
      </c>
      <c r="B830" s="8">
        <v>45967</v>
      </c>
      <c r="C830" s="7" t="s">
        <v>611</v>
      </c>
      <c r="D830" s="7" t="s">
        <v>60</v>
      </c>
      <c r="E830" s="7" t="s">
        <v>41</v>
      </c>
      <c r="F830" s="7" t="s">
        <v>153</v>
      </c>
      <c r="G830" s="7">
        <v>1</v>
      </c>
      <c r="H830" s="18">
        <v>3911.5</v>
      </c>
      <c r="I830" s="22">
        <v>0</v>
      </c>
      <c r="J830" s="18">
        <v>3911.5</v>
      </c>
      <c r="K830" s="18">
        <v>2365.31</v>
      </c>
      <c r="L830" s="18">
        <v>1546.19</v>
      </c>
      <c r="M830" s="7" t="s">
        <v>35</v>
      </c>
      <c r="N830" s="7" t="s">
        <v>43</v>
      </c>
      <c r="O830" s="7" t="s">
        <v>37</v>
      </c>
      <c r="P830" s="7" t="str">
        <f t="shared" si="36"/>
        <v>Nov</v>
      </c>
      <c r="Q830" s="7">
        <f t="shared" si="37"/>
        <v>2025</v>
      </c>
      <c r="R830" s="23">
        <f t="shared" si="38"/>
        <v>0.39529336571647705</v>
      </c>
    </row>
    <row r="831" spans="1:18">
      <c r="A831" s="7" t="s">
        <v>609</v>
      </c>
      <c r="B831" s="8">
        <v>45750</v>
      </c>
      <c r="C831" s="7" t="s">
        <v>220</v>
      </c>
      <c r="D831" s="7" t="s">
        <v>32</v>
      </c>
      <c r="E831" s="7" t="s">
        <v>48</v>
      </c>
      <c r="F831" s="7" t="s">
        <v>99</v>
      </c>
      <c r="G831" s="7">
        <v>3</v>
      </c>
      <c r="H831" s="18">
        <v>3919.2</v>
      </c>
      <c r="I831" s="22">
        <v>0.2</v>
      </c>
      <c r="J831" s="18">
        <v>9406.08</v>
      </c>
      <c r="K831" s="18">
        <v>7719.49</v>
      </c>
      <c r="L831" s="18">
        <v>1686.59</v>
      </c>
      <c r="M831" s="7" t="s">
        <v>35</v>
      </c>
      <c r="N831" s="7" t="s">
        <v>63</v>
      </c>
      <c r="O831" s="7" t="s">
        <v>44</v>
      </c>
      <c r="P831" s="7" t="str">
        <f t="shared" si="36"/>
        <v>Apr</v>
      </c>
      <c r="Q831" s="7">
        <f t="shared" si="37"/>
        <v>2025</v>
      </c>
      <c r="R831" s="23">
        <f t="shared" si="38"/>
        <v>0.17930848982785602</v>
      </c>
    </row>
    <row r="832" spans="1:18">
      <c r="A832" s="7" t="s">
        <v>1136</v>
      </c>
      <c r="B832" s="8">
        <v>46092</v>
      </c>
      <c r="C832" s="7" t="s">
        <v>294</v>
      </c>
      <c r="D832" s="7" t="s">
        <v>47</v>
      </c>
      <c r="E832" s="7" t="s">
        <v>33</v>
      </c>
      <c r="F832" s="7" t="s">
        <v>92</v>
      </c>
      <c r="G832" s="7">
        <v>1</v>
      </c>
      <c r="H832" s="18">
        <v>3919.24</v>
      </c>
      <c r="I832" s="22">
        <v>0.15</v>
      </c>
      <c r="J832" s="18">
        <v>3331.35</v>
      </c>
      <c r="K832" s="18">
        <v>2752.56</v>
      </c>
      <c r="L832" s="18">
        <v>578.79</v>
      </c>
      <c r="M832" s="7" t="s">
        <v>57</v>
      </c>
      <c r="N832" s="7" t="s">
        <v>43</v>
      </c>
      <c r="O832" s="7" t="s">
        <v>44</v>
      </c>
      <c r="P832" s="7" t="str">
        <f t="shared" si="36"/>
        <v>Mar</v>
      </c>
      <c r="Q832" s="7">
        <f t="shared" si="37"/>
        <v>2026</v>
      </c>
      <c r="R832" s="23">
        <f t="shared" si="38"/>
        <v>0.17374037552343644</v>
      </c>
    </row>
    <row r="833" spans="1:18">
      <c r="A833" s="7" t="s">
        <v>1457</v>
      </c>
      <c r="B833" s="8">
        <v>46108</v>
      </c>
      <c r="C833" s="7" t="s">
        <v>350</v>
      </c>
      <c r="D833" s="7" t="s">
        <v>60</v>
      </c>
      <c r="E833" s="7" t="s">
        <v>33</v>
      </c>
      <c r="F833" s="7" t="s">
        <v>176</v>
      </c>
      <c r="G833" s="7">
        <v>6</v>
      </c>
      <c r="H833" s="18">
        <v>3920.82</v>
      </c>
      <c r="I833" s="22">
        <v>0.2</v>
      </c>
      <c r="J833" s="18">
        <v>18819.939999999999</v>
      </c>
      <c r="K833" s="18">
        <v>12954.57</v>
      </c>
      <c r="L833" s="18">
        <v>5865.37</v>
      </c>
      <c r="M833" s="7" t="s">
        <v>35</v>
      </c>
      <c r="N833" s="7" t="s">
        <v>43</v>
      </c>
      <c r="O833" s="7" t="s">
        <v>44</v>
      </c>
      <c r="P833" s="7" t="str">
        <f t="shared" si="36"/>
        <v>Mar</v>
      </c>
      <c r="Q833" s="7">
        <f t="shared" si="37"/>
        <v>2026</v>
      </c>
      <c r="R833" s="23">
        <f t="shared" si="38"/>
        <v>0.31165721038430516</v>
      </c>
    </row>
    <row r="834" spans="1:18">
      <c r="A834" s="7" t="s">
        <v>1351</v>
      </c>
      <c r="B834" s="8">
        <v>45719</v>
      </c>
      <c r="C834" s="7" t="s">
        <v>948</v>
      </c>
      <c r="D834" s="7" t="s">
        <v>74</v>
      </c>
      <c r="E834" s="7" t="s">
        <v>48</v>
      </c>
      <c r="F834" s="7" t="s">
        <v>113</v>
      </c>
      <c r="G834" s="7">
        <v>6</v>
      </c>
      <c r="H834" s="18">
        <v>3925.03</v>
      </c>
      <c r="I834" s="22">
        <v>0.2</v>
      </c>
      <c r="J834" s="18">
        <v>18840.14</v>
      </c>
      <c r="K834" s="18">
        <v>13479.11</v>
      </c>
      <c r="L834" s="18">
        <v>5361.03</v>
      </c>
      <c r="M834" s="7" t="s">
        <v>57</v>
      </c>
      <c r="N834" s="7" t="s">
        <v>63</v>
      </c>
      <c r="O834" s="7" t="s">
        <v>44</v>
      </c>
      <c r="P834" s="7" t="str">
        <f t="shared" ref="P834:P897" si="39">TEXT(B834,"mmm")</f>
        <v>Mar</v>
      </c>
      <c r="Q834" s="7">
        <f t="shared" ref="Q834:Q897" si="40">YEAR(B834)</f>
        <v>2025</v>
      </c>
      <c r="R834" s="23">
        <f t="shared" ref="R834:R897" si="41">IFERROR(L834/J834,0)</f>
        <v>0.28455361796674544</v>
      </c>
    </row>
    <row r="835" spans="1:18">
      <c r="A835" s="7" t="s">
        <v>1587</v>
      </c>
      <c r="B835" s="8">
        <v>45910</v>
      </c>
      <c r="C835" s="7" t="s">
        <v>682</v>
      </c>
      <c r="D835" s="7" t="s">
        <v>56</v>
      </c>
      <c r="E835" s="7" t="s">
        <v>33</v>
      </c>
      <c r="F835" s="7" t="s">
        <v>67</v>
      </c>
      <c r="G835" s="7">
        <v>2</v>
      </c>
      <c r="H835" s="18">
        <v>3928.05</v>
      </c>
      <c r="I835" s="22">
        <v>0</v>
      </c>
      <c r="J835" s="18">
        <v>7856.1</v>
      </c>
      <c r="K835" s="18">
        <v>6377.36</v>
      </c>
      <c r="L835" s="18">
        <v>1478.74</v>
      </c>
      <c r="M835" s="7" t="s">
        <v>57</v>
      </c>
      <c r="N835" s="7" t="s">
        <v>36</v>
      </c>
      <c r="O835" s="7" t="s">
        <v>44</v>
      </c>
      <c r="P835" s="7" t="str">
        <f t="shared" si="39"/>
        <v>Sep</v>
      </c>
      <c r="Q835" s="7">
        <f t="shared" si="40"/>
        <v>2025</v>
      </c>
      <c r="R835" s="23">
        <f t="shared" si="41"/>
        <v>0.18822825575030866</v>
      </c>
    </row>
    <row r="836" spans="1:18">
      <c r="A836" s="7" t="s">
        <v>1238</v>
      </c>
      <c r="B836" s="8">
        <v>46209</v>
      </c>
      <c r="C836" s="7" t="s">
        <v>1239</v>
      </c>
      <c r="D836" s="7" t="s">
        <v>60</v>
      </c>
      <c r="E836" s="7" t="s">
        <v>48</v>
      </c>
      <c r="F836" s="7" t="s">
        <v>113</v>
      </c>
      <c r="G836" s="7">
        <v>2</v>
      </c>
      <c r="H836" s="18">
        <v>3930.81</v>
      </c>
      <c r="I836" s="22">
        <v>0.15</v>
      </c>
      <c r="J836" s="18">
        <v>6682.38</v>
      </c>
      <c r="K836" s="18">
        <v>5066.75</v>
      </c>
      <c r="L836" s="18">
        <v>1615.63</v>
      </c>
      <c r="M836" s="7" t="s">
        <v>35</v>
      </c>
      <c r="N836" s="7" t="s">
        <v>43</v>
      </c>
      <c r="O836" s="7" t="s">
        <v>44</v>
      </c>
      <c r="P836" s="7" t="str">
        <f t="shared" si="39"/>
        <v>Jul</v>
      </c>
      <c r="Q836" s="7">
        <f t="shared" si="40"/>
        <v>2026</v>
      </c>
      <c r="R836" s="23">
        <f t="shared" si="41"/>
        <v>0.24177463718016637</v>
      </c>
    </row>
    <row r="837" spans="1:18">
      <c r="A837" s="7" t="s">
        <v>462</v>
      </c>
      <c r="B837" s="8">
        <v>45710</v>
      </c>
      <c r="C837" s="7" t="s">
        <v>447</v>
      </c>
      <c r="D837" s="7" t="s">
        <v>134</v>
      </c>
      <c r="E837" s="7" t="s">
        <v>61</v>
      </c>
      <c r="F837" s="7" t="s">
        <v>84</v>
      </c>
      <c r="G837" s="7">
        <v>6</v>
      </c>
      <c r="H837" s="18">
        <v>3932.3</v>
      </c>
      <c r="I837" s="22">
        <v>0</v>
      </c>
      <c r="J837" s="18">
        <v>23593.8</v>
      </c>
      <c r="K837" s="18">
        <v>13624.32</v>
      </c>
      <c r="L837" s="18">
        <v>9969.48</v>
      </c>
      <c r="M837" s="7" t="s">
        <v>57</v>
      </c>
      <c r="N837" s="7" t="s">
        <v>43</v>
      </c>
      <c r="O837" s="7" t="s">
        <v>44</v>
      </c>
      <c r="P837" s="7" t="str">
        <f t="shared" si="39"/>
        <v>Feb</v>
      </c>
      <c r="Q837" s="7">
        <f t="shared" si="40"/>
        <v>2025</v>
      </c>
      <c r="R837" s="23">
        <f t="shared" si="41"/>
        <v>0.42254660122574572</v>
      </c>
    </row>
    <row r="838" spans="1:18">
      <c r="A838" s="7" t="s">
        <v>1377</v>
      </c>
      <c r="B838" s="8">
        <v>45848</v>
      </c>
      <c r="C838" s="7" t="s">
        <v>1058</v>
      </c>
      <c r="D838" s="7" t="s">
        <v>95</v>
      </c>
      <c r="E838" s="7" t="s">
        <v>48</v>
      </c>
      <c r="F838" s="7" t="s">
        <v>49</v>
      </c>
      <c r="G838" s="7">
        <v>1</v>
      </c>
      <c r="H838" s="18">
        <v>3940.44</v>
      </c>
      <c r="I838" s="22">
        <v>0</v>
      </c>
      <c r="J838" s="18">
        <v>3940.44</v>
      </c>
      <c r="K838" s="18">
        <v>3262.64</v>
      </c>
      <c r="L838" s="18">
        <v>677.8</v>
      </c>
      <c r="M838" s="7" t="s">
        <v>57</v>
      </c>
      <c r="N838" s="7" t="s">
        <v>43</v>
      </c>
      <c r="O838" s="7" t="s">
        <v>44</v>
      </c>
      <c r="P838" s="7" t="str">
        <f t="shared" si="39"/>
        <v>Jul</v>
      </c>
      <c r="Q838" s="7">
        <f t="shared" si="40"/>
        <v>2025</v>
      </c>
      <c r="R838" s="23">
        <f t="shared" si="41"/>
        <v>0.17201124747490126</v>
      </c>
    </row>
    <row r="839" spans="1:18">
      <c r="A839" s="7" t="s">
        <v>1268</v>
      </c>
      <c r="B839" s="8">
        <v>45984</v>
      </c>
      <c r="C839" s="7" t="s">
        <v>1190</v>
      </c>
      <c r="D839" s="7" t="s">
        <v>66</v>
      </c>
      <c r="E839" s="7" t="s">
        <v>33</v>
      </c>
      <c r="F839" s="7" t="s">
        <v>67</v>
      </c>
      <c r="G839" s="7">
        <v>2</v>
      </c>
      <c r="H839" s="18">
        <v>3942.32</v>
      </c>
      <c r="I839" s="22">
        <v>0</v>
      </c>
      <c r="J839" s="18">
        <v>7884.64</v>
      </c>
      <c r="K839" s="18">
        <v>5052.37</v>
      </c>
      <c r="L839" s="18">
        <v>2832.27</v>
      </c>
      <c r="M839" s="7" t="s">
        <v>57</v>
      </c>
      <c r="N839" s="7" t="s">
        <v>36</v>
      </c>
      <c r="O839" s="7" t="s">
        <v>44</v>
      </c>
      <c r="P839" s="7" t="str">
        <f t="shared" si="39"/>
        <v>Nov</v>
      </c>
      <c r="Q839" s="7">
        <f t="shared" si="40"/>
        <v>2025</v>
      </c>
      <c r="R839" s="23">
        <f t="shared" si="41"/>
        <v>0.35921361025994841</v>
      </c>
    </row>
    <row r="840" spans="1:18">
      <c r="A840" s="7" t="s">
        <v>1492</v>
      </c>
      <c r="B840" s="8">
        <v>46027</v>
      </c>
      <c r="C840" s="7" t="s">
        <v>166</v>
      </c>
      <c r="D840" s="7" t="s">
        <v>52</v>
      </c>
      <c r="E840" s="7" t="s">
        <v>48</v>
      </c>
      <c r="F840" s="7" t="s">
        <v>49</v>
      </c>
      <c r="G840" s="7">
        <v>5</v>
      </c>
      <c r="H840" s="18">
        <v>3945.38</v>
      </c>
      <c r="I840" s="22">
        <v>0</v>
      </c>
      <c r="J840" s="18">
        <v>19726.900000000001</v>
      </c>
      <c r="K840" s="18">
        <v>15936.41</v>
      </c>
      <c r="L840" s="18">
        <v>3790.49</v>
      </c>
      <c r="M840" s="7" t="s">
        <v>57</v>
      </c>
      <c r="N840" s="7" t="s">
        <v>63</v>
      </c>
      <c r="O840" s="7" t="s">
        <v>44</v>
      </c>
      <c r="P840" s="7" t="str">
        <f t="shared" si="39"/>
        <v>Jan</v>
      </c>
      <c r="Q840" s="7">
        <f t="shared" si="40"/>
        <v>2026</v>
      </c>
      <c r="R840" s="23">
        <f t="shared" si="41"/>
        <v>0.19214828482934468</v>
      </c>
    </row>
    <row r="841" spans="1:18">
      <c r="A841" s="7" t="s">
        <v>1609</v>
      </c>
      <c r="B841" s="8">
        <v>46143</v>
      </c>
      <c r="C841" s="7" t="s">
        <v>341</v>
      </c>
      <c r="D841" s="7" t="s">
        <v>47</v>
      </c>
      <c r="E841" s="7" t="s">
        <v>33</v>
      </c>
      <c r="F841" s="7" t="s">
        <v>176</v>
      </c>
      <c r="G841" s="7">
        <v>3</v>
      </c>
      <c r="H841" s="18">
        <v>3955.02</v>
      </c>
      <c r="I841" s="22">
        <v>0.15</v>
      </c>
      <c r="J841" s="18">
        <v>10085.299999999999</v>
      </c>
      <c r="K841" s="18">
        <v>7254.03</v>
      </c>
      <c r="L841" s="18">
        <v>2831.27</v>
      </c>
      <c r="M841" s="7" t="s">
        <v>57</v>
      </c>
      <c r="N841" s="7" t="s">
        <v>63</v>
      </c>
      <c r="O841" s="7" t="s">
        <v>44</v>
      </c>
      <c r="P841" s="7" t="str">
        <f t="shared" si="39"/>
        <v>May</v>
      </c>
      <c r="Q841" s="7">
        <f t="shared" si="40"/>
        <v>2026</v>
      </c>
      <c r="R841" s="23">
        <f t="shared" si="41"/>
        <v>0.2807323530286655</v>
      </c>
    </row>
    <row r="842" spans="1:18">
      <c r="A842" s="7" t="s">
        <v>730</v>
      </c>
      <c r="B842" s="8">
        <v>46191</v>
      </c>
      <c r="C842" s="7" t="s">
        <v>731</v>
      </c>
      <c r="D842" s="7" t="s">
        <v>134</v>
      </c>
      <c r="E842" s="7" t="s">
        <v>41</v>
      </c>
      <c r="F842" s="7" t="s">
        <v>42</v>
      </c>
      <c r="G842" s="7">
        <v>3</v>
      </c>
      <c r="H842" s="18">
        <v>3956.03</v>
      </c>
      <c r="I842" s="22">
        <v>0.05</v>
      </c>
      <c r="J842" s="18">
        <v>11274.69</v>
      </c>
      <c r="K842" s="18">
        <v>6242.9</v>
      </c>
      <c r="L842" s="18">
        <v>5031.79</v>
      </c>
      <c r="M842" s="7" t="s">
        <v>35</v>
      </c>
      <c r="N842" s="7" t="s">
        <v>43</v>
      </c>
      <c r="O842" s="7" t="s">
        <v>44</v>
      </c>
      <c r="P842" s="7" t="str">
        <f t="shared" si="39"/>
        <v>Jun</v>
      </c>
      <c r="Q842" s="7">
        <f t="shared" si="40"/>
        <v>2026</v>
      </c>
      <c r="R842" s="23">
        <f t="shared" si="41"/>
        <v>0.44629076276154817</v>
      </c>
    </row>
    <row r="843" spans="1:18">
      <c r="A843" s="7" t="s">
        <v>955</v>
      </c>
      <c r="B843" s="8">
        <v>45885</v>
      </c>
      <c r="C843" s="7" t="s">
        <v>956</v>
      </c>
      <c r="D843" s="7" t="s">
        <v>60</v>
      </c>
      <c r="E843" s="7" t="s">
        <v>61</v>
      </c>
      <c r="F843" s="7" t="s">
        <v>84</v>
      </c>
      <c r="G843" s="7">
        <v>2</v>
      </c>
      <c r="H843" s="18">
        <v>3956.61</v>
      </c>
      <c r="I843" s="22">
        <v>0.15</v>
      </c>
      <c r="J843" s="18">
        <v>6726.24</v>
      </c>
      <c r="K843" s="18">
        <v>3756.94</v>
      </c>
      <c r="L843" s="18">
        <v>2969.3</v>
      </c>
      <c r="M843" s="7" t="s">
        <v>57</v>
      </c>
      <c r="N843" s="7" t="s">
        <v>36</v>
      </c>
      <c r="O843" s="7" t="s">
        <v>44</v>
      </c>
      <c r="P843" s="7" t="str">
        <f t="shared" si="39"/>
        <v>Aug</v>
      </c>
      <c r="Q843" s="7">
        <f t="shared" si="40"/>
        <v>2025</v>
      </c>
      <c r="R843" s="23">
        <f t="shared" si="41"/>
        <v>0.44145020100382981</v>
      </c>
    </row>
    <row r="844" spans="1:18">
      <c r="A844" s="7" t="s">
        <v>617</v>
      </c>
      <c r="B844" s="8">
        <v>46261</v>
      </c>
      <c r="C844" s="7" t="s">
        <v>55</v>
      </c>
      <c r="D844" s="7" t="s">
        <v>52</v>
      </c>
      <c r="E844" s="7" t="s">
        <v>33</v>
      </c>
      <c r="F844" s="7" t="s">
        <v>67</v>
      </c>
      <c r="G844" s="7">
        <v>1</v>
      </c>
      <c r="H844" s="18">
        <v>3961.83</v>
      </c>
      <c r="I844" s="22">
        <v>0</v>
      </c>
      <c r="J844" s="18">
        <v>3961.83</v>
      </c>
      <c r="K844" s="18">
        <v>2985.52</v>
      </c>
      <c r="L844" s="18">
        <v>976.31</v>
      </c>
      <c r="M844" s="7" t="s">
        <v>35</v>
      </c>
      <c r="N844" s="7" t="s">
        <v>36</v>
      </c>
      <c r="O844" s="7" t="s">
        <v>44</v>
      </c>
      <c r="P844" s="7" t="str">
        <f t="shared" si="39"/>
        <v>Aug</v>
      </c>
      <c r="Q844" s="7">
        <f t="shared" si="40"/>
        <v>2026</v>
      </c>
      <c r="R844" s="23">
        <f t="shared" si="41"/>
        <v>0.24642904920201017</v>
      </c>
    </row>
    <row r="845" spans="1:18">
      <c r="A845" s="7" t="s">
        <v>930</v>
      </c>
      <c r="B845" s="8">
        <v>46122</v>
      </c>
      <c r="C845" s="7" t="s">
        <v>931</v>
      </c>
      <c r="D845" s="7" t="s">
        <v>32</v>
      </c>
      <c r="E845" s="7" t="s">
        <v>41</v>
      </c>
      <c r="F845" s="7" t="s">
        <v>153</v>
      </c>
      <c r="G845" s="7">
        <v>6</v>
      </c>
      <c r="H845" s="18">
        <v>3962.61</v>
      </c>
      <c r="I845" s="22">
        <v>0.15</v>
      </c>
      <c r="J845" s="18">
        <v>20209.310000000001</v>
      </c>
      <c r="K845" s="18">
        <v>13905.35</v>
      </c>
      <c r="L845" s="18">
        <v>6303.96</v>
      </c>
      <c r="M845" s="7" t="s">
        <v>57</v>
      </c>
      <c r="N845" s="7" t="s">
        <v>63</v>
      </c>
      <c r="O845" s="7" t="s">
        <v>44</v>
      </c>
      <c r="P845" s="7" t="str">
        <f t="shared" si="39"/>
        <v>Apr</v>
      </c>
      <c r="Q845" s="7">
        <f t="shared" si="40"/>
        <v>2026</v>
      </c>
      <c r="R845" s="23">
        <f t="shared" si="41"/>
        <v>0.31193346037049258</v>
      </c>
    </row>
    <row r="846" spans="1:18">
      <c r="A846" s="7" t="s">
        <v>137</v>
      </c>
      <c r="B846" s="8">
        <v>45885</v>
      </c>
      <c r="C846" s="7" t="s">
        <v>138</v>
      </c>
      <c r="D846" s="7" t="s">
        <v>60</v>
      </c>
      <c r="E846" s="7" t="s">
        <v>48</v>
      </c>
      <c r="F846" s="7" t="s">
        <v>99</v>
      </c>
      <c r="G846" s="7">
        <v>5</v>
      </c>
      <c r="H846" s="18">
        <v>3974.4</v>
      </c>
      <c r="I846" s="22">
        <v>0.05</v>
      </c>
      <c r="J846" s="18">
        <v>18878.400000000001</v>
      </c>
      <c r="K846" s="18">
        <v>11810.07</v>
      </c>
      <c r="L846" s="18">
        <v>7068.33</v>
      </c>
      <c r="M846" s="7" t="s">
        <v>57</v>
      </c>
      <c r="N846" s="7" t="s">
        <v>63</v>
      </c>
      <c r="O846" s="7" t="s">
        <v>44</v>
      </c>
      <c r="P846" s="7" t="str">
        <f t="shared" si="39"/>
        <v>Aug</v>
      </c>
      <c r="Q846" s="7">
        <f t="shared" si="40"/>
        <v>2025</v>
      </c>
      <c r="R846" s="23">
        <f t="shared" si="41"/>
        <v>0.37441361556064068</v>
      </c>
    </row>
    <row r="847" spans="1:18">
      <c r="A847" s="7" t="s">
        <v>1452</v>
      </c>
      <c r="B847" s="8">
        <v>46056</v>
      </c>
      <c r="C847" s="7" t="s">
        <v>1453</v>
      </c>
      <c r="D847" s="7" t="s">
        <v>66</v>
      </c>
      <c r="E847" s="7" t="s">
        <v>61</v>
      </c>
      <c r="F847" s="7" t="s">
        <v>129</v>
      </c>
      <c r="G847" s="7">
        <v>5</v>
      </c>
      <c r="H847" s="18">
        <v>3980.22</v>
      </c>
      <c r="I847" s="22">
        <v>0.15</v>
      </c>
      <c r="J847" s="18">
        <v>16915.93</v>
      </c>
      <c r="K847" s="18">
        <v>11475.52</v>
      </c>
      <c r="L847" s="18">
        <v>5440.41</v>
      </c>
      <c r="M847" s="7" t="s">
        <v>57</v>
      </c>
      <c r="N847" s="7" t="s">
        <v>63</v>
      </c>
      <c r="O847" s="7" t="s">
        <v>44</v>
      </c>
      <c r="P847" s="7" t="str">
        <f t="shared" si="39"/>
        <v>Feb</v>
      </c>
      <c r="Q847" s="7">
        <f t="shared" si="40"/>
        <v>2026</v>
      </c>
      <c r="R847" s="23">
        <f t="shared" si="41"/>
        <v>0.32161459641887852</v>
      </c>
    </row>
    <row r="848" spans="1:18">
      <c r="A848" s="7" t="s">
        <v>1409</v>
      </c>
      <c r="B848" s="8">
        <v>45790</v>
      </c>
      <c r="C848" s="7" t="s">
        <v>1410</v>
      </c>
      <c r="D848" s="7" t="s">
        <v>66</v>
      </c>
      <c r="E848" s="7" t="s">
        <v>33</v>
      </c>
      <c r="F848" s="7" t="s">
        <v>176</v>
      </c>
      <c r="G848" s="7">
        <v>3</v>
      </c>
      <c r="H848" s="18">
        <v>3981.95</v>
      </c>
      <c r="I848" s="22">
        <v>0.1</v>
      </c>
      <c r="J848" s="18">
        <v>10751.26</v>
      </c>
      <c r="K848" s="18">
        <v>6331.75</v>
      </c>
      <c r="L848" s="18">
        <v>4419.51</v>
      </c>
      <c r="M848" s="7" t="s">
        <v>57</v>
      </c>
      <c r="N848" s="7" t="s">
        <v>71</v>
      </c>
      <c r="O848" s="7" t="s">
        <v>44</v>
      </c>
      <c r="P848" s="7" t="str">
        <f t="shared" si="39"/>
        <v>May</v>
      </c>
      <c r="Q848" s="7">
        <f t="shared" si="40"/>
        <v>2025</v>
      </c>
      <c r="R848" s="23">
        <f t="shared" si="41"/>
        <v>0.41106902818832397</v>
      </c>
    </row>
    <row r="849" spans="1:18">
      <c r="A849" s="7" t="s">
        <v>1081</v>
      </c>
      <c r="B849" s="8">
        <v>45817</v>
      </c>
      <c r="C849" s="7" t="s">
        <v>835</v>
      </c>
      <c r="D849" s="7" t="s">
        <v>47</v>
      </c>
      <c r="E849" s="7" t="s">
        <v>61</v>
      </c>
      <c r="F849" s="7" t="s">
        <v>129</v>
      </c>
      <c r="G849" s="7">
        <v>6</v>
      </c>
      <c r="H849" s="18">
        <v>3983.69</v>
      </c>
      <c r="I849" s="22">
        <v>0.1</v>
      </c>
      <c r="J849" s="18">
        <v>21511.93</v>
      </c>
      <c r="K849" s="18">
        <v>12700</v>
      </c>
      <c r="L849" s="18">
        <v>8811.93</v>
      </c>
      <c r="M849" s="7" t="s">
        <v>57</v>
      </c>
      <c r="N849" s="7" t="s">
        <v>43</v>
      </c>
      <c r="O849" s="7" t="s">
        <v>44</v>
      </c>
      <c r="P849" s="7" t="str">
        <f t="shared" si="39"/>
        <v>Jun</v>
      </c>
      <c r="Q849" s="7">
        <f t="shared" si="40"/>
        <v>2025</v>
      </c>
      <c r="R849" s="23">
        <f t="shared" si="41"/>
        <v>0.40962991233236629</v>
      </c>
    </row>
    <row r="850" spans="1:18">
      <c r="A850" s="7" t="s">
        <v>812</v>
      </c>
      <c r="B850" s="8">
        <v>46113</v>
      </c>
      <c r="C850" s="7" t="s">
        <v>360</v>
      </c>
      <c r="D850" s="7" t="s">
        <v>60</v>
      </c>
      <c r="E850" s="7" t="s">
        <v>48</v>
      </c>
      <c r="F850" s="7" t="s">
        <v>99</v>
      </c>
      <c r="G850" s="7">
        <v>6</v>
      </c>
      <c r="H850" s="18">
        <v>3987.95</v>
      </c>
      <c r="I850" s="22">
        <v>0</v>
      </c>
      <c r="J850" s="18">
        <v>23927.7</v>
      </c>
      <c r="K850" s="18">
        <v>15740.47</v>
      </c>
      <c r="L850" s="18">
        <v>8187.23</v>
      </c>
      <c r="M850" s="7" t="s">
        <v>57</v>
      </c>
      <c r="N850" s="7" t="s">
        <v>63</v>
      </c>
      <c r="O850" s="7" t="s">
        <v>44</v>
      </c>
      <c r="P850" s="7" t="str">
        <f t="shared" si="39"/>
        <v>Apr</v>
      </c>
      <c r="Q850" s="7">
        <f t="shared" si="40"/>
        <v>2026</v>
      </c>
      <c r="R850" s="23">
        <f t="shared" si="41"/>
        <v>0.34216535646969826</v>
      </c>
    </row>
    <row r="851" spans="1:18">
      <c r="A851" s="7" t="s">
        <v>800</v>
      </c>
      <c r="B851" s="8">
        <v>45758</v>
      </c>
      <c r="C851" s="7" t="s">
        <v>676</v>
      </c>
      <c r="D851" s="7" t="s">
        <v>66</v>
      </c>
      <c r="E851" s="7" t="s">
        <v>61</v>
      </c>
      <c r="F851" s="7" t="s">
        <v>62</v>
      </c>
      <c r="G851" s="7">
        <v>3</v>
      </c>
      <c r="H851" s="18">
        <v>3991.91</v>
      </c>
      <c r="I851" s="22">
        <v>0.2</v>
      </c>
      <c r="J851" s="18">
        <v>9580.58</v>
      </c>
      <c r="K851" s="18">
        <v>6095.36</v>
      </c>
      <c r="L851" s="18">
        <v>3485.22</v>
      </c>
      <c r="M851" s="7" t="s">
        <v>35</v>
      </c>
      <c r="N851" s="7" t="s">
        <v>63</v>
      </c>
      <c r="O851" s="7" t="s">
        <v>37</v>
      </c>
      <c r="P851" s="7" t="str">
        <f t="shared" si="39"/>
        <v>Apr</v>
      </c>
      <c r="Q851" s="7">
        <f t="shared" si="40"/>
        <v>2025</v>
      </c>
      <c r="R851" s="23">
        <f t="shared" si="41"/>
        <v>0.36377964590870282</v>
      </c>
    </row>
    <row r="852" spans="1:18">
      <c r="A852" s="7" t="s">
        <v>1585</v>
      </c>
      <c r="B852" s="8">
        <v>46229</v>
      </c>
      <c r="C852" s="7" t="s">
        <v>401</v>
      </c>
      <c r="D852" s="7" t="s">
        <v>47</v>
      </c>
      <c r="E852" s="7" t="s">
        <v>33</v>
      </c>
      <c r="F852" s="7" t="s">
        <v>92</v>
      </c>
      <c r="G852" s="7">
        <v>2</v>
      </c>
      <c r="H852" s="18">
        <v>3998.33</v>
      </c>
      <c r="I852" s="22">
        <v>0.15</v>
      </c>
      <c r="J852" s="18">
        <v>6797.16</v>
      </c>
      <c r="K852" s="18">
        <v>4085.01</v>
      </c>
      <c r="L852" s="18">
        <v>2712.15</v>
      </c>
      <c r="M852" s="7" t="s">
        <v>57</v>
      </c>
      <c r="N852" s="7" t="s">
        <v>36</v>
      </c>
      <c r="O852" s="7" t="s">
        <v>44</v>
      </c>
      <c r="P852" s="7" t="str">
        <f t="shared" si="39"/>
        <v>Jul</v>
      </c>
      <c r="Q852" s="7">
        <f t="shared" si="40"/>
        <v>2026</v>
      </c>
      <c r="R852" s="23">
        <f t="shared" si="41"/>
        <v>0.39901223452147666</v>
      </c>
    </row>
    <row r="853" spans="1:18">
      <c r="A853" s="7" t="s">
        <v>1213</v>
      </c>
      <c r="B853" s="8">
        <v>46137</v>
      </c>
      <c r="C853" s="7" t="s">
        <v>1214</v>
      </c>
      <c r="D853" s="7" t="s">
        <v>60</v>
      </c>
      <c r="E853" s="7" t="s">
        <v>61</v>
      </c>
      <c r="F853" s="7" t="s">
        <v>89</v>
      </c>
      <c r="G853" s="7">
        <v>4</v>
      </c>
      <c r="H853" s="18">
        <v>3999.67</v>
      </c>
      <c r="I853" s="22">
        <v>0.2</v>
      </c>
      <c r="J853" s="18">
        <v>12798.94</v>
      </c>
      <c r="K853" s="18">
        <v>10116.629999999999</v>
      </c>
      <c r="L853" s="18">
        <v>2682.31</v>
      </c>
      <c r="M853" s="7" t="s">
        <v>57</v>
      </c>
      <c r="N853" s="7" t="s">
        <v>36</v>
      </c>
      <c r="O853" s="7" t="s">
        <v>44</v>
      </c>
      <c r="P853" s="7" t="str">
        <f t="shared" si="39"/>
        <v>Apr</v>
      </c>
      <c r="Q853" s="7">
        <f t="shared" si="40"/>
        <v>2026</v>
      </c>
      <c r="R853" s="23">
        <f t="shared" si="41"/>
        <v>0.20957282399948746</v>
      </c>
    </row>
    <row r="854" spans="1:18">
      <c r="A854" s="7" t="s">
        <v>977</v>
      </c>
      <c r="B854" s="8">
        <v>45827</v>
      </c>
      <c r="C854" s="7" t="s">
        <v>978</v>
      </c>
      <c r="D854" s="7" t="s">
        <v>56</v>
      </c>
      <c r="E854" s="7" t="s">
        <v>61</v>
      </c>
      <c r="F854" s="7" t="s">
        <v>62</v>
      </c>
      <c r="G854" s="7">
        <v>6</v>
      </c>
      <c r="H854" s="18">
        <v>3999.67</v>
      </c>
      <c r="I854" s="22">
        <v>0.1</v>
      </c>
      <c r="J854" s="18">
        <v>21598.22</v>
      </c>
      <c r="K854" s="18">
        <v>14161.02</v>
      </c>
      <c r="L854" s="18">
        <v>7437.2</v>
      </c>
      <c r="M854" s="7" t="s">
        <v>57</v>
      </c>
      <c r="N854" s="7" t="s">
        <v>36</v>
      </c>
      <c r="O854" s="7" t="s">
        <v>44</v>
      </c>
      <c r="P854" s="7" t="str">
        <f t="shared" si="39"/>
        <v>Jun</v>
      </c>
      <c r="Q854" s="7">
        <f t="shared" si="40"/>
        <v>2025</v>
      </c>
      <c r="R854" s="23">
        <f t="shared" si="41"/>
        <v>0.34434319124446366</v>
      </c>
    </row>
    <row r="855" spans="1:18">
      <c r="A855" s="7" t="s">
        <v>1323</v>
      </c>
      <c r="B855" s="8">
        <v>46252</v>
      </c>
      <c r="C855" s="7" t="s">
        <v>387</v>
      </c>
      <c r="D855" s="7" t="s">
        <v>74</v>
      </c>
      <c r="E855" s="7" t="s">
        <v>48</v>
      </c>
      <c r="F855" s="7" t="s">
        <v>99</v>
      </c>
      <c r="G855" s="7">
        <v>4</v>
      </c>
      <c r="H855" s="18">
        <v>4001.38</v>
      </c>
      <c r="I855" s="22">
        <v>0.15</v>
      </c>
      <c r="J855" s="18">
        <v>13604.69</v>
      </c>
      <c r="K855" s="18">
        <v>9187.19</v>
      </c>
      <c r="L855" s="18">
        <v>4417.5</v>
      </c>
      <c r="M855" s="7" t="s">
        <v>57</v>
      </c>
      <c r="N855" s="7" t="s">
        <v>43</v>
      </c>
      <c r="O855" s="7" t="s">
        <v>44</v>
      </c>
      <c r="P855" s="7" t="str">
        <f t="shared" si="39"/>
        <v>Aug</v>
      </c>
      <c r="Q855" s="7">
        <f t="shared" si="40"/>
        <v>2026</v>
      </c>
      <c r="R855" s="23">
        <f t="shared" si="41"/>
        <v>0.3247042012717673</v>
      </c>
    </row>
    <row r="856" spans="1:18">
      <c r="A856" s="7" t="s">
        <v>1465</v>
      </c>
      <c r="B856" s="8">
        <v>46250</v>
      </c>
      <c r="C856" s="7" t="s">
        <v>1058</v>
      </c>
      <c r="D856" s="7" t="s">
        <v>95</v>
      </c>
      <c r="E856" s="7" t="s">
        <v>33</v>
      </c>
      <c r="F856" s="7" t="s">
        <v>96</v>
      </c>
      <c r="G856" s="7">
        <v>2</v>
      </c>
      <c r="H856" s="18">
        <v>4003.23</v>
      </c>
      <c r="I856" s="22">
        <v>0</v>
      </c>
      <c r="J856" s="18">
        <v>8006.46</v>
      </c>
      <c r="K856" s="18">
        <v>5932.91</v>
      </c>
      <c r="L856" s="18">
        <v>2073.5500000000002</v>
      </c>
      <c r="M856" s="7" t="s">
        <v>57</v>
      </c>
      <c r="N856" s="7" t="s">
        <v>63</v>
      </c>
      <c r="O856" s="7" t="s">
        <v>44</v>
      </c>
      <c r="P856" s="7" t="str">
        <f t="shared" si="39"/>
        <v>Aug</v>
      </c>
      <c r="Q856" s="7">
        <f t="shared" si="40"/>
        <v>2026</v>
      </c>
      <c r="R856" s="23">
        <f t="shared" si="41"/>
        <v>0.25898461991941507</v>
      </c>
    </row>
    <row r="857" spans="1:18">
      <c r="A857" s="7" t="s">
        <v>770</v>
      </c>
      <c r="B857" s="8">
        <v>46002</v>
      </c>
      <c r="C857" s="7" t="s">
        <v>771</v>
      </c>
      <c r="D857" s="7" t="s">
        <v>47</v>
      </c>
      <c r="E857" s="7" t="s">
        <v>48</v>
      </c>
      <c r="F857" s="7" t="s">
        <v>113</v>
      </c>
      <c r="G857" s="7">
        <v>1</v>
      </c>
      <c r="H857" s="18">
        <v>4005.4</v>
      </c>
      <c r="I857" s="22">
        <v>0.2</v>
      </c>
      <c r="J857" s="18">
        <v>3204.32</v>
      </c>
      <c r="K857" s="18">
        <v>1905.07</v>
      </c>
      <c r="L857" s="18">
        <v>1299.25</v>
      </c>
      <c r="M857" s="7" t="s">
        <v>57</v>
      </c>
      <c r="N857" s="7" t="s">
        <v>63</v>
      </c>
      <c r="O857" s="7" t="s">
        <v>44</v>
      </c>
      <c r="P857" s="7" t="str">
        <f t="shared" si="39"/>
        <v>Dec</v>
      </c>
      <c r="Q857" s="7">
        <f t="shared" si="40"/>
        <v>2025</v>
      </c>
      <c r="R857" s="23">
        <f t="shared" si="41"/>
        <v>0.40546824287212263</v>
      </c>
    </row>
    <row r="858" spans="1:18">
      <c r="A858" s="7" t="s">
        <v>1027</v>
      </c>
      <c r="B858" s="8">
        <v>45723</v>
      </c>
      <c r="C858" s="7" t="s">
        <v>292</v>
      </c>
      <c r="D858" s="7" t="s">
        <v>32</v>
      </c>
      <c r="E858" s="7" t="s">
        <v>33</v>
      </c>
      <c r="F858" s="7" t="s">
        <v>92</v>
      </c>
      <c r="G858" s="7">
        <v>3</v>
      </c>
      <c r="H858" s="18">
        <v>4011.42</v>
      </c>
      <c r="I858" s="22">
        <v>0.2</v>
      </c>
      <c r="J858" s="18">
        <v>9627.41</v>
      </c>
      <c r="K858" s="18">
        <v>6907.92</v>
      </c>
      <c r="L858" s="18">
        <v>2719.49</v>
      </c>
      <c r="M858" s="7" t="s">
        <v>35</v>
      </c>
      <c r="N858" s="7" t="s">
        <v>36</v>
      </c>
      <c r="O858" s="7" t="s">
        <v>44</v>
      </c>
      <c r="P858" s="7" t="str">
        <f t="shared" si="39"/>
        <v>Mar</v>
      </c>
      <c r="Q858" s="7">
        <f t="shared" si="40"/>
        <v>2025</v>
      </c>
      <c r="R858" s="23">
        <f t="shared" si="41"/>
        <v>0.28247368710795528</v>
      </c>
    </row>
    <row r="859" spans="1:18">
      <c r="A859" s="7" t="s">
        <v>999</v>
      </c>
      <c r="B859" s="8">
        <v>45748</v>
      </c>
      <c r="C859" s="7" t="s">
        <v>1000</v>
      </c>
      <c r="D859" s="7" t="s">
        <v>60</v>
      </c>
      <c r="E859" s="7" t="s">
        <v>48</v>
      </c>
      <c r="F859" s="7" t="s">
        <v>99</v>
      </c>
      <c r="G859" s="7">
        <v>3</v>
      </c>
      <c r="H859" s="18">
        <v>4012.59</v>
      </c>
      <c r="I859" s="22">
        <v>0.05</v>
      </c>
      <c r="J859" s="18">
        <v>11435.88</v>
      </c>
      <c r="K859" s="18">
        <v>6934.33</v>
      </c>
      <c r="L859" s="18">
        <v>4501.55</v>
      </c>
      <c r="M859" s="7" t="s">
        <v>35</v>
      </c>
      <c r="N859" s="7" t="s">
        <v>36</v>
      </c>
      <c r="O859" s="7" t="s">
        <v>37</v>
      </c>
      <c r="P859" s="7" t="str">
        <f t="shared" si="39"/>
        <v>Apr</v>
      </c>
      <c r="Q859" s="7">
        <f t="shared" si="40"/>
        <v>2025</v>
      </c>
      <c r="R859" s="23">
        <f t="shared" si="41"/>
        <v>0.39363389612342908</v>
      </c>
    </row>
    <row r="860" spans="1:18">
      <c r="A860" s="7" t="s">
        <v>664</v>
      </c>
      <c r="B860" s="8">
        <v>46067</v>
      </c>
      <c r="C860" s="7" t="s">
        <v>665</v>
      </c>
      <c r="D860" s="7" t="s">
        <v>56</v>
      </c>
      <c r="E860" s="7" t="s">
        <v>48</v>
      </c>
      <c r="F860" s="7" t="s">
        <v>70</v>
      </c>
      <c r="G860" s="7">
        <v>4</v>
      </c>
      <c r="H860" s="18">
        <v>4021.22</v>
      </c>
      <c r="I860" s="22">
        <v>0.1</v>
      </c>
      <c r="J860" s="18">
        <v>14476.39</v>
      </c>
      <c r="K860" s="18">
        <v>8572.4</v>
      </c>
      <c r="L860" s="18">
        <v>5903.99</v>
      </c>
      <c r="M860" s="7" t="s">
        <v>35</v>
      </c>
      <c r="N860" s="7" t="s">
        <v>43</v>
      </c>
      <c r="O860" s="7" t="s">
        <v>37</v>
      </c>
      <c r="P860" s="7" t="str">
        <f t="shared" si="39"/>
        <v>Feb</v>
      </c>
      <c r="Q860" s="7">
        <f t="shared" si="40"/>
        <v>2026</v>
      </c>
      <c r="R860" s="23">
        <f t="shared" si="41"/>
        <v>0.40783579331587505</v>
      </c>
    </row>
    <row r="861" spans="1:18">
      <c r="A861" s="7" t="s">
        <v>458</v>
      </c>
      <c r="B861" s="8">
        <v>46052</v>
      </c>
      <c r="C861" s="7" t="s">
        <v>459</v>
      </c>
      <c r="D861" s="7" t="s">
        <v>66</v>
      </c>
      <c r="E861" s="7" t="s">
        <v>61</v>
      </c>
      <c r="F861" s="7" t="s">
        <v>81</v>
      </c>
      <c r="G861" s="7">
        <v>6</v>
      </c>
      <c r="H861" s="18">
        <v>4021.76</v>
      </c>
      <c r="I861" s="22">
        <v>0.05</v>
      </c>
      <c r="J861" s="18">
        <v>22924.03</v>
      </c>
      <c r="K861" s="18">
        <v>16562.04</v>
      </c>
      <c r="L861" s="18">
        <v>6361.99</v>
      </c>
      <c r="M861" s="7" t="s">
        <v>35</v>
      </c>
      <c r="N861" s="7" t="s">
        <v>43</v>
      </c>
      <c r="O861" s="7" t="s">
        <v>44</v>
      </c>
      <c r="P861" s="7" t="str">
        <f t="shared" si="39"/>
        <v>Jan</v>
      </c>
      <c r="Q861" s="7">
        <f t="shared" si="40"/>
        <v>2026</v>
      </c>
      <c r="R861" s="23">
        <f t="shared" si="41"/>
        <v>0.27752493780543824</v>
      </c>
    </row>
    <row r="862" spans="1:18">
      <c r="A862" s="7" t="s">
        <v>1574</v>
      </c>
      <c r="B862" s="8">
        <v>45967</v>
      </c>
      <c r="C862" s="7" t="s">
        <v>76</v>
      </c>
      <c r="D862" s="7" t="s">
        <v>52</v>
      </c>
      <c r="E862" s="7" t="s">
        <v>33</v>
      </c>
      <c r="F862" s="7" t="s">
        <v>34</v>
      </c>
      <c r="G862" s="7">
        <v>1</v>
      </c>
      <c r="H862" s="18">
        <v>4026.99</v>
      </c>
      <c r="I862" s="22">
        <v>0.2</v>
      </c>
      <c r="J862" s="18">
        <v>3221.59</v>
      </c>
      <c r="K862" s="18">
        <v>1880.6</v>
      </c>
      <c r="L862" s="18">
        <v>1340.99</v>
      </c>
      <c r="M862" s="7" t="s">
        <v>35</v>
      </c>
      <c r="N862" s="7" t="s">
        <v>36</v>
      </c>
      <c r="O862" s="7" t="s">
        <v>44</v>
      </c>
      <c r="P862" s="7" t="str">
        <f t="shared" si="39"/>
        <v>Nov</v>
      </c>
      <c r="Q862" s="7">
        <f t="shared" si="40"/>
        <v>2025</v>
      </c>
      <c r="R862" s="23">
        <f t="shared" si="41"/>
        <v>0.4162509816581253</v>
      </c>
    </row>
    <row r="863" spans="1:18">
      <c r="A863" s="7" t="s">
        <v>1491</v>
      </c>
      <c r="B863" s="8">
        <v>45958</v>
      </c>
      <c r="C863" s="7" t="s">
        <v>213</v>
      </c>
      <c r="D863" s="7" t="s">
        <v>56</v>
      </c>
      <c r="E863" s="7" t="s">
        <v>33</v>
      </c>
      <c r="F863" s="7" t="s">
        <v>34</v>
      </c>
      <c r="G863" s="7">
        <v>3</v>
      </c>
      <c r="H863" s="18">
        <v>4029.9</v>
      </c>
      <c r="I863" s="22">
        <v>0.1</v>
      </c>
      <c r="J863" s="18">
        <v>10880.73</v>
      </c>
      <c r="K863" s="18">
        <v>7833.91</v>
      </c>
      <c r="L863" s="18">
        <v>3046.82</v>
      </c>
      <c r="M863" s="7" t="s">
        <v>35</v>
      </c>
      <c r="N863" s="7" t="s">
        <v>43</v>
      </c>
      <c r="O863" s="7" t="s">
        <v>37</v>
      </c>
      <c r="P863" s="7" t="str">
        <f t="shared" si="39"/>
        <v>Oct</v>
      </c>
      <c r="Q863" s="7">
        <f t="shared" si="40"/>
        <v>2025</v>
      </c>
      <c r="R863" s="23">
        <f t="shared" si="41"/>
        <v>0.2800198148469818</v>
      </c>
    </row>
    <row r="864" spans="1:18">
      <c r="A864" s="7" t="s">
        <v>869</v>
      </c>
      <c r="B864" s="8">
        <v>46168</v>
      </c>
      <c r="C864" s="7" t="s">
        <v>259</v>
      </c>
      <c r="D864" s="7" t="s">
        <v>47</v>
      </c>
      <c r="E864" s="7" t="s">
        <v>48</v>
      </c>
      <c r="F864" s="7" t="s">
        <v>99</v>
      </c>
      <c r="G864" s="7">
        <v>2</v>
      </c>
      <c r="H864" s="18">
        <v>4030.57</v>
      </c>
      <c r="I864" s="22">
        <v>0.1</v>
      </c>
      <c r="J864" s="18">
        <v>7255.03</v>
      </c>
      <c r="K864" s="18">
        <v>5574.34</v>
      </c>
      <c r="L864" s="18">
        <v>1680.69</v>
      </c>
      <c r="M864" s="7" t="s">
        <v>57</v>
      </c>
      <c r="N864" s="7" t="s">
        <v>71</v>
      </c>
      <c r="O864" s="7" t="s">
        <v>44</v>
      </c>
      <c r="P864" s="7" t="str">
        <f t="shared" si="39"/>
        <v>May</v>
      </c>
      <c r="Q864" s="7">
        <f t="shared" si="40"/>
        <v>2026</v>
      </c>
      <c r="R864" s="23">
        <f t="shared" si="41"/>
        <v>0.23165858721466351</v>
      </c>
    </row>
    <row r="865" spans="1:18">
      <c r="A865" s="7" t="s">
        <v>1001</v>
      </c>
      <c r="B865" s="8">
        <v>45973</v>
      </c>
      <c r="C865" s="7" t="s">
        <v>1002</v>
      </c>
      <c r="D865" s="7" t="s">
        <v>47</v>
      </c>
      <c r="E865" s="7" t="s">
        <v>41</v>
      </c>
      <c r="F865" s="7" t="s">
        <v>42</v>
      </c>
      <c r="G865" s="7">
        <v>1</v>
      </c>
      <c r="H865" s="18">
        <v>4031.06</v>
      </c>
      <c r="I865" s="22">
        <v>0.2</v>
      </c>
      <c r="J865" s="18">
        <v>3224.85</v>
      </c>
      <c r="K865" s="18">
        <v>2692.61</v>
      </c>
      <c r="L865" s="18">
        <v>532.24</v>
      </c>
      <c r="M865" s="7" t="s">
        <v>35</v>
      </c>
      <c r="N865" s="7" t="s">
        <v>43</v>
      </c>
      <c r="O865" s="7" t="s">
        <v>44</v>
      </c>
      <c r="P865" s="7" t="str">
        <f t="shared" si="39"/>
        <v>Nov</v>
      </c>
      <c r="Q865" s="7">
        <f t="shared" si="40"/>
        <v>2025</v>
      </c>
      <c r="R865" s="23">
        <f t="shared" si="41"/>
        <v>0.16504333534893095</v>
      </c>
    </row>
    <row r="866" spans="1:18">
      <c r="A866" s="7" t="s">
        <v>1487</v>
      </c>
      <c r="B866" s="8">
        <v>45842</v>
      </c>
      <c r="C866" s="7" t="s">
        <v>248</v>
      </c>
      <c r="D866" s="7" t="s">
        <v>52</v>
      </c>
      <c r="E866" s="7" t="s">
        <v>41</v>
      </c>
      <c r="F866" s="7" t="s">
        <v>119</v>
      </c>
      <c r="G866" s="7">
        <v>6</v>
      </c>
      <c r="H866" s="18">
        <v>4031.42</v>
      </c>
      <c r="I866" s="22">
        <v>0.15</v>
      </c>
      <c r="J866" s="18">
        <v>20560.240000000002</v>
      </c>
      <c r="K866" s="18">
        <v>13574.77</v>
      </c>
      <c r="L866" s="18">
        <v>6985.47</v>
      </c>
      <c r="M866" s="7" t="s">
        <v>57</v>
      </c>
      <c r="N866" s="7" t="s">
        <v>43</v>
      </c>
      <c r="O866" s="7" t="s">
        <v>44</v>
      </c>
      <c r="P866" s="7" t="str">
        <f t="shared" si="39"/>
        <v>Jul</v>
      </c>
      <c r="Q866" s="7">
        <f t="shared" si="40"/>
        <v>2025</v>
      </c>
      <c r="R866" s="23">
        <f t="shared" si="41"/>
        <v>0.33975624798154108</v>
      </c>
    </row>
    <row r="867" spans="1:18">
      <c r="A867" s="7" t="s">
        <v>559</v>
      </c>
      <c r="B867" s="8">
        <v>46249</v>
      </c>
      <c r="C867" s="7" t="s">
        <v>553</v>
      </c>
      <c r="D867" s="7" t="s">
        <v>56</v>
      </c>
      <c r="E867" s="7" t="s">
        <v>41</v>
      </c>
      <c r="F867" s="7" t="s">
        <v>53</v>
      </c>
      <c r="G867" s="7">
        <v>2</v>
      </c>
      <c r="H867" s="18">
        <v>4047.83</v>
      </c>
      <c r="I867" s="22">
        <v>0.15</v>
      </c>
      <c r="J867" s="18">
        <v>6881.31</v>
      </c>
      <c r="K867" s="18">
        <v>4293.8599999999997</v>
      </c>
      <c r="L867" s="18">
        <v>2587.4499999999998</v>
      </c>
      <c r="M867" s="7" t="s">
        <v>35</v>
      </c>
      <c r="N867" s="7" t="s">
        <v>63</v>
      </c>
      <c r="O867" s="7" t="s">
        <v>44</v>
      </c>
      <c r="P867" s="7" t="str">
        <f t="shared" si="39"/>
        <v>Aug</v>
      </c>
      <c r="Q867" s="7">
        <f t="shared" si="40"/>
        <v>2026</v>
      </c>
      <c r="R867" s="23">
        <f t="shared" si="41"/>
        <v>0.37601125367117594</v>
      </c>
    </row>
    <row r="868" spans="1:18">
      <c r="A868" s="7" t="s">
        <v>1509</v>
      </c>
      <c r="B868" s="8">
        <v>45767</v>
      </c>
      <c r="C868" s="7" t="s">
        <v>555</v>
      </c>
      <c r="D868" s="7" t="s">
        <v>47</v>
      </c>
      <c r="E868" s="7" t="s">
        <v>33</v>
      </c>
      <c r="F868" s="7" t="s">
        <v>34</v>
      </c>
      <c r="G868" s="7">
        <v>1</v>
      </c>
      <c r="H868" s="18">
        <v>4049.26</v>
      </c>
      <c r="I868" s="22">
        <v>0.2</v>
      </c>
      <c r="J868" s="18">
        <v>3239.41</v>
      </c>
      <c r="K868" s="18">
        <v>2100.5500000000002</v>
      </c>
      <c r="L868" s="18">
        <v>1138.8599999999999</v>
      </c>
      <c r="M868" s="7" t="s">
        <v>57</v>
      </c>
      <c r="N868" s="7" t="s">
        <v>36</v>
      </c>
      <c r="O868" s="7" t="s">
        <v>44</v>
      </c>
      <c r="P868" s="7" t="str">
        <f t="shared" si="39"/>
        <v>Apr</v>
      </c>
      <c r="Q868" s="7">
        <f t="shared" si="40"/>
        <v>2025</v>
      </c>
      <c r="R868" s="23">
        <f t="shared" si="41"/>
        <v>0.35156401937389831</v>
      </c>
    </row>
    <row r="869" spans="1:18">
      <c r="A869" s="7" t="s">
        <v>1500</v>
      </c>
      <c r="B869" s="8">
        <v>45927</v>
      </c>
      <c r="C869" s="7" t="s">
        <v>1501</v>
      </c>
      <c r="D869" s="7" t="s">
        <v>74</v>
      </c>
      <c r="E869" s="7" t="s">
        <v>41</v>
      </c>
      <c r="F869" s="7" t="s">
        <v>53</v>
      </c>
      <c r="G869" s="7">
        <v>1</v>
      </c>
      <c r="H869" s="18">
        <v>4054.56</v>
      </c>
      <c r="I869" s="22">
        <v>0.05</v>
      </c>
      <c r="J869" s="18">
        <v>3851.83</v>
      </c>
      <c r="K869" s="18">
        <v>2849.06</v>
      </c>
      <c r="L869" s="18">
        <v>1002.77</v>
      </c>
      <c r="M869" s="7" t="s">
        <v>57</v>
      </c>
      <c r="N869" s="7" t="s">
        <v>63</v>
      </c>
      <c r="O869" s="7" t="s">
        <v>44</v>
      </c>
      <c r="P869" s="7" t="str">
        <f t="shared" si="39"/>
        <v>Sep</v>
      </c>
      <c r="Q869" s="7">
        <f t="shared" si="40"/>
        <v>2025</v>
      </c>
      <c r="R869" s="23">
        <f t="shared" si="41"/>
        <v>0.26033599613690117</v>
      </c>
    </row>
    <row r="870" spans="1:18">
      <c r="A870" s="7" t="s">
        <v>233</v>
      </c>
      <c r="B870" s="8">
        <v>46175</v>
      </c>
      <c r="C870" s="7" t="s">
        <v>234</v>
      </c>
      <c r="D870" s="7" t="s">
        <v>32</v>
      </c>
      <c r="E870" s="7" t="s">
        <v>61</v>
      </c>
      <c r="F870" s="7" t="s">
        <v>62</v>
      </c>
      <c r="G870" s="7">
        <v>1</v>
      </c>
      <c r="H870" s="18">
        <v>4059.47</v>
      </c>
      <c r="I870" s="22">
        <v>0</v>
      </c>
      <c r="J870" s="18">
        <v>4059.47</v>
      </c>
      <c r="K870" s="18">
        <v>2977.32</v>
      </c>
      <c r="L870" s="18">
        <v>1082.1500000000001</v>
      </c>
      <c r="M870" s="7" t="s">
        <v>57</v>
      </c>
      <c r="N870" s="7" t="s">
        <v>43</v>
      </c>
      <c r="O870" s="7" t="s">
        <v>44</v>
      </c>
      <c r="P870" s="7" t="str">
        <f t="shared" si="39"/>
        <v>Jun</v>
      </c>
      <c r="Q870" s="7">
        <f t="shared" si="40"/>
        <v>2026</v>
      </c>
      <c r="R870" s="23">
        <f t="shared" si="41"/>
        <v>0.26657420796310854</v>
      </c>
    </row>
    <row r="871" spans="1:18">
      <c r="A871" s="7" t="s">
        <v>1068</v>
      </c>
      <c r="B871" s="8">
        <v>45752</v>
      </c>
      <c r="C871" s="7" t="s">
        <v>1069</v>
      </c>
      <c r="D871" s="7" t="s">
        <v>40</v>
      </c>
      <c r="E871" s="7" t="s">
        <v>61</v>
      </c>
      <c r="F871" s="7" t="s">
        <v>84</v>
      </c>
      <c r="G871" s="7">
        <v>1</v>
      </c>
      <c r="H871" s="18">
        <v>4064.76</v>
      </c>
      <c r="I871" s="22">
        <v>0.15</v>
      </c>
      <c r="J871" s="18">
        <v>3455.05</v>
      </c>
      <c r="K871" s="18">
        <v>2101.85</v>
      </c>
      <c r="L871" s="18">
        <v>1353.2</v>
      </c>
      <c r="M871" s="7" t="s">
        <v>35</v>
      </c>
      <c r="N871" s="7" t="s">
        <v>43</v>
      </c>
      <c r="O871" s="7" t="s">
        <v>44</v>
      </c>
      <c r="P871" s="7" t="str">
        <f t="shared" si="39"/>
        <v>Apr</v>
      </c>
      <c r="Q871" s="7">
        <f t="shared" si="40"/>
        <v>2025</v>
      </c>
      <c r="R871" s="23">
        <f t="shared" si="41"/>
        <v>0.39165858670641523</v>
      </c>
    </row>
    <row r="872" spans="1:18">
      <c r="A872" s="7" t="s">
        <v>592</v>
      </c>
      <c r="B872" s="8">
        <v>45826</v>
      </c>
      <c r="C872" s="7" t="s">
        <v>429</v>
      </c>
      <c r="D872" s="7" t="s">
        <v>95</v>
      </c>
      <c r="E872" s="7" t="s">
        <v>33</v>
      </c>
      <c r="F872" s="7" t="s">
        <v>67</v>
      </c>
      <c r="G872" s="7">
        <v>5</v>
      </c>
      <c r="H872" s="18">
        <v>4071.82</v>
      </c>
      <c r="I872" s="22">
        <v>0.1</v>
      </c>
      <c r="J872" s="18">
        <v>18323.189999999999</v>
      </c>
      <c r="K872" s="18">
        <v>13022.54</v>
      </c>
      <c r="L872" s="18">
        <v>5300.65</v>
      </c>
      <c r="M872" s="7" t="s">
        <v>57</v>
      </c>
      <c r="N872" s="7" t="s">
        <v>43</v>
      </c>
      <c r="O872" s="7" t="s">
        <v>44</v>
      </c>
      <c r="P872" s="7" t="str">
        <f t="shared" si="39"/>
        <v>Jun</v>
      </c>
      <c r="Q872" s="7">
        <f t="shared" si="40"/>
        <v>2025</v>
      </c>
      <c r="R872" s="23">
        <f t="shared" si="41"/>
        <v>0.28928641792177018</v>
      </c>
    </row>
    <row r="873" spans="1:18">
      <c r="A873" s="7" t="s">
        <v>1142</v>
      </c>
      <c r="B873" s="8">
        <v>45980</v>
      </c>
      <c r="C873" s="7" t="s">
        <v>401</v>
      </c>
      <c r="D873" s="7" t="s">
        <v>32</v>
      </c>
      <c r="E873" s="7" t="s">
        <v>41</v>
      </c>
      <c r="F873" s="7" t="s">
        <v>42</v>
      </c>
      <c r="G873" s="7">
        <v>6</v>
      </c>
      <c r="H873" s="18">
        <v>4072.29</v>
      </c>
      <c r="I873" s="22">
        <v>0</v>
      </c>
      <c r="J873" s="18">
        <v>24433.74</v>
      </c>
      <c r="K873" s="18">
        <v>19747.189999999999</v>
      </c>
      <c r="L873" s="18">
        <v>4686.55</v>
      </c>
      <c r="M873" s="7" t="s">
        <v>57</v>
      </c>
      <c r="N873" s="7" t="s">
        <v>36</v>
      </c>
      <c r="O873" s="7" t="s">
        <v>44</v>
      </c>
      <c r="P873" s="7" t="str">
        <f t="shared" si="39"/>
        <v>Nov</v>
      </c>
      <c r="Q873" s="7">
        <f t="shared" si="40"/>
        <v>2025</v>
      </c>
      <c r="R873" s="23">
        <f t="shared" si="41"/>
        <v>0.19180649380733361</v>
      </c>
    </row>
    <row r="874" spans="1:18">
      <c r="A874" s="7" t="s">
        <v>434</v>
      </c>
      <c r="B874" s="8">
        <v>46213</v>
      </c>
      <c r="C874" s="7" t="s">
        <v>435</v>
      </c>
      <c r="D874" s="7" t="s">
        <v>60</v>
      </c>
      <c r="E874" s="7" t="s">
        <v>48</v>
      </c>
      <c r="F874" s="7" t="s">
        <v>99</v>
      </c>
      <c r="G874" s="7">
        <v>3</v>
      </c>
      <c r="H874" s="18">
        <v>4084.56</v>
      </c>
      <c r="I874" s="22">
        <v>0.1</v>
      </c>
      <c r="J874" s="18">
        <v>11028.31</v>
      </c>
      <c r="K874" s="18">
        <v>8133.67</v>
      </c>
      <c r="L874" s="18">
        <v>2894.64</v>
      </c>
      <c r="M874" s="7" t="s">
        <v>57</v>
      </c>
      <c r="N874" s="7" t="s">
        <v>63</v>
      </c>
      <c r="O874" s="7" t="s">
        <v>44</v>
      </c>
      <c r="P874" s="7" t="str">
        <f t="shared" si="39"/>
        <v>Jul</v>
      </c>
      <c r="Q874" s="7">
        <f t="shared" si="40"/>
        <v>2026</v>
      </c>
      <c r="R874" s="23">
        <f t="shared" si="41"/>
        <v>0.26247357936075427</v>
      </c>
    </row>
    <row r="875" spans="1:18">
      <c r="A875" s="7" t="s">
        <v>446</v>
      </c>
      <c r="B875" s="8">
        <v>45846</v>
      </c>
      <c r="C875" s="7" t="s">
        <v>447</v>
      </c>
      <c r="D875" s="7" t="s">
        <v>74</v>
      </c>
      <c r="E875" s="7" t="s">
        <v>33</v>
      </c>
      <c r="F875" s="7" t="s">
        <v>96</v>
      </c>
      <c r="G875" s="7">
        <v>3</v>
      </c>
      <c r="H875" s="18">
        <v>4087.33</v>
      </c>
      <c r="I875" s="22">
        <v>0.2</v>
      </c>
      <c r="J875" s="18">
        <v>9809.59</v>
      </c>
      <c r="K875" s="18">
        <v>6865.69</v>
      </c>
      <c r="L875" s="18">
        <v>2943.9</v>
      </c>
      <c r="M875" s="7" t="s">
        <v>35</v>
      </c>
      <c r="N875" s="7" t="s">
        <v>36</v>
      </c>
      <c r="O875" s="7" t="s">
        <v>44</v>
      </c>
      <c r="P875" s="7" t="str">
        <f t="shared" si="39"/>
        <v>Jul</v>
      </c>
      <c r="Q875" s="7">
        <f t="shared" si="40"/>
        <v>2025</v>
      </c>
      <c r="R875" s="23">
        <f t="shared" si="41"/>
        <v>0.30010428570409159</v>
      </c>
    </row>
    <row r="876" spans="1:18">
      <c r="A876" s="7" t="s">
        <v>100</v>
      </c>
      <c r="B876" s="8">
        <v>46046</v>
      </c>
      <c r="C876" s="7" t="s">
        <v>101</v>
      </c>
      <c r="D876" s="7" t="s">
        <v>66</v>
      </c>
      <c r="E876" s="7" t="s">
        <v>48</v>
      </c>
      <c r="F876" s="7" t="s">
        <v>102</v>
      </c>
      <c r="G876" s="7">
        <v>6</v>
      </c>
      <c r="H876" s="18">
        <v>4087.56</v>
      </c>
      <c r="I876" s="22">
        <v>0.1</v>
      </c>
      <c r="J876" s="18">
        <v>22072.82</v>
      </c>
      <c r="K876" s="18">
        <v>18301.07</v>
      </c>
      <c r="L876" s="18">
        <v>3771.75</v>
      </c>
      <c r="M876" s="7" t="s">
        <v>57</v>
      </c>
      <c r="N876" s="7" t="s">
        <v>63</v>
      </c>
      <c r="O876" s="7" t="s">
        <v>37</v>
      </c>
      <c r="P876" s="7" t="str">
        <f t="shared" si="39"/>
        <v>Jan</v>
      </c>
      <c r="Q876" s="7">
        <f t="shared" si="40"/>
        <v>2026</v>
      </c>
      <c r="R876" s="23">
        <f t="shared" si="41"/>
        <v>0.17087757703818543</v>
      </c>
    </row>
    <row r="877" spans="1:18">
      <c r="A877" s="7" t="s">
        <v>1086</v>
      </c>
      <c r="B877" s="8">
        <v>45980</v>
      </c>
      <c r="C877" s="7" t="s">
        <v>46</v>
      </c>
      <c r="D877" s="7" t="s">
        <v>52</v>
      </c>
      <c r="E877" s="7" t="s">
        <v>33</v>
      </c>
      <c r="F877" s="7" t="s">
        <v>34</v>
      </c>
      <c r="G877" s="7">
        <v>5</v>
      </c>
      <c r="H877" s="18">
        <v>4087.71</v>
      </c>
      <c r="I877" s="22">
        <v>0.2</v>
      </c>
      <c r="J877" s="18">
        <v>16350.84</v>
      </c>
      <c r="K877" s="18">
        <v>10716.4</v>
      </c>
      <c r="L877" s="18">
        <v>5634.44</v>
      </c>
      <c r="M877" s="7" t="s">
        <v>35</v>
      </c>
      <c r="N877" s="7" t="s">
        <v>71</v>
      </c>
      <c r="O877" s="7" t="s">
        <v>44</v>
      </c>
      <c r="P877" s="7" t="str">
        <f t="shared" si="39"/>
        <v>Nov</v>
      </c>
      <c r="Q877" s="7">
        <f t="shared" si="40"/>
        <v>2025</v>
      </c>
      <c r="R877" s="23">
        <f t="shared" si="41"/>
        <v>0.34459636324494641</v>
      </c>
    </row>
    <row r="878" spans="1:18">
      <c r="A878" s="7" t="s">
        <v>1019</v>
      </c>
      <c r="B878" s="8">
        <v>45943</v>
      </c>
      <c r="C878" s="7" t="s">
        <v>393</v>
      </c>
      <c r="D878" s="7" t="s">
        <v>32</v>
      </c>
      <c r="E878" s="7" t="s">
        <v>41</v>
      </c>
      <c r="F878" s="7" t="s">
        <v>124</v>
      </c>
      <c r="G878" s="7">
        <v>5</v>
      </c>
      <c r="H878" s="18">
        <v>4088.02</v>
      </c>
      <c r="I878" s="22">
        <v>0.15</v>
      </c>
      <c r="J878" s="18">
        <v>17374.080000000002</v>
      </c>
      <c r="K878" s="18">
        <v>12991.69</v>
      </c>
      <c r="L878" s="18">
        <v>4382.3900000000003</v>
      </c>
      <c r="M878" s="7" t="s">
        <v>57</v>
      </c>
      <c r="N878" s="7" t="s">
        <v>71</v>
      </c>
      <c r="O878" s="7" t="s">
        <v>44</v>
      </c>
      <c r="P878" s="7" t="str">
        <f t="shared" si="39"/>
        <v>Oct</v>
      </c>
      <c r="Q878" s="7">
        <f t="shared" si="40"/>
        <v>2025</v>
      </c>
      <c r="R878" s="23">
        <f t="shared" si="41"/>
        <v>0.25223724076325194</v>
      </c>
    </row>
    <row r="879" spans="1:18">
      <c r="A879" s="7" t="s">
        <v>323</v>
      </c>
      <c r="B879" s="8">
        <v>46217</v>
      </c>
      <c r="C879" s="7" t="s">
        <v>164</v>
      </c>
      <c r="D879" s="7" t="s">
        <v>56</v>
      </c>
      <c r="E879" s="7" t="s">
        <v>48</v>
      </c>
      <c r="F879" s="7" t="s">
        <v>70</v>
      </c>
      <c r="G879" s="7">
        <v>5</v>
      </c>
      <c r="H879" s="18">
        <v>4089.26</v>
      </c>
      <c r="I879" s="22">
        <v>0</v>
      </c>
      <c r="J879" s="18">
        <v>20446.3</v>
      </c>
      <c r="K879" s="18">
        <v>15177.42</v>
      </c>
      <c r="L879" s="18">
        <v>5268.88</v>
      </c>
      <c r="M879" s="7" t="s">
        <v>57</v>
      </c>
      <c r="N879" s="7" t="s">
        <v>36</v>
      </c>
      <c r="O879" s="7" t="s">
        <v>44</v>
      </c>
      <c r="P879" s="7" t="str">
        <f t="shared" si="39"/>
        <v>Jul</v>
      </c>
      <c r="Q879" s="7">
        <f t="shared" si="40"/>
        <v>2026</v>
      </c>
      <c r="R879" s="23">
        <f t="shared" si="41"/>
        <v>0.25769356802942345</v>
      </c>
    </row>
    <row r="880" spans="1:18">
      <c r="A880" s="7" t="s">
        <v>814</v>
      </c>
      <c r="B880" s="8">
        <v>45914</v>
      </c>
      <c r="C880" s="7" t="s">
        <v>815</v>
      </c>
      <c r="D880" s="7" t="s">
        <v>60</v>
      </c>
      <c r="E880" s="7" t="s">
        <v>33</v>
      </c>
      <c r="F880" s="7" t="s">
        <v>92</v>
      </c>
      <c r="G880" s="7">
        <v>6</v>
      </c>
      <c r="H880" s="18">
        <v>4093.7</v>
      </c>
      <c r="I880" s="22">
        <v>0.05</v>
      </c>
      <c r="J880" s="18">
        <v>23334.09</v>
      </c>
      <c r="K880" s="18">
        <v>16340.31</v>
      </c>
      <c r="L880" s="18">
        <v>6993.78</v>
      </c>
      <c r="M880" s="7" t="s">
        <v>35</v>
      </c>
      <c r="N880" s="7" t="s">
        <v>36</v>
      </c>
      <c r="O880" s="7" t="s">
        <v>37</v>
      </c>
      <c r="P880" s="7" t="str">
        <f t="shared" si="39"/>
        <v>Sep</v>
      </c>
      <c r="Q880" s="7">
        <f t="shared" si="40"/>
        <v>2025</v>
      </c>
      <c r="R880" s="23">
        <f t="shared" si="41"/>
        <v>0.29972370895972372</v>
      </c>
    </row>
    <row r="881" spans="1:18">
      <c r="A881" s="7" t="s">
        <v>1517</v>
      </c>
      <c r="B881" s="8">
        <v>45930</v>
      </c>
      <c r="C881" s="7" t="s">
        <v>642</v>
      </c>
      <c r="D881" s="7" t="s">
        <v>134</v>
      </c>
      <c r="E881" s="7" t="s">
        <v>61</v>
      </c>
      <c r="F881" s="7" t="s">
        <v>81</v>
      </c>
      <c r="G881" s="7">
        <v>4</v>
      </c>
      <c r="H881" s="18">
        <v>4102.8</v>
      </c>
      <c r="I881" s="22">
        <v>0.2</v>
      </c>
      <c r="J881" s="18">
        <v>13128.96</v>
      </c>
      <c r="K881" s="18">
        <v>8710.52</v>
      </c>
      <c r="L881" s="18">
        <v>4418.4399999999996</v>
      </c>
      <c r="M881" s="7" t="s">
        <v>57</v>
      </c>
      <c r="N881" s="7" t="s">
        <v>63</v>
      </c>
      <c r="O881" s="7" t="s">
        <v>44</v>
      </c>
      <c r="P881" s="7" t="str">
        <f t="shared" si="39"/>
        <v>Sep</v>
      </c>
      <c r="Q881" s="7">
        <f t="shared" si="40"/>
        <v>2025</v>
      </c>
      <c r="R881" s="23">
        <f t="shared" si="41"/>
        <v>0.33654150823827628</v>
      </c>
    </row>
    <row r="882" spans="1:18">
      <c r="A882" s="7" t="s">
        <v>411</v>
      </c>
      <c r="B882" s="8">
        <v>46201</v>
      </c>
      <c r="C882" s="7" t="s">
        <v>412</v>
      </c>
      <c r="D882" s="7" t="s">
        <v>52</v>
      </c>
      <c r="E882" s="7" t="s">
        <v>33</v>
      </c>
      <c r="F882" s="7" t="s">
        <v>92</v>
      </c>
      <c r="G882" s="7">
        <v>4</v>
      </c>
      <c r="H882" s="18">
        <v>4103.21</v>
      </c>
      <c r="I882" s="22">
        <v>0.05</v>
      </c>
      <c r="J882" s="18">
        <v>15592.2</v>
      </c>
      <c r="K882" s="18">
        <v>8980.2099999999991</v>
      </c>
      <c r="L882" s="18">
        <v>6611.99</v>
      </c>
      <c r="M882" s="7" t="s">
        <v>57</v>
      </c>
      <c r="N882" s="7" t="s">
        <v>36</v>
      </c>
      <c r="O882" s="7" t="s">
        <v>44</v>
      </c>
      <c r="P882" s="7" t="str">
        <f t="shared" si="39"/>
        <v>Jun</v>
      </c>
      <c r="Q882" s="7">
        <f t="shared" si="40"/>
        <v>2026</v>
      </c>
      <c r="R882" s="23">
        <f t="shared" si="41"/>
        <v>0.42405754159130843</v>
      </c>
    </row>
    <row r="883" spans="1:18">
      <c r="A883" s="7" t="s">
        <v>1072</v>
      </c>
      <c r="B883" s="8">
        <v>46154</v>
      </c>
      <c r="C883" s="7" t="s">
        <v>1073</v>
      </c>
      <c r="D883" s="7" t="s">
        <v>95</v>
      </c>
      <c r="E883" s="7" t="s">
        <v>41</v>
      </c>
      <c r="F883" s="7" t="s">
        <v>119</v>
      </c>
      <c r="G883" s="7">
        <v>4</v>
      </c>
      <c r="H883" s="18">
        <v>4112.3</v>
      </c>
      <c r="I883" s="22">
        <v>0</v>
      </c>
      <c r="J883" s="18">
        <v>16449.2</v>
      </c>
      <c r="K883" s="18">
        <v>9245.69</v>
      </c>
      <c r="L883" s="18">
        <v>7203.51</v>
      </c>
      <c r="M883" s="7" t="s">
        <v>57</v>
      </c>
      <c r="N883" s="7" t="s">
        <v>63</v>
      </c>
      <c r="O883" s="7" t="s">
        <v>44</v>
      </c>
      <c r="P883" s="7" t="str">
        <f t="shared" si="39"/>
        <v>May</v>
      </c>
      <c r="Q883" s="7">
        <f t="shared" si="40"/>
        <v>2026</v>
      </c>
      <c r="R883" s="23">
        <f t="shared" si="41"/>
        <v>0.43792464071201032</v>
      </c>
    </row>
    <row r="884" spans="1:18">
      <c r="A884" s="7" t="s">
        <v>1325</v>
      </c>
      <c r="B884" s="8">
        <v>46076</v>
      </c>
      <c r="C884" s="7" t="s">
        <v>927</v>
      </c>
      <c r="D884" s="7" t="s">
        <v>32</v>
      </c>
      <c r="E884" s="7" t="s">
        <v>61</v>
      </c>
      <c r="F884" s="7" t="s">
        <v>84</v>
      </c>
      <c r="G884" s="7">
        <v>5</v>
      </c>
      <c r="H884" s="18">
        <v>4121.91</v>
      </c>
      <c r="I884" s="22">
        <v>0.2</v>
      </c>
      <c r="J884" s="18">
        <v>16487.64</v>
      </c>
      <c r="K884" s="18">
        <v>12069.37</v>
      </c>
      <c r="L884" s="18">
        <v>4418.2700000000004</v>
      </c>
      <c r="M884" s="7" t="s">
        <v>35</v>
      </c>
      <c r="N884" s="7" t="s">
        <v>36</v>
      </c>
      <c r="O884" s="7" t="s">
        <v>37</v>
      </c>
      <c r="P884" s="7" t="str">
        <f t="shared" si="39"/>
        <v>Feb</v>
      </c>
      <c r="Q884" s="7">
        <f t="shared" si="40"/>
        <v>2026</v>
      </c>
      <c r="R884" s="23">
        <f t="shared" si="41"/>
        <v>0.26797467678818804</v>
      </c>
    </row>
    <row r="885" spans="1:18">
      <c r="A885" s="7" t="s">
        <v>1375</v>
      </c>
      <c r="B885" s="8">
        <v>45929</v>
      </c>
      <c r="C885" s="7" t="s">
        <v>1376</v>
      </c>
      <c r="D885" s="7" t="s">
        <v>74</v>
      </c>
      <c r="E885" s="7" t="s">
        <v>48</v>
      </c>
      <c r="F885" s="7" t="s">
        <v>99</v>
      </c>
      <c r="G885" s="7">
        <v>1</v>
      </c>
      <c r="H885" s="18">
        <v>4123.9399999999996</v>
      </c>
      <c r="I885" s="22">
        <v>0</v>
      </c>
      <c r="J885" s="18">
        <v>4123.9399999999996</v>
      </c>
      <c r="K885" s="18">
        <v>3207.3</v>
      </c>
      <c r="L885" s="18">
        <v>916.64</v>
      </c>
      <c r="M885" s="7" t="s">
        <v>35</v>
      </c>
      <c r="N885" s="7" t="s">
        <v>71</v>
      </c>
      <c r="O885" s="7" t="s">
        <v>44</v>
      </c>
      <c r="P885" s="7" t="str">
        <f t="shared" si="39"/>
        <v>Sep</v>
      </c>
      <c r="Q885" s="7">
        <f t="shared" si="40"/>
        <v>2025</v>
      </c>
      <c r="R885" s="23">
        <f t="shared" si="41"/>
        <v>0.22227287496908299</v>
      </c>
    </row>
    <row r="886" spans="1:18">
      <c r="A886" s="7" t="s">
        <v>299</v>
      </c>
      <c r="B886" s="8">
        <v>46046</v>
      </c>
      <c r="C886" s="7" t="s">
        <v>300</v>
      </c>
      <c r="D886" s="7" t="s">
        <v>66</v>
      </c>
      <c r="E886" s="7" t="s">
        <v>33</v>
      </c>
      <c r="F886" s="7" t="s">
        <v>92</v>
      </c>
      <c r="G886" s="7">
        <v>4</v>
      </c>
      <c r="H886" s="18">
        <v>4125.57</v>
      </c>
      <c r="I886" s="22">
        <v>0.05</v>
      </c>
      <c r="J886" s="18">
        <v>15677.17</v>
      </c>
      <c r="K886" s="18">
        <v>8891.4699999999993</v>
      </c>
      <c r="L886" s="18">
        <v>6785.7</v>
      </c>
      <c r="M886" s="7" t="s">
        <v>57</v>
      </c>
      <c r="N886" s="7" t="s">
        <v>36</v>
      </c>
      <c r="O886" s="7" t="s">
        <v>44</v>
      </c>
      <c r="P886" s="7" t="str">
        <f t="shared" si="39"/>
        <v>Jan</v>
      </c>
      <c r="Q886" s="7">
        <f t="shared" si="40"/>
        <v>2026</v>
      </c>
      <c r="R886" s="23">
        <f t="shared" si="41"/>
        <v>0.43283960051463366</v>
      </c>
    </row>
    <row r="887" spans="1:18">
      <c r="A887" s="7" t="s">
        <v>961</v>
      </c>
      <c r="B887" s="8">
        <v>46157</v>
      </c>
      <c r="C887" s="7" t="s">
        <v>962</v>
      </c>
      <c r="D887" s="7" t="s">
        <v>52</v>
      </c>
      <c r="E887" s="7" t="s">
        <v>61</v>
      </c>
      <c r="F887" s="7" t="s">
        <v>89</v>
      </c>
      <c r="G887" s="7">
        <v>2</v>
      </c>
      <c r="H887" s="18">
        <v>4129.57</v>
      </c>
      <c r="I887" s="22">
        <v>0</v>
      </c>
      <c r="J887" s="18">
        <v>8259.14</v>
      </c>
      <c r="K887" s="18">
        <v>5657.06</v>
      </c>
      <c r="L887" s="18">
        <v>2602.08</v>
      </c>
      <c r="M887" s="7" t="s">
        <v>35</v>
      </c>
      <c r="N887" s="7" t="s">
        <v>71</v>
      </c>
      <c r="O887" s="7" t="s">
        <v>44</v>
      </c>
      <c r="P887" s="7" t="str">
        <f t="shared" si="39"/>
        <v>May</v>
      </c>
      <c r="Q887" s="7">
        <f t="shared" si="40"/>
        <v>2026</v>
      </c>
      <c r="R887" s="23">
        <f t="shared" si="41"/>
        <v>0.31505459406185149</v>
      </c>
    </row>
    <row r="888" spans="1:18">
      <c r="A888" s="7" t="s">
        <v>929</v>
      </c>
      <c r="B888" s="8">
        <v>45944</v>
      </c>
      <c r="C888" s="7" t="s">
        <v>259</v>
      </c>
      <c r="D888" s="7" t="s">
        <v>95</v>
      </c>
      <c r="E888" s="7" t="s">
        <v>48</v>
      </c>
      <c r="F888" s="7" t="s">
        <v>113</v>
      </c>
      <c r="G888" s="7">
        <v>6</v>
      </c>
      <c r="H888" s="18">
        <v>4135.3</v>
      </c>
      <c r="I888" s="22">
        <v>0.2</v>
      </c>
      <c r="J888" s="18">
        <v>19849.439999999999</v>
      </c>
      <c r="K888" s="18">
        <v>13237.44</v>
      </c>
      <c r="L888" s="18">
        <v>6612</v>
      </c>
      <c r="M888" s="7" t="s">
        <v>35</v>
      </c>
      <c r="N888" s="7" t="s">
        <v>63</v>
      </c>
      <c r="O888" s="7" t="s">
        <v>37</v>
      </c>
      <c r="P888" s="7" t="str">
        <f t="shared" si="39"/>
        <v>Oct</v>
      </c>
      <c r="Q888" s="7">
        <f t="shared" si="40"/>
        <v>2025</v>
      </c>
      <c r="R888" s="23">
        <f t="shared" si="41"/>
        <v>0.33310763427079054</v>
      </c>
    </row>
    <row r="889" spans="1:18">
      <c r="A889" s="7" t="s">
        <v>689</v>
      </c>
      <c r="B889" s="8">
        <v>46039</v>
      </c>
      <c r="C889" s="7" t="s">
        <v>690</v>
      </c>
      <c r="D889" s="7" t="s">
        <v>95</v>
      </c>
      <c r="E889" s="7" t="s">
        <v>61</v>
      </c>
      <c r="F889" s="7" t="s">
        <v>81</v>
      </c>
      <c r="G889" s="7">
        <v>5</v>
      </c>
      <c r="H889" s="18">
        <v>4141.04</v>
      </c>
      <c r="I889" s="22">
        <v>0</v>
      </c>
      <c r="J889" s="18">
        <v>20705.2</v>
      </c>
      <c r="K889" s="18">
        <v>13034.35</v>
      </c>
      <c r="L889" s="18">
        <v>7670.85</v>
      </c>
      <c r="M889" s="7" t="s">
        <v>35</v>
      </c>
      <c r="N889" s="7" t="s">
        <v>36</v>
      </c>
      <c r="O889" s="7" t="s">
        <v>44</v>
      </c>
      <c r="P889" s="7" t="str">
        <f t="shared" si="39"/>
        <v>Jan</v>
      </c>
      <c r="Q889" s="7">
        <f t="shared" si="40"/>
        <v>2026</v>
      </c>
      <c r="R889" s="23">
        <f t="shared" si="41"/>
        <v>0.3704793964801113</v>
      </c>
    </row>
    <row r="890" spans="1:18">
      <c r="A890" s="7" t="s">
        <v>1437</v>
      </c>
      <c r="B890" s="8">
        <v>46047</v>
      </c>
      <c r="C890" s="7" t="s">
        <v>1438</v>
      </c>
      <c r="D890" s="7" t="s">
        <v>47</v>
      </c>
      <c r="E890" s="7" t="s">
        <v>48</v>
      </c>
      <c r="F890" s="7" t="s">
        <v>99</v>
      </c>
      <c r="G890" s="7">
        <v>3</v>
      </c>
      <c r="H890" s="18">
        <v>4142.82</v>
      </c>
      <c r="I890" s="22">
        <v>0.15</v>
      </c>
      <c r="J890" s="18">
        <v>10564.19</v>
      </c>
      <c r="K890" s="18">
        <v>6449.68</v>
      </c>
      <c r="L890" s="18">
        <v>4114.51</v>
      </c>
      <c r="M890" s="7" t="s">
        <v>35</v>
      </c>
      <c r="N890" s="7" t="s">
        <v>71</v>
      </c>
      <c r="O890" s="7" t="s">
        <v>37</v>
      </c>
      <c r="P890" s="7" t="str">
        <f t="shared" si="39"/>
        <v>Jan</v>
      </c>
      <c r="Q890" s="7">
        <f t="shared" si="40"/>
        <v>2026</v>
      </c>
      <c r="R890" s="23">
        <f t="shared" si="41"/>
        <v>0.38947709194931179</v>
      </c>
    </row>
    <row r="891" spans="1:18">
      <c r="A891" s="7" t="s">
        <v>469</v>
      </c>
      <c r="B891" s="8">
        <v>45702</v>
      </c>
      <c r="C891" s="7" t="s">
        <v>470</v>
      </c>
      <c r="D891" s="7" t="s">
        <v>74</v>
      </c>
      <c r="E891" s="7" t="s">
        <v>41</v>
      </c>
      <c r="F891" s="7" t="s">
        <v>53</v>
      </c>
      <c r="G891" s="7">
        <v>2</v>
      </c>
      <c r="H891" s="18">
        <v>4144.51</v>
      </c>
      <c r="I891" s="22">
        <v>0.1</v>
      </c>
      <c r="J891" s="18">
        <v>7460.12</v>
      </c>
      <c r="K891" s="18">
        <v>4276.16</v>
      </c>
      <c r="L891" s="18">
        <v>3183.96</v>
      </c>
      <c r="M891" s="7" t="s">
        <v>35</v>
      </c>
      <c r="N891" s="7" t="s">
        <v>43</v>
      </c>
      <c r="O891" s="7" t="s">
        <v>44</v>
      </c>
      <c r="P891" s="7" t="str">
        <f t="shared" si="39"/>
        <v>Feb</v>
      </c>
      <c r="Q891" s="7">
        <f t="shared" si="40"/>
        <v>2025</v>
      </c>
      <c r="R891" s="23">
        <f t="shared" si="41"/>
        <v>0.42679742417012062</v>
      </c>
    </row>
    <row r="892" spans="1:18">
      <c r="A892" s="7" t="s">
        <v>79</v>
      </c>
      <c r="B892" s="8">
        <v>45810</v>
      </c>
      <c r="C892" s="7" t="s">
        <v>80</v>
      </c>
      <c r="D892" s="7" t="s">
        <v>56</v>
      </c>
      <c r="E892" s="7" t="s">
        <v>61</v>
      </c>
      <c r="F892" s="7" t="s">
        <v>81</v>
      </c>
      <c r="G892" s="7">
        <v>3</v>
      </c>
      <c r="H892" s="18">
        <v>4164.28</v>
      </c>
      <c r="I892" s="22">
        <v>0</v>
      </c>
      <c r="J892" s="18">
        <v>12492.84</v>
      </c>
      <c r="K892" s="18">
        <v>10464.94</v>
      </c>
      <c r="L892" s="18">
        <v>2027.9</v>
      </c>
      <c r="M892" s="7" t="s">
        <v>57</v>
      </c>
      <c r="N892" s="7" t="s">
        <v>71</v>
      </c>
      <c r="O892" s="7" t="s">
        <v>44</v>
      </c>
      <c r="P892" s="7" t="str">
        <f t="shared" si="39"/>
        <v>Jun</v>
      </c>
      <c r="Q892" s="7">
        <f t="shared" si="40"/>
        <v>2025</v>
      </c>
      <c r="R892" s="23">
        <f t="shared" si="41"/>
        <v>0.16232497974839988</v>
      </c>
    </row>
    <row r="893" spans="1:18">
      <c r="A893" s="7" t="s">
        <v>1126</v>
      </c>
      <c r="B893" s="8">
        <v>45796</v>
      </c>
      <c r="C893" s="7" t="s">
        <v>1127</v>
      </c>
      <c r="D893" s="7" t="s">
        <v>52</v>
      </c>
      <c r="E893" s="7" t="s">
        <v>61</v>
      </c>
      <c r="F893" s="7" t="s">
        <v>129</v>
      </c>
      <c r="G893" s="7">
        <v>3</v>
      </c>
      <c r="H893" s="18">
        <v>4177.28</v>
      </c>
      <c r="I893" s="22">
        <v>0</v>
      </c>
      <c r="J893" s="18">
        <v>12531.84</v>
      </c>
      <c r="K893" s="18">
        <v>9421.06</v>
      </c>
      <c r="L893" s="18">
        <v>3110.78</v>
      </c>
      <c r="M893" s="7" t="s">
        <v>35</v>
      </c>
      <c r="N893" s="7" t="s">
        <v>43</v>
      </c>
      <c r="O893" s="7" t="s">
        <v>37</v>
      </c>
      <c r="P893" s="7" t="str">
        <f t="shared" si="39"/>
        <v>May</v>
      </c>
      <c r="Q893" s="7">
        <f t="shared" si="40"/>
        <v>2025</v>
      </c>
      <c r="R893" s="23">
        <f t="shared" si="41"/>
        <v>0.2482301082682192</v>
      </c>
    </row>
    <row r="894" spans="1:18">
      <c r="A894" s="7" t="s">
        <v>1733</v>
      </c>
      <c r="B894" s="8">
        <v>46241</v>
      </c>
      <c r="C894" s="7" t="s">
        <v>304</v>
      </c>
      <c r="D894" s="7" t="s">
        <v>60</v>
      </c>
      <c r="E894" s="7" t="s">
        <v>41</v>
      </c>
      <c r="F894" s="7" t="s">
        <v>42</v>
      </c>
      <c r="G894" s="7">
        <v>4</v>
      </c>
      <c r="H894" s="18">
        <v>4179.8999999999996</v>
      </c>
      <c r="I894" s="22">
        <v>0.05</v>
      </c>
      <c r="J894" s="18">
        <v>15883.62</v>
      </c>
      <c r="K894" s="18">
        <v>11241.91</v>
      </c>
      <c r="L894" s="18">
        <v>4641.71</v>
      </c>
      <c r="M894" s="7" t="s">
        <v>57</v>
      </c>
      <c r="N894" s="7" t="s">
        <v>36</v>
      </c>
      <c r="O894" s="7" t="s">
        <v>44</v>
      </c>
      <c r="P894" s="7" t="str">
        <f t="shared" si="39"/>
        <v>Aug</v>
      </c>
      <c r="Q894" s="7">
        <f t="shared" si="40"/>
        <v>2026</v>
      </c>
      <c r="R894" s="23">
        <f t="shared" si="41"/>
        <v>0.29223250115527821</v>
      </c>
    </row>
    <row r="895" spans="1:18">
      <c r="A895" s="7" t="s">
        <v>1624</v>
      </c>
      <c r="B895" s="8">
        <v>45990</v>
      </c>
      <c r="C895" s="7" t="s">
        <v>1625</v>
      </c>
      <c r="D895" s="7" t="s">
        <v>47</v>
      </c>
      <c r="E895" s="7" t="s">
        <v>33</v>
      </c>
      <c r="F895" s="7" t="s">
        <v>92</v>
      </c>
      <c r="G895" s="7">
        <v>5</v>
      </c>
      <c r="H895" s="18">
        <v>4180.6499999999996</v>
      </c>
      <c r="I895" s="22">
        <v>0</v>
      </c>
      <c r="J895" s="18">
        <v>20903.25</v>
      </c>
      <c r="K895" s="18">
        <v>16496.259999999998</v>
      </c>
      <c r="L895" s="18">
        <v>4406.99</v>
      </c>
      <c r="M895" s="7" t="s">
        <v>35</v>
      </c>
      <c r="N895" s="7" t="s">
        <v>71</v>
      </c>
      <c r="O895" s="7" t="s">
        <v>44</v>
      </c>
      <c r="P895" s="7" t="str">
        <f t="shared" si="39"/>
        <v>Nov</v>
      </c>
      <c r="Q895" s="7">
        <f t="shared" si="40"/>
        <v>2025</v>
      </c>
      <c r="R895" s="23">
        <f t="shared" si="41"/>
        <v>0.21082798129477473</v>
      </c>
    </row>
    <row r="896" spans="1:18">
      <c r="A896" s="7" t="s">
        <v>77</v>
      </c>
      <c r="B896" s="8">
        <v>45815</v>
      </c>
      <c r="C896" s="7" t="s">
        <v>78</v>
      </c>
      <c r="D896" s="7" t="s">
        <v>56</v>
      </c>
      <c r="E896" s="7" t="s">
        <v>48</v>
      </c>
      <c r="F896" s="7" t="s">
        <v>70</v>
      </c>
      <c r="G896" s="7">
        <v>6</v>
      </c>
      <c r="H896" s="18">
        <v>4187.53</v>
      </c>
      <c r="I896" s="22">
        <v>0.05</v>
      </c>
      <c r="J896" s="18">
        <v>23868.92</v>
      </c>
      <c r="K896" s="18">
        <v>20074.740000000002</v>
      </c>
      <c r="L896" s="18">
        <v>3794.18</v>
      </c>
      <c r="M896" s="7" t="s">
        <v>35</v>
      </c>
      <c r="N896" s="7" t="s">
        <v>71</v>
      </c>
      <c r="O896" s="7" t="s">
        <v>44</v>
      </c>
      <c r="P896" s="7" t="str">
        <f t="shared" si="39"/>
        <v>Jun</v>
      </c>
      <c r="Q896" s="7">
        <f t="shared" si="40"/>
        <v>2025</v>
      </c>
      <c r="R896" s="23">
        <f t="shared" si="41"/>
        <v>0.15895901448410737</v>
      </c>
    </row>
    <row r="897" spans="1:18">
      <c r="A897" s="7" t="s">
        <v>1548</v>
      </c>
      <c r="B897" s="8">
        <v>45695</v>
      </c>
      <c r="C897" s="7" t="s">
        <v>659</v>
      </c>
      <c r="D897" s="7" t="s">
        <v>52</v>
      </c>
      <c r="E897" s="7" t="s">
        <v>48</v>
      </c>
      <c r="F897" s="7" t="s">
        <v>102</v>
      </c>
      <c r="G897" s="7">
        <v>3</v>
      </c>
      <c r="H897" s="18">
        <v>4191.43</v>
      </c>
      <c r="I897" s="22">
        <v>0.2</v>
      </c>
      <c r="J897" s="18">
        <v>10059.43</v>
      </c>
      <c r="K897" s="18">
        <v>6539.95</v>
      </c>
      <c r="L897" s="18">
        <v>3519.48</v>
      </c>
      <c r="M897" s="7" t="s">
        <v>57</v>
      </c>
      <c r="N897" s="7" t="s">
        <v>36</v>
      </c>
      <c r="O897" s="7" t="s">
        <v>44</v>
      </c>
      <c r="P897" s="7" t="str">
        <f t="shared" si="39"/>
        <v>Feb</v>
      </c>
      <c r="Q897" s="7">
        <f t="shared" si="40"/>
        <v>2025</v>
      </c>
      <c r="R897" s="23">
        <f t="shared" si="41"/>
        <v>0.34986873013679698</v>
      </c>
    </row>
    <row r="898" spans="1:18">
      <c r="A898" s="7" t="s">
        <v>1734</v>
      </c>
      <c r="B898" s="8">
        <v>45809</v>
      </c>
      <c r="C898" s="7" t="s">
        <v>762</v>
      </c>
      <c r="D898" s="7" t="s">
        <v>40</v>
      </c>
      <c r="E898" s="7" t="s">
        <v>48</v>
      </c>
      <c r="F898" s="7" t="s">
        <v>113</v>
      </c>
      <c r="G898" s="7">
        <v>1</v>
      </c>
      <c r="H898" s="18">
        <v>4192.8999999999996</v>
      </c>
      <c r="I898" s="22">
        <v>0.1</v>
      </c>
      <c r="J898" s="18">
        <v>3773.61</v>
      </c>
      <c r="K898" s="18">
        <v>2922.51</v>
      </c>
      <c r="L898" s="18">
        <v>851.1</v>
      </c>
      <c r="M898" s="7" t="s">
        <v>35</v>
      </c>
      <c r="N898" s="7" t="s">
        <v>36</v>
      </c>
      <c r="O898" s="7" t="s">
        <v>44</v>
      </c>
      <c r="P898" s="7" t="str">
        <f t="shared" ref="P898:P961" si="42">TEXT(B898,"mmm")</f>
        <v>Jun</v>
      </c>
      <c r="Q898" s="7">
        <f t="shared" ref="Q898:Q961" si="43">YEAR(B898)</f>
        <v>2025</v>
      </c>
      <c r="R898" s="23">
        <f t="shared" ref="R898:R961" si="44">IFERROR(L898/J898,0)</f>
        <v>0.22554000015899894</v>
      </c>
    </row>
    <row r="899" spans="1:18">
      <c r="A899" s="7" t="s">
        <v>1524</v>
      </c>
      <c r="B899" s="8">
        <v>45988</v>
      </c>
      <c r="C899" s="7" t="s">
        <v>166</v>
      </c>
      <c r="D899" s="7" t="s">
        <v>66</v>
      </c>
      <c r="E899" s="7" t="s">
        <v>48</v>
      </c>
      <c r="F899" s="7" t="s">
        <v>102</v>
      </c>
      <c r="G899" s="7">
        <v>2</v>
      </c>
      <c r="H899" s="18">
        <v>4195.8900000000003</v>
      </c>
      <c r="I899" s="22">
        <v>0</v>
      </c>
      <c r="J899" s="18">
        <v>8391.7800000000007</v>
      </c>
      <c r="K899" s="18">
        <v>5584.72</v>
      </c>
      <c r="L899" s="18">
        <v>2807.06</v>
      </c>
      <c r="M899" s="7" t="s">
        <v>57</v>
      </c>
      <c r="N899" s="7" t="s">
        <v>36</v>
      </c>
      <c r="O899" s="7" t="s">
        <v>37</v>
      </c>
      <c r="P899" s="7" t="str">
        <f t="shared" si="42"/>
        <v>Nov</v>
      </c>
      <c r="Q899" s="7">
        <f t="shared" si="43"/>
        <v>2025</v>
      </c>
      <c r="R899" s="23">
        <f t="shared" si="44"/>
        <v>0.33450114278496335</v>
      </c>
    </row>
    <row r="900" spans="1:18">
      <c r="A900" s="7" t="s">
        <v>700</v>
      </c>
      <c r="B900" s="8">
        <v>46053</v>
      </c>
      <c r="C900" s="7" t="s">
        <v>445</v>
      </c>
      <c r="D900" s="7" t="s">
        <v>95</v>
      </c>
      <c r="E900" s="7" t="s">
        <v>61</v>
      </c>
      <c r="F900" s="7" t="s">
        <v>89</v>
      </c>
      <c r="G900" s="7">
        <v>1</v>
      </c>
      <c r="H900" s="18">
        <v>4197.3500000000004</v>
      </c>
      <c r="I900" s="22">
        <v>0</v>
      </c>
      <c r="J900" s="18">
        <v>4197.3500000000004</v>
      </c>
      <c r="K900" s="18">
        <v>2398.23</v>
      </c>
      <c r="L900" s="18">
        <v>1799.12</v>
      </c>
      <c r="M900" s="7" t="s">
        <v>57</v>
      </c>
      <c r="N900" s="7" t="s">
        <v>63</v>
      </c>
      <c r="O900" s="7" t="s">
        <v>37</v>
      </c>
      <c r="P900" s="7" t="str">
        <f t="shared" si="42"/>
        <v>Jan</v>
      </c>
      <c r="Q900" s="7">
        <f t="shared" si="43"/>
        <v>2026</v>
      </c>
      <c r="R900" s="23">
        <f t="shared" si="44"/>
        <v>0.42863235136455136</v>
      </c>
    </row>
    <row r="901" spans="1:18">
      <c r="A901" s="7" t="s">
        <v>1600</v>
      </c>
      <c r="B901" s="8">
        <v>46046</v>
      </c>
      <c r="C901" s="7" t="s">
        <v>1085</v>
      </c>
      <c r="D901" s="7" t="s">
        <v>66</v>
      </c>
      <c r="E901" s="7" t="s">
        <v>33</v>
      </c>
      <c r="F901" s="7" t="s">
        <v>96</v>
      </c>
      <c r="G901" s="7">
        <v>6</v>
      </c>
      <c r="H901" s="18">
        <v>4199.59</v>
      </c>
      <c r="I901" s="22">
        <v>0</v>
      </c>
      <c r="J901" s="18">
        <v>25197.54</v>
      </c>
      <c r="K901" s="18">
        <v>14993.58</v>
      </c>
      <c r="L901" s="18">
        <v>10203.959999999999</v>
      </c>
      <c r="M901" s="7" t="s">
        <v>57</v>
      </c>
      <c r="N901" s="7" t="s">
        <v>71</v>
      </c>
      <c r="O901" s="7" t="s">
        <v>44</v>
      </c>
      <c r="P901" s="7" t="str">
        <f t="shared" si="42"/>
        <v>Jan</v>
      </c>
      <c r="Q901" s="7">
        <f t="shared" si="43"/>
        <v>2026</v>
      </c>
      <c r="R901" s="23">
        <f t="shared" si="44"/>
        <v>0.40495857928988299</v>
      </c>
    </row>
    <row r="902" spans="1:18">
      <c r="A902" s="7" t="s">
        <v>870</v>
      </c>
      <c r="B902" s="8">
        <v>45860</v>
      </c>
      <c r="C902" s="7" t="s">
        <v>871</v>
      </c>
      <c r="D902" s="7" t="s">
        <v>95</v>
      </c>
      <c r="E902" s="7" t="s">
        <v>61</v>
      </c>
      <c r="F902" s="7" t="s">
        <v>89</v>
      </c>
      <c r="G902" s="7">
        <v>4</v>
      </c>
      <c r="H902" s="18">
        <v>4203.66</v>
      </c>
      <c r="I902" s="22">
        <v>0.2</v>
      </c>
      <c r="J902" s="18">
        <v>13451.71</v>
      </c>
      <c r="K902" s="18">
        <v>8828.34</v>
      </c>
      <c r="L902" s="18">
        <v>4623.37</v>
      </c>
      <c r="M902" s="7" t="s">
        <v>35</v>
      </c>
      <c r="N902" s="7" t="s">
        <v>71</v>
      </c>
      <c r="O902" s="7" t="s">
        <v>44</v>
      </c>
      <c r="P902" s="7" t="str">
        <f t="shared" si="42"/>
        <v>Jul</v>
      </c>
      <c r="Q902" s="7">
        <f t="shared" si="43"/>
        <v>2025</v>
      </c>
      <c r="R902" s="23">
        <f t="shared" si="44"/>
        <v>0.3437012840746641</v>
      </c>
    </row>
    <row r="903" spans="1:18">
      <c r="A903" s="7" t="s">
        <v>58</v>
      </c>
      <c r="B903" s="8">
        <v>45757</v>
      </c>
      <c r="C903" s="7" t="s">
        <v>59</v>
      </c>
      <c r="D903" s="7" t="s">
        <v>60</v>
      </c>
      <c r="E903" s="7" t="s">
        <v>61</v>
      </c>
      <c r="F903" s="7" t="s">
        <v>62</v>
      </c>
      <c r="G903" s="7">
        <v>5</v>
      </c>
      <c r="H903" s="18">
        <v>4206.5600000000004</v>
      </c>
      <c r="I903" s="22">
        <v>0</v>
      </c>
      <c r="J903" s="18">
        <v>21032.799999999999</v>
      </c>
      <c r="K903" s="18">
        <v>16501.650000000001</v>
      </c>
      <c r="L903" s="18">
        <v>4531.1499999999996</v>
      </c>
      <c r="M903" s="7" t="s">
        <v>57</v>
      </c>
      <c r="N903" s="7" t="s">
        <v>63</v>
      </c>
      <c r="O903" s="7" t="s">
        <v>44</v>
      </c>
      <c r="P903" s="7" t="str">
        <f t="shared" si="42"/>
        <v>Apr</v>
      </c>
      <c r="Q903" s="7">
        <f t="shared" si="43"/>
        <v>2025</v>
      </c>
      <c r="R903" s="23">
        <f t="shared" si="44"/>
        <v>0.21543256247385037</v>
      </c>
    </row>
    <row r="904" spans="1:18">
      <c r="A904" s="7" t="s">
        <v>1023</v>
      </c>
      <c r="B904" s="8">
        <v>46030</v>
      </c>
      <c r="C904" s="7" t="s">
        <v>179</v>
      </c>
      <c r="D904" s="7" t="s">
        <v>95</v>
      </c>
      <c r="E904" s="7" t="s">
        <v>48</v>
      </c>
      <c r="F904" s="7" t="s">
        <v>99</v>
      </c>
      <c r="G904" s="7">
        <v>5</v>
      </c>
      <c r="H904" s="18">
        <v>4215.03</v>
      </c>
      <c r="I904" s="22">
        <v>0.2</v>
      </c>
      <c r="J904" s="18">
        <v>16860.12</v>
      </c>
      <c r="K904" s="18">
        <v>9452.6299999999992</v>
      </c>
      <c r="L904" s="18">
        <v>7407.49</v>
      </c>
      <c r="M904" s="7" t="s">
        <v>57</v>
      </c>
      <c r="N904" s="7" t="s">
        <v>36</v>
      </c>
      <c r="O904" s="7" t="s">
        <v>44</v>
      </c>
      <c r="P904" s="7" t="str">
        <f t="shared" si="42"/>
        <v>Jan</v>
      </c>
      <c r="Q904" s="7">
        <f t="shared" si="43"/>
        <v>2026</v>
      </c>
      <c r="R904" s="23">
        <f t="shared" si="44"/>
        <v>0.43934977924237789</v>
      </c>
    </row>
    <row r="905" spans="1:18">
      <c r="A905" s="7" t="s">
        <v>1204</v>
      </c>
      <c r="B905" s="8">
        <v>45764</v>
      </c>
      <c r="C905" s="7" t="s">
        <v>427</v>
      </c>
      <c r="D905" s="7" t="s">
        <v>60</v>
      </c>
      <c r="E905" s="7" t="s">
        <v>33</v>
      </c>
      <c r="F905" s="7" t="s">
        <v>92</v>
      </c>
      <c r="G905" s="7">
        <v>2</v>
      </c>
      <c r="H905" s="18">
        <v>4224.55</v>
      </c>
      <c r="I905" s="22">
        <v>0</v>
      </c>
      <c r="J905" s="18">
        <v>8449.1</v>
      </c>
      <c r="K905" s="18">
        <v>5211.57</v>
      </c>
      <c r="L905" s="18">
        <v>3237.53</v>
      </c>
      <c r="M905" s="7" t="s">
        <v>57</v>
      </c>
      <c r="N905" s="7" t="s">
        <v>71</v>
      </c>
      <c r="O905" s="7" t="s">
        <v>44</v>
      </c>
      <c r="P905" s="7" t="str">
        <f t="shared" si="42"/>
        <v>Apr</v>
      </c>
      <c r="Q905" s="7">
        <f t="shared" si="43"/>
        <v>2025</v>
      </c>
      <c r="R905" s="23">
        <f t="shared" si="44"/>
        <v>0.38318045709010429</v>
      </c>
    </row>
    <row r="906" spans="1:18">
      <c r="A906" s="7" t="s">
        <v>1580</v>
      </c>
      <c r="B906" s="8">
        <v>45803</v>
      </c>
      <c r="C906" s="7" t="s">
        <v>598</v>
      </c>
      <c r="D906" s="7" t="s">
        <v>47</v>
      </c>
      <c r="E906" s="7" t="s">
        <v>41</v>
      </c>
      <c r="F906" s="7" t="s">
        <v>53</v>
      </c>
      <c r="G906" s="7">
        <v>5</v>
      </c>
      <c r="H906" s="18">
        <v>4227.0200000000004</v>
      </c>
      <c r="I906" s="22">
        <v>0</v>
      </c>
      <c r="J906" s="18">
        <v>21135.1</v>
      </c>
      <c r="K906" s="18">
        <v>16445.759999999998</v>
      </c>
      <c r="L906" s="18">
        <v>4689.34</v>
      </c>
      <c r="M906" s="7" t="s">
        <v>57</v>
      </c>
      <c r="N906" s="7" t="s">
        <v>71</v>
      </c>
      <c r="O906" s="7" t="s">
        <v>44</v>
      </c>
      <c r="P906" s="7" t="str">
        <f t="shared" si="42"/>
        <v>May</v>
      </c>
      <c r="Q906" s="7">
        <f t="shared" si="43"/>
        <v>2025</v>
      </c>
      <c r="R906" s="23">
        <f t="shared" si="44"/>
        <v>0.2218745120676032</v>
      </c>
    </row>
    <row r="907" spans="1:18">
      <c r="A907" s="7" t="s">
        <v>1182</v>
      </c>
      <c r="B907" s="8">
        <v>46149</v>
      </c>
      <c r="C907" s="7" t="s">
        <v>1073</v>
      </c>
      <c r="D907" s="7" t="s">
        <v>74</v>
      </c>
      <c r="E907" s="7" t="s">
        <v>33</v>
      </c>
      <c r="F907" s="7" t="s">
        <v>92</v>
      </c>
      <c r="G907" s="7">
        <v>2</v>
      </c>
      <c r="H907" s="18">
        <v>4233.1400000000003</v>
      </c>
      <c r="I907" s="22">
        <v>0.05</v>
      </c>
      <c r="J907" s="18">
        <v>8042.97</v>
      </c>
      <c r="K907" s="18">
        <v>6646.35</v>
      </c>
      <c r="L907" s="18">
        <v>1396.62</v>
      </c>
      <c r="M907" s="7" t="s">
        <v>57</v>
      </c>
      <c r="N907" s="7" t="s">
        <v>36</v>
      </c>
      <c r="O907" s="7" t="s">
        <v>37</v>
      </c>
      <c r="P907" s="7" t="str">
        <f t="shared" si="42"/>
        <v>May</v>
      </c>
      <c r="Q907" s="7">
        <f t="shared" si="43"/>
        <v>2026</v>
      </c>
      <c r="R907" s="23">
        <f t="shared" si="44"/>
        <v>0.17364481031260839</v>
      </c>
    </row>
    <row r="908" spans="1:18">
      <c r="A908" s="7" t="s">
        <v>1273</v>
      </c>
      <c r="B908" s="8">
        <v>45748</v>
      </c>
      <c r="C908" s="7" t="s">
        <v>245</v>
      </c>
      <c r="D908" s="7" t="s">
        <v>74</v>
      </c>
      <c r="E908" s="7" t="s">
        <v>48</v>
      </c>
      <c r="F908" s="7" t="s">
        <v>49</v>
      </c>
      <c r="G908" s="7">
        <v>2</v>
      </c>
      <c r="H908" s="18">
        <v>4235.1400000000003</v>
      </c>
      <c r="I908" s="22">
        <v>0.1</v>
      </c>
      <c r="J908" s="18">
        <v>7623.25</v>
      </c>
      <c r="K908" s="18">
        <v>5186.29</v>
      </c>
      <c r="L908" s="18">
        <v>2436.96</v>
      </c>
      <c r="M908" s="7" t="s">
        <v>57</v>
      </c>
      <c r="N908" s="7" t="s">
        <v>63</v>
      </c>
      <c r="O908" s="7" t="s">
        <v>44</v>
      </c>
      <c r="P908" s="7" t="str">
        <f t="shared" si="42"/>
        <v>Apr</v>
      </c>
      <c r="Q908" s="7">
        <f t="shared" si="43"/>
        <v>2025</v>
      </c>
      <c r="R908" s="23">
        <f t="shared" si="44"/>
        <v>0.31967467943462435</v>
      </c>
    </row>
    <row r="909" spans="1:18">
      <c r="A909" s="7" t="s">
        <v>1018</v>
      </c>
      <c r="B909" s="8">
        <v>46082</v>
      </c>
      <c r="C909" s="7" t="s">
        <v>276</v>
      </c>
      <c r="D909" s="7" t="s">
        <v>60</v>
      </c>
      <c r="E909" s="7" t="s">
        <v>41</v>
      </c>
      <c r="F909" s="7" t="s">
        <v>42</v>
      </c>
      <c r="G909" s="7">
        <v>1</v>
      </c>
      <c r="H909" s="18">
        <v>4235.4399999999996</v>
      </c>
      <c r="I909" s="22">
        <v>0.1</v>
      </c>
      <c r="J909" s="18">
        <v>3811.9</v>
      </c>
      <c r="K909" s="18">
        <v>2292.06</v>
      </c>
      <c r="L909" s="18">
        <v>1519.84</v>
      </c>
      <c r="M909" s="7" t="s">
        <v>57</v>
      </c>
      <c r="N909" s="7" t="s">
        <v>43</v>
      </c>
      <c r="O909" s="7" t="s">
        <v>44</v>
      </c>
      <c r="P909" s="7" t="str">
        <f t="shared" si="42"/>
        <v>Mar</v>
      </c>
      <c r="Q909" s="7">
        <f t="shared" si="43"/>
        <v>2026</v>
      </c>
      <c r="R909" s="23">
        <f t="shared" si="44"/>
        <v>0.39870930507096197</v>
      </c>
    </row>
    <row r="910" spans="1:18">
      <c r="A910" s="7" t="s">
        <v>1253</v>
      </c>
      <c r="B910" s="8">
        <v>46187</v>
      </c>
      <c r="C910" s="7" t="s">
        <v>716</v>
      </c>
      <c r="D910" s="7" t="s">
        <v>32</v>
      </c>
      <c r="E910" s="7" t="s">
        <v>33</v>
      </c>
      <c r="F910" s="7" t="s">
        <v>67</v>
      </c>
      <c r="G910" s="7">
        <v>1</v>
      </c>
      <c r="H910" s="18">
        <v>4244.79</v>
      </c>
      <c r="I910" s="22">
        <v>0</v>
      </c>
      <c r="J910" s="18">
        <v>4244.79</v>
      </c>
      <c r="K910" s="18">
        <v>2788.3</v>
      </c>
      <c r="L910" s="18">
        <v>1456.49</v>
      </c>
      <c r="M910" s="7" t="s">
        <v>35</v>
      </c>
      <c r="N910" s="7" t="s">
        <v>63</v>
      </c>
      <c r="O910" s="7" t="s">
        <v>44</v>
      </c>
      <c r="P910" s="7" t="str">
        <f t="shared" si="42"/>
        <v>Jun</v>
      </c>
      <c r="Q910" s="7">
        <f t="shared" si="43"/>
        <v>2026</v>
      </c>
      <c r="R910" s="23">
        <f t="shared" si="44"/>
        <v>0.34312415926347356</v>
      </c>
    </row>
    <row r="911" spans="1:18">
      <c r="A911" s="7" t="s">
        <v>772</v>
      </c>
      <c r="B911" s="8">
        <v>45884</v>
      </c>
      <c r="C911" s="7" t="s">
        <v>773</v>
      </c>
      <c r="D911" s="7" t="s">
        <v>66</v>
      </c>
      <c r="E911" s="7" t="s">
        <v>48</v>
      </c>
      <c r="F911" s="7" t="s">
        <v>113</v>
      </c>
      <c r="G911" s="7">
        <v>6</v>
      </c>
      <c r="H911" s="18">
        <v>4247.49</v>
      </c>
      <c r="I911" s="22">
        <v>0.05</v>
      </c>
      <c r="J911" s="18">
        <v>24210.69</v>
      </c>
      <c r="K911" s="18">
        <v>18234.330000000002</v>
      </c>
      <c r="L911" s="18">
        <v>5976.36</v>
      </c>
      <c r="M911" s="7" t="s">
        <v>35</v>
      </c>
      <c r="N911" s="7" t="s">
        <v>71</v>
      </c>
      <c r="O911" s="7" t="s">
        <v>44</v>
      </c>
      <c r="P911" s="7" t="str">
        <f t="shared" si="42"/>
        <v>Aug</v>
      </c>
      <c r="Q911" s="7">
        <f t="shared" si="43"/>
        <v>2025</v>
      </c>
      <c r="R911" s="23">
        <f t="shared" si="44"/>
        <v>0.24684798326689575</v>
      </c>
    </row>
    <row r="912" spans="1:18">
      <c r="A912" s="7" t="s">
        <v>1358</v>
      </c>
      <c r="B912" s="8">
        <v>46153</v>
      </c>
      <c r="C912" s="7" t="s">
        <v>382</v>
      </c>
      <c r="D912" s="7" t="s">
        <v>74</v>
      </c>
      <c r="E912" s="7" t="s">
        <v>48</v>
      </c>
      <c r="F912" s="7" t="s">
        <v>102</v>
      </c>
      <c r="G912" s="7">
        <v>1</v>
      </c>
      <c r="H912" s="18">
        <v>4247.67</v>
      </c>
      <c r="I912" s="22">
        <v>0.1</v>
      </c>
      <c r="J912" s="18">
        <v>3822.9</v>
      </c>
      <c r="K912" s="18">
        <v>3123.93</v>
      </c>
      <c r="L912" s="18">
        <v>698.97</v>
      </c>
      <c r="M912" s="7" t="s">
        <v>35</v>
      </c>
      <c r="N912" s="7" t="s">
        <v>71</v>
      </c>
      <c r="O912" s="7" t="s">
        <v>37</v>
      </c>
      <c r="P912" s="7" t="str">
        <f t="shared" si="42"/>
        <v>May</v>
      </c>
      <c r="Q912" s="7">
        <f t="shared" si="43"/>
        <v>2026</v>
      </c>
      <c r="R912" s="23">
        <f t="shared" si="44"/>
        <v>0.18283763634936828</v>
      </c>
    </row>
    <row r="913" spans="1:18">
      <c r="A913" s="7" t="s">
        <v>785</v>
      </c>
      <c r="B913" s="8">
        <v>45819</v>
      </c>
      <c r="C913" s="7" t="s">
        <v>786</v>
      </c>
      <c r="D913" s="7" t="s">
        <v>47</v>
      </c>
      <c r="E913" s="7" t="s">
        <v>48</v>
      </c>
      <c r="F913" s="7" t="s">
        <v>49</v>
      </c>
      <c r="G913" s="7">
        <v>6</v>
      </c>
      <c r="H913" s="18">
        <v>4252.3999999999996</v>
      </c>
      <c r="I913" s="22">
        <v>0</v>
      </c>
      <c r="J913" s="18">
        <v>25514.400000000001</v>
      </c>
      <c r="K913" s="18">
        <v>20787.61</v>
      </c>
      <c r="L913" s="18">
        <v>4726.79</v>
      </c>
      <c r="M913" s="7" t="s">
        <v>57</v>
      </c>
      <c r="N913" s="7" t="s">
        <v>43</v>
      </c>
      <c r="O913" s="7" t="s">
        <v>44</v>
      </c>
      <c r="P913" s="7" t="str">
        <f t="shared" si="42"/>
        <v>Jun</v>
      </c>
      <c r="Q913" s="7">
        <f t="shared" si="43"/>
        <v>2025</v>
      </c>
      <c r="R913" s="23">
        <f t="shared" si="44"/>
        <v>0.18525969648512211</v>
      </c>
    </row>
    <row r="914" spans="1:18">
      <c r="A914" s="7" t="s">
        <v>162</v>
      </c>
      <c r="B914" s="8">
        <v>46157</v>
      </c>
      <c r="C914" s="7" t="s">
        <v>94</v>
      </c>
      <c r="D914" s="7" t="s">
        <v>66</v>
      </c>
      <c r="E914" s="7" t="s">
        <v>33</v>
      </c>
      <c r="F914" s="7" t="s">
        <v>67</v>
      </c>
      <c r="G914" s="7">
        <v>2</v>
      </c>
      <c r="H914" s="18">
        <v>4259.41</v>
      </c>
      <c r="I914" s="22">
        <v>0.05</v>
      </c>
      <c r="J914" s="18">
        <v>8092.88</v>
      </c>
      <c r="K914" s="18">
        <v>6683.47</v>
      </c>
      <c r="L914" s="18">
        <v>1409.41</v>
      </c>
      <c r="M914" s="7" t="s">
        <v>57</v>
      </c>
      <c r="N914" s="7" t="s">
        <v>36</v>
      </c>
      <c r="O914" s="7" t="s">
        <v>44</v>
      </c>
      <c r="P914" s="7" t="str">
        <f t="shared" si="42"/>
        <v>May</v>
      </c>
      <c r="Q914" s="7">
        <f t="shared" si="43"/>
        <v>2026</v>
      </c>
      <c r="R914" s="23">
        <f t="shared" si="44"/>
        <v>0.17415431836379633</v>
      </c>
    </row>
    <row r="915" spans="1:18">
      <c r="A915" s="7" t="s">
        <v>860</v>
      </c>
      <c r="B915" s="8">
        <v>46230</v>
      </c>
      <c r="C915" s="7" t="s">
        <v>382</v>
      </c>
      <c r="D915" s="7" t="s">
        <v>74</v>
      </c>
      <c r="E915" s="7" t="s">
        <v>33</v>
      </c>
      <c r="F915" s="7" t="s">
        <v>34</v>
      </c>
      <c r="G915" s="7">
        <v>6</v>
      </c>
      <c r="H915" s="18">
        <v>4259.66</v>
      </c>
      <c r="I915" s="22">
        <v>0.1</v>
      </c>
      <c r="J915" s="18">
        <v>23002.16</v>
      </c>
      <c r="K915" s="18">
        <v>17048.25</v>
      </c>
      <c r="L915" s="18">
        <v>5953.91</v>
      </c>
      <c r="M915" s="7" t="s">
        <v>35</v>
      </c>
      <c r="N915" s="7" t="s">
        <v>36</v>
      </c>
      <c r="O915" s="7" t="s">
        <v>44</v>
      </c>
      <c r="P915" s="7" t="str">
        <f t="shared" si="42"/>
        <v>Jul</v>
      </c>
      <c r="Q915" s="7">
        <f t="shared" si="43"/>
        <v>2026</v>
      </c>
      <c r="R915" s="23">
        <f t="shared" si="44"/>
        <v>0.25884134359555799</v>
      </c>
    </row>
    <row r="916" spans="1:18">
      <c r="A916" s="7" t="s">
        <v>1055</v>
      </c>
      <c r="B916" s="8">
        <v>45868</v>
      </c>
      <c r="C916" s="7" t="s">
        <v>39</v>
      </c>
      <c r="D916" s="7" t="s">
        <v>134</v>
      </c>
      <c r="E916" s="7" t="s">
        <v>61</v>
      </c>
      <c r="F916" s="7" t="s">
        <v>84</v>
      </c>
      <c r="G916" s="7">
        <v>5</v>
      </c>
      <c r="H916" s="18">
        <v>4261.38</v>
      </c>
      <c r="I916" s="22">
        <v>0</v>
      </c>
      <c r="J916" s="18">
        <v>21306.9</v>
      </c>
      <c r="K916" s="18">
        <v>17874.349999999999</v>
      </c>
      <c r="L916" s="18">
        <v>3432.55</v>
      </c>
      <c r="M916" s="7" t="s">
        <v>57</v>
      </c>
      <c r="N916" s="7" t="s">
        <v>36</v>
      </c>
      <c r="O916" s="7" t="s">
        <v>37</v>
      </c>
      <c r="P916" s="7" t="str">
        <f t="shared" si="42"/>
        <v>Jul</v>
      </c>
      <c r="Q916" s="7">
        <f t="shared" si="43"/>
        <v>2025</v>
      </c>
      <c r="R916" s="23">
        <f t="shared" si="44"/>
        <v>0.16110039470781765</v>
      </c>
    </row>
    <row r="917" spans="1:18">
      <c r="A917" s="7" t="s">
        <v>1593</v>
      </c>
      <c r="B917" s="8">
        <v>45854</v>
      </c>
      <c r="C917" s="7" t="s">
        <v>553</v>
      </c>
      <c r="D917" s="7" t="s">
        <v>47</v>
      </c>
      <c r="E917" s="7" t="s">
        <v>41</v>
      </c>
      <c r="F917" s="7" t="s">
        <v>53</v>
      </c>
      <c r="G917" s="7">
        <v>1</v>
      </c>
      <c r="H917" s="18">
        <v>4262.46</v>
      </c>
      <c r="I917" s="22">
        <v>0</v>
      </c>
      <c r="J917" s="18">
        <v>4262.46</v>
      </c>
      <c r="K917" s="18">
        <v>3237.99</v>
      </c>
      <c r="L917" s="18">
        <v>1024.47</v>
      </c>
      <c r="M917" s="7" t="s">
        <v>57</v>
      </c>
      <c r="N917" s="7" t="s">
        <v>43</v>
      </c>
      <c r="O917" s="7" t="s">
        <v>44</v>
      </c>
      <c r="P917" s="7" t="str">
        <f t="shared" si="42"/>
        <v>Jul</v>
      </c>
      <c r="Q917" s="7">
        <f t="shared" si="43"/>
        <v>2025</v>
      </c>
      <c r="R917" s="23">
        <f t="shared" si="44"/>
        <v>0.24034712349206797</v>
      </c>
    </row>
    <row r="918" spans="1:18">
      <c r="A918" s="7" t="s">
        <v>1594</v>
      </c>
      <c r="B918" s="8">
        <v>46077</v>
      </c>
      <c r="C918" s="7" t="s">
        <v>447</v>
      </c>
      <c r="D918" s="7" t="s">
        <v>32</v>
      </c>
      <c r="E918" s="7" t="s">
        <v>33</v>
      </c>
      <c r="F918" s="7" t="s">
        <v>34</v>
      </c>
      <c r="G918" s="7">
        <v>4</v>
      </c>
      <c r="H918" s="18">
        <v>4263.03</v>
      </c>
      <c r="I918" s="22">
        <v>0</v>
      </c>
      <c r="J918" s="18">
        <v>17052.12</v>
      </c>
      <c r="K918" s="18">
        <v>9441.09</v>
      </c>
      <c r="L918" s="18">
        <v>7611.03</v>
      </c>
      <c r="M918" s="7" t="s">
        <v>57</v>
      </c>
      <c r="N918" s="7" t="s">
        <v>63</v>
      </c>
      <c r="O918" s="7" t="s">
        <v>44</v>
      </c>
      <c r="P918" s="7" t="str">
        <f t="shared" si="42"/>
        <v>Feb</v>
      </c>
      <c r="Q918" s="7">
        <f t="shared" si="43"/>
        <v>2026</v>
      </c>
      <c r="R918" s="23">
        <f t="shared" si="44"/>
        <v>0.44633922351003863</v>
      </c>
    </row>
    <row r="919" spans="1:18">
      <c r="A919" s="7" t="s">
        <v>1302</v>
      </c>
      <c r="B919" s="8">
        <v>46165</v>
      </c>
      <c r="C919" s="7" t="s">
        <v>1303</v>
      </c>
      <c r="D919" s="7" t="s">
        <v>95</v>
      </c>
      <c r="E919" s="7" t="s">
        <v>61</v>
      </c>
      <c r="F919" s="7" t="s">
        <v>81</v>
      </c>
      <c r="G919" s="7">
        <v>6</v>
      </c>
      <c r="H919" s="18">
        <v>4265.17</v>
      </c>
      <c r="I919" s="22">
        <v>0</v>
      </c>
      <c r="J919" s="18">
        <v>25591.02</v>
      </c>
      <c r="K919" s="18">
        <v>18065.63</v>
      </c>
      <c r="L919" s="18">
        <v>7525.39</v>
      </c>
      <c r="M919" s="7" t="s">
        <v>57</v>
      </c>
      <c r="N919" s="7" t="s">
        <v>43</v>
      </c>
      <c r="O919" s="7" t="s">
        <v>44</v>
      </c>
      <c r="P919" s="7" t="str">
        <f t="shared" si="42"/>
        <v>May</v>
      </c>
      <c r="Q919" s="7">
        <f t="shared" si="43"/>
        <v>2026</v>
      </c>
      <c r="R919" s="23">
        <f t="shared" si="44"/>
        <v>0.29406369890688216</v>
      </c>
    </row>
    <row r="920" spans="1:18">
      <c r="A920" s="7" t="s">
        <v>1604</v>
      </c>
      <c r="B920" s="8">
        <v>45939</v>
      </c>
      <c r="C920" s="7" t="s">
        <v>577</v>
      </c>
      <c r="D920" s="7" t="s">
        <v>52</v>
      </c>
      <c r="E920" s="7" t="s">
        <v>61</v>
      </c>
      <c r="F920" s="7" t="s">
        <v>62</v>
      </c>
      <c r="G920" s="7">
        <v>1</v>
      </c>
      <c r="H920" s="18">
        <v>4266.8599999999997</v>
      </c>
      <c r="I920" s="22">
        <v>0.1</v>
      </c>
      <c r="J920" s="18">
        <v>3840.17</v>
      </c>
      <c r="K920" s="18">
        <v>2696.97</v>
      </c>
      <c r="L920" s="18">
        <v>1143.2</v>
      </c>
      <c r="M920" s="7" t="s">
        <v>57</v>
      </c>
      <c r="N920" s="7" t="s">
        <v>43</v>
      </c>
      <c r="O920" s="7" t="s">
        <v>44</v>
      </c>
      <c r="P920" s="7" t="str">
        <f t="shared" si="42"/>
        <v>Oct</v>
      </c>
      <c r="Q920" s="7">
        <f t="shared" si="43"/>
        <v>2025</v>
      </c>
      <c r="R920" s="23">
        <f t="shared" si="44"/>
        <v>0.29769515412078112</v>
      </c>
    </row>
    <row r="921" spans="1:18">
      <c r="A921" s="7" t="s">
        <v>311</v>
      </c>
      <c r="B921" s="8">
        <v>46153</v>
      </c>
      <c r="C921" s="7" t="s">
        <v>312</v>
      </c>
      <c r="D921" s="7" t="s">
        <v>40</v>
      </c>
      <c r="E921" s="7" t="s">
        <v>61</v>
      </c>
      <c r="F921" s="7" t="s">
        <v>62</v>
      </c>
      <c r="G921" s="7">
        <v>1</v>
      </c>
      <c r="H921" s="18">
        <v>4267.5200000000004</v>
      </c>
      <c r="I921" s="22">
        <v>0</v>
      </c>
      <c r="J921" s="18">
        <v>4267.5200000000004</v>
      </c>
      <c r="K921" s="18">
        <v>2939.3</v>
      </c>
      <c r="L921" s="18">
        <v>1328.22</v>
      </c>
      <c r="M921" s="7" t="s">
        <v>57</v>
      </c>
      <c r="N921" s="7" t="s">
        <v>36</v>
      </c>
      <c r="O921" s="7" t="s">
        <v>44</v>
      </c>
      <c r="P921" s="7" t="str">
        <f t="shared" si="42"/>
        <v>May</v>
      </c>
      <c r="Q921" s="7">
        <f t="shared" si="43"/>
        <v>2026</v>
      </c>
      <c r="R921" s="23">
        <f t="shared" si="44"/>
        <v>0.31123931463707255</v>
      </c>
    </row>
    <row r="922" spans="1:18">
      <c r="A922" s="7" t="s">
        <v>601</v>
      </c>
      <c r="B922" s="8">
        <v>45991</v>
      </c>
      <c r="C922" s="7" t="s">
        <v>602</v>
      </c>
      <c r="D922" s="7" t="s">
        <v>60</v>
      </c>
      <c r="E922" s="7" t="s">
        <v>33</v>
      </c>
      <c r="F922" s="7" t="s">
        <v>176</v>
      </c>
      <c r="G922" s="7">
        <v>2</v>
      </c>
      <c r="H922" s="18">
        <v>4282.63</v>
      </c>
      <c r="I922" s="22">
        <v>0.2</v>
      </c>
      <c r="J922" s="18">
        <v>6852.21</v>
      </c>
      <c r="K922" s="18">
        <v>5703.55</v>
      </c>
      <c r="L922" s="18">
        <v>1148.6600000000001</v>
      </c>
      <c r="M922" s="7" t="s">
        <v>35</v>
      </c>
      <c r="N922" s="7" t="s">
        <v>43</v>
      </c>
      <c r="O922" s="7" t="s">
        <v>44</v>
      </c>
      <c r="P922" s="7" t="str">
        <f t="shared" si="42"/>
        <v>Nov</v>
      </c>
      <c r="Q922" s="7">
        <f t="shared" si="43"/>
        <v>2025</v>
      </c>
      <c r="R922" s="23">
        <f t="shared" si="44"/>
        <v>0.16763350802149965</v>
      </c>
    </row>
    <row r="923" spans="1:18">
      <c r="A923" s="7" t="s">
        <v>1685</v>
      </c>
      <c r="B923" s="8">
        <v>45905</v>
      </c>
      <c r="C923" s="7" t="s">
        <v>640</v>
      </c>
      <c r="D923" s="7" t="s">
        <v>52</v>
      </c>
      <c r="E923" s="7" t="s">
        <v>48</v>
      </c>
      <c r="F923" s="7" t="s">
        <v>70</v>
      </c>
      <c r="G923" s="7">
        <v>3</v>
      </c>
      <c r="H923" s="18">
        <v>4283.04</v>
      </c>
      <c r="I923" s="22">
        <v>0.1</v>
      </c>
      <c r="J923" s="18">
        <v>11564.21</v>
      </c>
      <c r="K923" s="18">
        <v>8069.71</v>
      </c>
      <c r="L923" s="18">
        <v>3494.5</v>
      </c>
      <c r="M923" s="7" t="s">
        <v>35</v>
      </c>
      <c r="N923" s="7" t="s">
        <v>43</v>
      </c>
      <c r="O923" s="7" t="s">
        <v>44</v>
      </c>
      <c r="P923" s="7" t="str">
        <f t="shared" si="42"/>
        <v>Sep</v>
      </c>
      <c r="Q923" s="7">
        <f t="shared" si="43"/>
        <v>2025</v>
      </c>
      <c r="R923" s="23">
        <f t="shared" si="44"/>
        <v>0.30218233670955474</v>
      </c>
    </row>
    <row r="924" spans="1:18">
      <c r="A924" s="7" t="s">
        <v>208</v>
      </c>
      <c r="B924" s="8">
        <v>46233</v>
      </c>
      <c r="C924" s="7" t="s">
        <v>209</v>
      </c>
      <c r="D924" s="7" t="s">
        <v>60</v>
      </c>
      <c r="E924" s="7" t="s">
        <v>33</v>
      </c>
      <c r="F924" s="7" t="s">
        <v>96</v>
      </c>
      <c r="G924" s="7">
        <v>1</v>
      </c>
      <c r="H924" s="18">
        <v>4283.9399999999996</v>
      </c>
      <c r="I924" s="22">
        <v>0.15</v>
      </c>
      <c r="J924" s="18">
        <v>3641.35</v>
      </c>
      <c r="K924" s="18">
        <v>2340.5</v>
      </c>
      <c r="L924" s="18">
        <v>1300.8499999999999</v>
      </c>
      <c r="M924" s="7" t="s">
        <v>35</v>
      </c>
      <c r="N924" s="7" t="s">
        <v>63</v>
      </c>
      <c r="O924" s="7" t="s">
        <v>37</v>
      </c>
      <c r="P924" s="7" t="str">
        <f t="shared" si="42"/>
        <v>Jul</v>
      </c>
      <c r="Q924" s="7">
        <f t="shared" si="43"/>
        <v>2026</v>
      </c>
      <c r="R924" s="23">
        <f t="shared" si="44"/>
        <v>0.35724387933046808</v>
      </c>
    </row>
    <row r="925" spans="1:18">
      <c r="A925" s="7" t="s">
        <v>1716</v>
      </c>
      <c r="B925" s="8">
        <v>46063</v>
      </c>
      <c r="C925" s="7" t="s">
        <v>734</v>
      </c>
      <c r="D925" s="7" t="s">
        <v>52</v>
      </c>
      <c r="E925" s="7" t="s">
        <v>61</v>
      </c>
      <c r="F925" s="7" t="s">
        <v>89</v>
      </c>
      <c r="G925" s="7">
        <v>2</v>
      </c>
      <c r="H925" s="18">
        <v>4304.55</v>
      </c>
      <c r="I925" s="22">
        <v>0.1</v>
      </c>
      <c r="J925" s="18">
        <v>7748.19</v>
      </c>
      <c r="K925" s="18">
        <v>5301.71</v>
      </c>
      <c r="L925" s="18">
        <v>2446.48</v>
      </c>
      <c r="M925" s="7" t="s">
        <v>57</v>
      </c>
      <c r="N925" s="7" t="s">
        <v>63</v>
      </c>
      <c r="O925" s="7" t="s">
        <v>44</v>
      </c>
      <c r="P925" s="7" t="str">
        <f t="shared" si="42"/>
        <v>Feb</v>
      </c>
      <c r="Q925" s="7">
        <f t="shared" si="43"/>
        <v>2026</v>
      </c>
      <c r="R925" s="23">
        <f t="shared" si="44"/>
        <v>0.31574858128156386</v>
      </c>
    </row>
    <row r="926" spans="1:18">
      <c r="A926" s="7" t="s">
        <v>578</v>
      </c>
      <c r="B926" s="8">
        <v>46035</v>
      </c>
      <c r="C926" s="7" t="s">
        <v>579</v>
      </c>
      <c r="D926" s="7" t="s">
        <v>95</v>
      </c>
      <c r="E926" s="7" t="s">
        <v>41</v>
      </c>
      <c r="F926" s="7" t="s">
        <v>119</v>
      </c>
      <c r="G926" s="7">
        <v>4</v>
      </c>
      <c r="H926" s="18">
        <v>4305.28</v>
      </c>
      <c r="I926" s="22">
        <v>0.15</v>
      </c>
      <c r="J926" s="18">
        <v>14637.95</v>
      </c>
      <c r="K926" s="18">
        <v>9801.25</v>
      </c>
      <c r="L926" s="18">
        <v>4836.7</v>
      </c>
      <c r="M926" s="7" t="s">
        <v>35</v>
      </c>
      <c r="N926" s="7" t="s">
        <v>43</v>
      </c>
      <c r="O926" s="7" t="s">
        <v>37</v>
      </c>
      <c r="P926" s="7" t="str">
        <f t="shared" si="42"/>
        <v>Jan</v>
      </c>
      <c r="Q926" s="7">
        <f t="shared" si="43"/>
        <v>2026</v>
      </c>
      <c r="R926" s="23">
        <f t="shared" si="44"/>
        <v>0.33042195116119399</v>
      </c>
    </row>
    <row r="927" spans="1:18">
      <c r="A927" s="7" t="s">
        <v>520</v>
      </c>
      <c r="B927" s="8">
        <v>45934</v>
      </c>
      <c r="C927" s="7" t="s">
        <v>521</v>
      </c>
      <c r="D927" s="7" t="s">
        <v>40</v>
      </c>
      <c r="E927" s="7" t="s">
        <v>41</v>
      </c>
      <c r="F927" s="7" t="s">
        <v>153</v>
      </c>
      <c r="G927" s="7">
        <v>4</v>
      </c>
      <c r="H927" s="18">
        <v>4306.05</v>
      </c>
      <c r="I927" s="22">
        <v>0.2</v>
      </c>
      <c r="J927" s="18">
        <v>13779.36</v>
      </c>
      <c r="K927" s="18">
        <v>7595.94</v>
      </c>
      <c r="L927" s="18">
        <v>6183.42</v>
      </c>
      <c r="M927" s="7" t="s">
        <v>57</v>
      </c>
      <c r="N927" s="7" t="s">
        <v>36</v>
      </c>
      <c r="O927" s="7" t="s">
        <v>44</v>
      </c>
      <c r="P927" s="7" t="str">
        <f t="shared" si="42"/>
        <v>Oct</v>
      </c>
      <c r="Q927" s="7">
        <f t="shared" si="43"/>
        <v>2025</v>
      </c>
      <c r="R927" s="23">
        <f t="shared" si="44"/>
        <v>0.44874507959731075</v>
      </c>
    </row>
    <row r="928" spans="1:18">
      <c r="A928" s="7" t="s">
        <v>1272</v>
      </c>
      <c r="B928" s="8">
        <v>46098</v>
      </c>
      <c r="C928" s="7" t="s">
        <v>193</v>
      </c>
      <c r="D928" s="7" t="s">
        <v>95</v>
      </c>
      <c r="E928" s="7" t="s">
        <v>33</v>
      </c>
      <c r="F928" s="7" t="s">
        <v>67</v>
      </c>
      <c r="G928" s="7">
        <v>4</v>
      </c>
      <c r="H928" s="18">
        <v>4306.96</v>
      </c>
      <c r="I928" s="22">
        <v>0.15</v>
      </c>
      <c r="J928" s="18">
        <v>14643.66</v>
      </c>
      <c r="K928" s="18">
        <v>10983.26</v>
      </c>
      <c r="L928" s="18">
        <v>3660.4</v>
      </c>
      <c r="M928" s="7" t="s">
        <v>57</v>
      </c>
      <c r="N928" s="7" t="s">
        <v>71</v>
      </c>
      <c r="O928" s="7" t="s">
        <v>37</v>
      </c>
      <c r="P928" s="7" t="str">
        <f t="shared" si="42"/>
        <v>Mar</v>
      </c>
      <c r="Q928" s="7">
        <f t="shared" si="43"/>
        <v>2026</v>
      </c>
      <c r="R928" s="23">
        <f t="shared" si="44"/>
        <v>0.24996483119657245</v>
      </c>
    </row>
    <row r="929" spans="1:18">
      <c r="A929" s="7" t="s">
        <v>1132</v>
      </c>
      <c r="B929" s="8">
        <v>45938</v>
      </c>
      <c r="C929" s="7" t="s">
        <v>152</v>
      </c>
      <c r="D929" s="7" t="s">
        <v>56</v>
      </c>
      <c r="E929" s="7" t="s">
        <v>33</v>
      </c>
      <c r="F929" s="7" t="s">
        <v>92</v>
      </c>
      <c r="G929" s="7">
        <v>1</v>
      </c>
      <c r="H929" s="18">
        <v>4310.47</v>
      </c>
      <c r="I929" s="22">
        <v>0.2</v>
      </c>
      <c r="J929" s="18">
        <v>3448.38</v>
      </c>
      <c r="K929" s="18">
        <v>2043.47</v>
      </c>
      <c r="L929" s="18">
        <v>1404.91</v>
      </c>
      <c r="M929" s="7" t="s">
        <v>57</v>
      </c>
      <c r="N929" s="7" t="s">
        <v>71</v>
      </c>
      <c r="O929" s="7" t="s">
        <v>44</v>
      </c>
      <c r="P929" s="7" t="str">
        <f t="shared" si="42"/>
        <v>Oct</v>
      </c>
      <c r="Q929" s="7">
        <f t="shared" si="43"/>
        <v>2025</v>
      </c>
      <c r="R929" s="23">
        <f t="shared" si="44"/>
        <v>0.40741159616979566</v>
      </c>
    </row>
    <row r="930" spans="1:18">
      <c r="A930" s="7" t="s">
        <v>765</v>
      </c>
      <c r="B930" s="8">
        <v>46245</v>
      </c>
      <c r="C930" s="7" t="s">
        <v>766</v>
      </c>
      <c r="D930" s="7" t="s">
        <v>47</v>
      </c>
      <c r="E930" s="7" t="s">
        <v>48</v>
      </c>
      <c r="F930" s="7" t="s">
        <v>49</v>
      </c>
      <c r="G930" s="7">
        <v>6</v>
      </c>
      <c r="H930" s="18">
        <v>4323.59</v>
      </c>
      <c r="I930" s="22">
        <v>0.1</v>
      </c>
      <c r="J930" s="18">
        <v>23347.39</v>
      </c>
      <c r="K930" s="18">
        <v>19017.59</v>
      </c>
      <c r="L930" s="18">
        <v>4329.8</v>
      </c>
      <c r="M930" s="7" t="s">
        <v>35</v>
      </c>
      <c r="N930" s="7" t="s">
        <v>43</v>
      </c>
      <c r="O930" s="7" t="s">
        <v>44</v>
      </c>
      <c r="P930" s="7" t="str">
        <f t="shared" si="42"/>
        <v>Aug</v>
      </c>
      <c r="Q930" s="7">
        <f t="shared" si="43"/>
        <v>2026</v>
      </c>
      <c r="R930" s="23">
        <f t="shared" si="44"/>
        <v>0.18545113607987876</v>
      </c>
    </row>
    <row r="931" spans="1:18">
      <c r="A931" s="7" t="s">
        <v>359</v>
      </c>
      <c r="B931" s="8">
        <v>46048</v>
      </c>
      <c r="C931" s="7" t="s">
        <v>360</v>
      </c>
      <c r="D931" s="7" t="s">
        <v>134</v>
      </c>
      <c r="E931" s="7" t="s">
        <v>61</v>
      </c>
      <c r="F931" s="7" t="s">
        <v>89</v>
      </c>
      <c r="G931" s="7">
        <v>3</v>
      </c>
      <c r="H931" s="18">
        <v>4325.7</v>
      </c>
      <c r="I931" s="22">
        <v>0.15</v>
      </c>
      <c r="J931" s="18">
        <v>11030.53</v>
      </c>
      <c r="K931" s="18">
        <v>8543.8799999999992</v>
      </c>
      <c r="L931" s="18">
        <v>2486.65</v>
      </c>
      <c r="M931" s="7" t="s">
        <v>35</v>
      </c>
      <c r="N931" s="7" t="s">
        <v>43</v>
      </c>
      <c r="O931" s="7" t="s">
        <v>44</v>
      </c>
      <c r="P931" s="7" t="str">
        <f t="shared" si="42"/>
        <v>Jan</v>
      </c>
      <c r="Q931" s="7">
        <f t="shared" si="43"/>
        <v>2026</v>
      </c>
      <c r="R931" s="23">
        <f t="shared" si="44"/>
        <v>0.22543341072459799</v>
      </c>
    </row>
    <row r="932" spans="1:18">
      <c r="A932" s="7" t="s">
        <v>351</v>
      </c>
      <c r="B932" s="8">
        <v>46150</v>
      </c>
      <c r="C932" s="7" t="s">
        <v>352</v>
      </c>
      <c r="D932" s="7" t="s">
        <v>47</v>
      </c>
      <c r="E932" s="7" t="s">
        <v>41</v>
      </c>
      <c r="F932" s="7" t="s">
        <v>119</v>
      </c>
      <c r="G932" s="7">
        <v>4</v>
      </c>
      <c r="H932" s="18">
        <v>4334.09</v>
      </c>
      <c r="I932" s="22">
        <v>0.15</v>
      </c>
      <c r="J932" s="18">
        <v>14735.91</v>
      </c>
      <c r="K932" s="18">
        <v>8338.9</v>
      </c>
      <c r="L932" s="18">
        <v>6397.01</v>
      </c>
      <c r="M932" s="7" t="s">
        <v>57</v>
      </c>
      <c r="N932" s="7" t="s">
        <v>43</v>
      </c>
      <c r="O932" s="7" t="s">
        <v>44</v>
      </c>
      <c r="P932" s="7" t="str">
        <f t="shared" si="42"/>
        <v>May</v>
      </c>
      <c r="Q932" s="7">
        <f t="shared" si="43"/>
        <v>2026</v>
      </c>
      <c r="R932" s="23">
        <f t="shared" si="44"/>
        <v>0.43411027890371212</v>
      </c>
    </row>
    <row r="933" spans="1:18">
      <c r="A933" s="7" t="s">
        <v>260</v>
      </c>
      <c r="B933" s="8">
        <v>46252</v>
      </c>
      <c r="C933" s="7" t="s">
        <v>261</v>
      </c>
      <c r="D933" s="7" t="s">
        <v>74</v>
      </c>
      <c r="E933" s="7" t="s">
        <v>61</v>
      </c>
      <c r="F933" s="7" t="s">
        <v>129</v>
      </c>
      <c r="G933" s="7">
        <v>1</v>
      </c>
      <c r="H933" s="18">
        <v>4337.92</v>
      </c>
      <c r="I933" s="22">
        <v>0.1</v>
      </c>
      <c r="J933" s="18">
        <v>3904.13</v>
      </c>
      <c r="K933" s="18">
        <v>2370.14</v>
      </c>
      <c r="L933" s="18">
        <v>1533.99</v>
      </c>
      <c r="M933" s="7" t="s">
        <v>57</v>
      </c>
      <c r="N933" s="7" t="s">
        <v>36</v>
      </c>
      <c r="O933" s="7" t="s">
        <v>37</v>
      </c>
      <c r="P933" s="7" t="str">
        <f t="shared" si="42"/>
        <v>Aug</v>
      </c>
      <c r="Q933" s="7">
        <f t="shared" si="43"/>
        <v>2026</v>
      </c>
      <c r="R933" s="23">
        <f t="shared" si="44"/>
        <v>0.39291468265657137</v>
      </c>
    </row>
    <row r="934" spans="1:18">
      <c r="A934" s="7" t="s">
        <v>576</v>
      </c>
      <c r="B934" s="8">
        <v>46043</v>
      </c>
      <c r="C934" s="7" t="s">
        <v>577</v>
      </c>
      <c r="D934" s="7" t="s">
        <v>47</v>
      </c>
      <c r="E934" s="7" t="s">
        <v>61</v>
      </c>
      <c r="F934" s="7" t="s">
        <v>62</v>
      </c>
      <c r="G934" s="7">
        <v>3</v>
      </c>
      <c r="H934" s="18">
        <v>4339.75</v>
      </c>
      <c r="I934" s="22">
        <v>0.05</v>
      </c>
      <c r="J934" s="18">
        <v>12368.29</v>
      </c>
      <c r="K934" s="18">
        <v>8678.2099999999991</v>
      </c>
      <c r="L934" s="18">
        <v>3690.08</v>
      </c>
      <c r="M934" s="7" t="s">
        <v>57</v>
      </c>
      <c r="N934" s="7" t="s">
        <v>36</v>
      </c>
      <c r="O934" s="7" t="s">
        <v>44</v>
      </c>
      <c r="P934" s="7" t="str">
        <f t="shared" si="42"/>
        <v>Jan</v>
      </c>
      <c r="Q934" s="7">
        <f t="shared" si="43"/>
        <v>2026</v>
      </c>
      <c r="R934" s="23">
        <f t="shared" si="44"/>
        <v>0.29835005485802807</v>
      </c>
    </row>
    <row r="935" spans="1:18">
      <c r="A935" s="7" t="s">
        <v>1208</v>
      </c>
      <c r="B935" s="8">
        <v>45901</v>
      </c>
      <c r="C935" s="7" t="s">
        <v>152</v>
      </c>
      <c r="D935" s="7" t="s">
        <v>66</v>
      </c>
      <c r="E935" s="7" t="s">
        <v>33</v>
      </c>
      <c r="F935" s="7" t="s">
        <v>176</v>
      </c>
      <c r="G935" s="7">
        <v>2</v>
      </c>
      <c r="H935" s="18">
        <v>4340.07</v>
      </c>
      <c r="I935" s="22">
        <v>0</v>
      </c>
      <c r="J935" s="18">
        <v>8680.14</v>
      </c>
      <c r="K935" s="18">
        <v>7377.85</v>
      </c>
      <c r="L935" s="18">
        <v>1302.29</v>
      </c>
      <c r="M935" s="7" t="s">
        <v>57</v>
      </c>
      <c r="N935" s="7" t="s">
        <v>71</v>
      </c>
      <c r="O935" s="7" t="s">
        <v>44</v>
      </c>
      <c r="P935" s="7" t="str">
        <f t="shared" si="42"/>
        <v>Sep</v>
      </c>
      <c r="Q935" s="7">
        <f t="shared" si="43"/>
        <v>2025</v>
      </c>
      <c r="R935" s="23">
        <f t="shared" si="44"/>
        <v>0.15003099028356687</v>
      </c>
    </row>
    <row r="936" spans="1:18">
      <c r="A936" s="7" t="s">
        <v>627</v>
      </c>
      <c r="B936" s="8">
        <v>46056</v>
      </c>
      <c r="C936" s="7" t="s">
        <v>628</v>
      </c>
      <c r="D936" s="7" t="s">
        <v>66</v>
      </c>
      <c r="E936" s="7" t="s">
        <v>33</v>
      </c>
      <c r="F936" s="7" t="s">
        <v>176</v>
      </c>
      <c r="G936" s="7">
        <v>5</v>
      </c>
      <c r="H936" s="18">
        <v>4340.9399999999996</v>
      </c>
      <c r="I936" s="22">
        <v>0.15</v>
      </c>
      <c r="J936" s="18">
        <v>18448.990000000002</v>
      </c>
      <c r="K936" s="18">
        <v>10890.19</v>
      </c>
      <c r="L936" s="18">
        <v>7558.8</v>
      </c>
      <c r="M936" s="7" t="s">
        <v>57</v>
      </c>
      <c r="N936" s="7" t="s">
        <v>63</v>
      </c>
      <c r="O936" s="7" t="s">
        <v>44</v>
      </c>
      <c r="P936" s="7" t="str">
        <f t="shared" si="42"/>
        <v>Feb</v>
      </c>
      <c r="Q936" s="7">
        <f t="shared" si="43"/>
        <v>2026</v>
      </c>
      <c r="R936" s="23">
        <f t="shared" si="44"/>
        <v>0.40971348567048926</v>
      </c>
    </row>
    <row r="937" spans="1:18">
      <c r="A937" s="7" t="s">
        <v>1003</v>
      </c>
      <c r="B937" s="8">
        <v>46217</v>
      </c>
      <c r="C937" s="7" t="s">
        <v>454</v>
      </c>
      <c r="D937" s="7" t="s">
        <v>56</v>
      </c>
      <c r="E937" s="7" t="s">
        <v>61</v>
      </c>
      <c r="F937" s="7" t="s">
        <v>129</v>
      </c>
      <c r="G937" s="7">
        <v>5</v>
      </c>
      <c r="H937" s="18">
        <v>4351.67</v>
      </c>
      <c r="I937" s="22">
        <v>0</v>
      </c>
      <c r="J937" s="18">
        <v>21758.35</v>
      </c>
      <c r="K937" s="18">
        <v>16760.04</v>
      </c>
      <c r="L937" s="18">
        <v>4998.3100000000004</v>
      </c>
      <c r="M937" s="7" t="s">
        <v>57</v>
      </c>
      <c r="N937" s="7" t="s">
        <v>43</v>
      </c>
      <c r="O937" s="7" t="s">
        <v>44</v>
      </c>
      <c r="P937" s="7" t="str">
        <f t="shared" si="42"/>
        <v>Jul</v>
      </c>
      <c r="Q937" s="7">
        <f t="shared" si="43"/>
        <v>2026</v>
      </c>
      <c r="R937" s="23">
        <f t="shared" si="44"/>
        <v>0.22971916528597069</v>
      </c>
    </row>
    <row r="938" spans="1:18">
      <c r="A938" s="7" t="s">
        <v>1276</v>
      </c>
      <c r="B938" s="8">
        <v>45670</v>
      </c>
      <c r="C938" s="7" t="s">
        <v>727</v>
      </c>
      <c r="D938" s="7" t="s">
        <v>56</v>
      </c>
      <c r="E938" s="7" t="s">
        <v>48</v>
      </c>
      <c r="F938" s="7" t="s">
        <v>99</v>
      </c>
      <c r="G938" s="7">
        <v>1</v>
      </c>
      <c r="H938" s="18">
        <v>4357.2299999999996</v>
      </c>
      <c r="I938" s="22">
        <v>0</v>
      </c>
      <c r="J938" s="18">
        <v>4357.2299999999996</v>
      </c>
      <c r="K938" s="18">
        <v>3654.09</v>
      </c>
      <c r="L938" s="18">
        <v>703.14</v>
      </c>
      <c r="M938" s="7" t="s">
        <v>57</v>
      </c>
      <c r="N938" s="7" t="s">
        <v>36</v>
      </c>
      <c r="O938" s="7" t="s">
        <v>44</v>
      </c>
      <c r="P938" s="7" t="str">
        <f t="shared" si="42"/>
        <v>Jan</v>
      </c>
      <c r="Q938" s="7">
        <f t="shared" si="43"/>
        <v>2025</v>
      </c>
      <c r="R938" s="23">
        <f t="shared" si="44"/>
        <v>0.16137316597930337</v>
      </c>
    </row>
    <row r="939" spans="1:18">
      <c r="A939" s="7" t="s">
        <v>1144</v>
      </c>
      <c r="B939" s="8">
        <v>45737</v>
      </c>
      <c r="C939" s="7" t="s">
        <v>243</v>
      </c>
      <c r="D939" s="7" t="s">
        <v>56</v>
      </c>
      <c r="E939" s="7" t="s">
        <v>48</v>
      </c>
      <c r="F939" s="7" t="s">
        <v>70</v>
      </c>
      <c r="G939" s="7">
        <v>4</v>
      </c>
      <c r="H939" s="18">
        <v>4362.01</v>
      </c>
      <c r="I939" s="22">
        <v>0.15</v>
      </c>
      <c r="J939" s="18">
        <v>14830.83</v>
      </c>
      <c r="K939" s="18">
        <v>10753.2</v>
      </c>
      <c r="L939" s="18">
        <v>4077.63</v>
      </c>
      <c r="M939" s="7" t="s">
        <v>57</v>
      </c>
      <c r="N939" s="7" t="s">
        <v>71</v>
      </c>
      <c r="O939" s="7" t="s">
        <v>44</v>
      </c>
      <c r="P939" s="7" t="str">
        <f t="shared" si="42"/>
        <v>Mar</v>
      </c>
      <c r="Q939" s="7">
        <f t="shared" si="43"/>
        <v>2025</v>
      </c>
      <c r="R939" s="23">
        <f t="shared" si="44"/>
        <v>0.27494280495427431</v>
      </c>
    </row>
    <row r="940" spans="1:18">
      <c r="A940" s="7" t="s">
        <v>856</v>
      </c>
      <c r="B940" s="8">
        <v>45749</v>
      </c>
      <c r="C940" s="7" t="s">
        <v>857</v>
      </c>
      <c r="D940" s="7" t="s">
        <v>60</v>
      </c>
      <c r="E940" s="7" t="s">
        <v>41</v>
      </c>
      <c r="F940" s="7" t="s">
        <v>119</v>
      </c>
      <c r="G940" s="7">
        <v>6</v>
      </c>
      <c r="H940" s="18">
        <v>4364.38</v>
      </c>
      <c r="I940" s="22">
        <v>0</v>
      </c>
      <c r="J940" s="18">
        <v>26186.28</v>
      </c>
      <c r="K940" s="18">
        <v>15649.26</v>
      </c>
      <c r="L940" s="18">
        <v>10537.02</v>
      </c>
      <c r="M940" s="7" t="s">
        <v>35</v>
      </c>
      <c r="N940" s="7" t="s">
        <v>36</v>
      </c>
      <c r="O940" s="7" t="s">
        <v>44</v>
      </c>
      <c r="P940" s="7" t="str">
        <f t="shared" si="42"/>
        <v>Apr</v>
      </c>
      <c r="Q940" s="7">
        <f t="shared" si="43"/>
        <v>2025</v>
      </c>
      <c r="R940" s="23">
        <f t="shared" si="44"/>
        <v>0.40238705153996679</v>
      </c>
    </row>
    <row r="941" spans="1:18">
      <c r="A941" s="7" t="s">
        <v>1641</v>
      </c>
      <c r="B941" s="8">
        <v>45826</v>
      </c>
      <c r="C941" s="7" t="s">
        <v>1195</v>
      </c>
      <c r="D941" s="7" t="s">
        <v>40</v>
      </c>
      <c r="E941" s="7" t="s">
        <v>61</v>
      </c>
      <c r="F941" s="7" t="s">
        <v>129</v>
      </c>
      <c r="G941" s="7">
        <v>2</v>
      </c>
      <c r="H941" s="18">
        <v>4374.79</v>
      </c>
      <c r="I941" s="22">
        <v>0</v>
      </c>
      <c r="J941" s="18">
        <v>8749.58</v>
      </c>
      <c r="K941" s="18">
        <v>5903.83</v>
      </c>
      <c r="L941" s="18">
        <v>2845.75</v>
      </c>
      <c r="M941" s="7" t="s">
        <v>35</v>
      </c>
      <c r="N941" s="7" t="s">
        <v>43</v>
      </c>
      <c r="O941" s="7" t="s">
        <v>44</v>
      </c>
      <c r="P941" s="7" t="str">
        <f t="shared" si="42"/>
        <v>Jun</v>
      </c>
      <c r="Q941" s="7">
        <f t="shared" si="43"/>
        <v>2025</v>
      </c>
      <c r="R941" s="23">
        <f t="shared" si="44"/>
        <v>0.3252441831493626</v>
      </c>
    </row>
    <row r="942" spans="1:18">
      <c r="A942" s="7" t="s">
        <v>1343</v>
      </c>
      <c r="B942" s="8">
        <v>45954</v>
      </c>
      <c r="C942" s="7" t="s">
        <v>228</v>
      </c>
      <c r="D942" s="7" t="s">
        <v>60</v>
      </c>
      <c r="E942" s="7" t="s">
        <v>48</v>
      </c>
      <c r="F942" s="7" t="s">
        <v>102</v>
      </c>
      <c r="G942" s="7">
        <v>2</v>
      </c>
      <c r="H942" s="18">
        <v>4381.57</v>
      </c>
      <c r="I942" s="22">
        <v>0.05</v>
      </c>
      <c r="J942" s="18">
        <v>8324.98</v>
      </c>
      <c r="K942" s="18">
        <v>5435.36</v>
      </c>
      <c r="L942" s="18">
        <v>2889.62</v>
      </c>
      <c r="M942" s="7" t="s">
        <v>35</v>
      </c>
      <c r="N942" s="7" t="s">
        <v>36</v>
      </c>
      <c r="O942" s="7" t="s">
        <v>44</v>
      </c>
      <c r="P942" s="7" t="str">
        <f t="shared" si="42"/>
        <v>Oct</v>
      </c>
      <c r="Q942" s="7">
        <f t="shared" si="43"/>
        <v>2025</v>
      </c>
      <c r="R942" s="23">
        <f t="shared" si="44"/>
        <v>0.34710233538098589</v>
      </c>
    </row>
    <row r="943" spans="1:18">
      <c r="A943" s="7" t="s">
        <v>1186</v>
      </c>
      <c r="B943" s="8">
        <v>46135</v>
      </c>
      <c r="C943" s="7" t="s">
        <v>1187</v>
      </c>
      <c r="D943" s="7" t="s">
        <v>47</v>
      </c>
      <c r="E943" s="7" t="s">
        <v>41</v>
      </c>
      <c r="F943" s="7" t="s">
        <v>42</v>
      </c>
      <c r="G943" s="7">
        <v>3</v>
      </c>
      <c r="H943" s="18">
        <v>4382.97</v>
      </c>
      <c r="I943" s="22">
        <v>0</v>
      </c>
      <c r="J943" s="18">
        <v>13148.91</v>
      </c>
      <c r="K943" s="18">
        <v>7866.77</v>
      </c>
      <c r="L943" s="18">
        <v>5282.14</v>
      </c>
      <c r="M943" s="7" t="s">
        <v>57</v>
      </c>
      <c r="N943" s="7" t="s">
        <v>36</v>
      </c>
      <c r="O943" s="7" t="s">
        <v>44</v>
      </c>
      <c r="P943" s="7" t="str">
        <f t="shared" si="42"/>
        <v>Apr</v>
      </c>
      <c r="Q943" s="7">
        <f t="shared" si="43"/>
        <v>2026</v>
      </c>
      <c r="R943" s="23">
        <f t="shared" si="44"/>
        <v>0.40171694840104621</v>
      </c>
    </row>
    <row r="944" spans="1:18">
      <c r="A944" s="7" t="s">
        <v>942</v>
      </c>
      <c r="B944" s="8">
        <v>45837</v>
      </c>
      <c r="C944" s="7" t="s">
        <v>943</v>
      </c>
      <c r="D944" s="7" t="s">
        <v>52</v>
      </c>
      <c r="E944" s="7" t="s">
        <v>48</v>
      </c>
      <c r="F944" s="7" t="s">
        <v>113</v>
      </c>
      <c r="G944" s="7">
        <v>3</v>
      </c>
      <c r="H944" s="18">
        <v>4386.79</v>
      </c>
      <c r="I944" s="22">
        <v>0.05</v>
      </c>
      <c r="J944" s="18">
        <v>12502.35</v>
      </c>
      <c r="K944" s="18">
        <v>9913.8700000000008</v>
      </c>
      <c r="L944" s="18">
        <v>2588.48</v>
      </c>
      <c r="M944" s="7" t="s">
        <v>57</v>
      </c>
      <c r="N944" s="7" t="s">
        <v>63</v>
      </c>
      <c r="O944" s="7" t="s">
        <v>37</v>
      </c>
      <c r="P944" s="7" t="str">
        <f t="shared" si="42"/>
        <v>Jun</v>
      </c>
      <c r="Q944" s="7">
        <f t="shared" si="43"/>
        <v>2025</v>
      </c>
      <c r="R944" s="23">
        <f t="shared" si="44"/>
        <v>0.20703947657840324</v>
      </c>
    </row>
    <row r="945" spans="1:18">
      <c r="A945" s="7" t="s">
        <v>1477</v>
      </c>
      <c r="B945" s="8">
        <v>45840</v>
      </c>
      <c r="C945" s="7" t="s">
        <v>1478</v>
      </c>
      <c r="D945" s="7" t="s">
        <v>32</v>
      </c>
      <c r="E945" s="7" t="s">
        <v>48</v>
      </c>
      <c r="F945" s="7" t="s">
        <v>113</v>
      </c>
      <c r="G945" s="7">
        <v>1</v>
      </c>
      <c r="H945" s="18">
        <v>4399.71</v>
      </c>
      <c r="I945" s="22">
        <v>0.2</v>
      </c>
      <c r="J945" s="18">
        <v>3519.77</v>
      </c>
      <c r="K945" s="18">
        <v>2788.48</v>
      </c>
      <c r="L945" s="18">
        <v>731.29</v>
      </c>
      <c r="M945" s="7" t="s">
        <v>57</v>
      </c>
      <c r="N945" s="7" t="s">
        <v>36</v>
      </c>
      <c r="O945" s="7" t="s">
        <v>44</v>
      </c>
      <c r="P945" s="7" t="str">
        <f t="shared" si="42"/>
        <v>Jul</v>
      </c>
      <c r="Q945" s="7">
        <f t="shared" si="43"/>
        <v>2025</v>
      </c>
      <c r="R945" s="23">
        <f t="shared" si="44"/>
        <v>0.20776641655562719</v>
      </c>
    </row>
    <row r="946" spans="1:18">
      <c r="A946" s="7" t="s">
        <v>699</v>
      </c>
      <c r="B946" s="8">
        <v>46167</v>
      </c>
      <c r="C946" s="7" t="s">
        <v>634</v>
      </c>
      <c r="D946" s="7" t="s">
        <v>47</v>
      </c>
      <c r="E946" s="7" t="s">
        <v>33</v>
      </c>
      <c r="F946" s="7" t="s">
        <v>92</v>
      </c>
      <c r="G946" s="7">
        <v>3</v>
      </c>
      <c r="H946" s="18">
        <v>4401.7299999999996</v>
      </c>
      <c r="I946" s="22">
        <v>0.2</v>
      </c>
      <c r="J946" s="18">
        <v>10564.15</v>
      </c>
      <c r="K946" s="18">
        <v>8027.54</v>
      </c>
      <c r="L946" s="18">
        <v>2536.61</v>
      </c>
      <c r="M946" s="7" t="s">
        <v>57</v>
      </c>
      <c r="N946" s="7" t="s">
        <v>63</v>
      </c>
      <c r="O946" s="7" t="s">
        <v>44</v>
      </c>
      <c r="P946" s="7" t="str">
        <f t="shared" si="42"/>
        <v>May</v>
      </c>
      <c r="Q946" s="7">
        <f t="shared" si="43"/>
        <v>2026</v>
      </c>
      <c r="R946" s="23">
        <f t="shared" si="44"/>
        <v>0.24011491695971757</v>
      </c>
    </row>
    <row r="947" spans="1:18">
      <c r="A947" s="7" t="s">
        <v>196</v>
      </c>
      <c r="B947" s="8">
        <v>46237</v>
      </c>
      <c r="C947" s="7" t="s">
        <v>197</v>
      </c>
      <c r="D947" s="7" t="s">
        <v>56</v>
      </c>
      <c r="E947" s="7" t="s">
        <v>48</v>
      </c>
      <c r="F947" s="7" t="s">
        <v>113</v>
      </c>
      <c r="G947" s="7">
        <v>2</v>
      </c>
      <c r="H947" s="18">
        <v>4405.7299999999996</v>
      </c>
      <c r="I947" s="22">
        <v>0.05</v>
      </c>
      <c r="J947" s="18">
        <v>8370.89</v>
      </c>
      <c r="K947" s="18">
        <v>5509.85</v>
      </c>
      <c r="L947" s="18">
        <v>2861.04</v>
      </c>
      <c r="M947" s="7" t="s">
        <v>35</v>
      </c>
      <c r="N947" s="7" t="s">
        <v>63</v>
      </c>
      <c r="O947" s="7" t="s">
        <v>37</v>
      </c>
      <c r="P947" s="7" t="str">
        <f t="shared" si="42"/>
        <v>Aug</v>
      </c>
      <c r="Q947" s="7">
        <f t="shared" si="43"/>
        <v>2026</v>
      </c>
      <c r="R947" s="23">
        <f t="shared" si="44"/>
        <v>0.34178444585940088</v>
      </c>
    </row>
    <row r="948" spans="1:18">
      <c r="A948" s="7" t="s">
        <v>516</v>
      </c>
      <c r="B948" s="8">
        <v>46255</v>
      </c>
      <c r="C948" s="7" t="s">
        <v>517</v>
      </c>
      <c r="D948" s="7" t="s">
        <v>40</v>
      </c>
      <c r="E948" s="7" t="s">
        <v>41</v>
      </c>
      <c r="F948" s="7" t="s">
        <v>153</v>
      </c>
      <c r="G948" s="7">
        <v>1</v>
      </c>
      <c r="H948" s="18">
        <v>4406.42</v>
      </c>
      <c r="I948" s="22">
        <v>0.1</v>
      </c>
      <c r="J948" s="18">
        <v>3965.78</v>
      </c>
      <c r="K948" s="18">
        <v>2286.77</v>
      </c>
      <c r="L948" s="18">
        <v>1679.01</v>
      </c>
      <c r="M948" s="7" t="s">
        <v>35</v>
      </c>
      <c r="N948" s="7" t="s">
        <v>63</v>
      </c>
      <c r="O948" s="7" t="s">
        <v>44</v>
      </c>
      <c r="P948" s="7" t="str">
        <f t="shared" si="42"/>
        <v>Aug</v>
      </c>
      <c r="Q948" s="7">
        <f t="shared" si="43"/>
        <v>2026</v>
      </c>
      <c r="R948" s="23">
        <f t="shared" si="44"/>
        <v>0.42337446857869065</v>
      </c>
    </row>
    <row r="949" spans="1:18">
      <c r="A949" s="7" t="s">
        <v>1668</v>
      </c>
      <c r="B949" s="8">
        <v>45965</v>
      </c>
      <c r="C949" s="7" t="s">
        <v>230</v>
      </c>
      <c r="D949" s="7" t="s">
        <v>52</v>
      </c>
      <c r="E949" s="7" t="s">
        <v>48</v>
      </c>
      <c r="F949" s="7" t="s">
        <v>99</v>
      </c>
      <c r="G949" s="7">
        <v>6</v>
      </c>
      <c r="H949" s="18">
        <v>4409.8</v>
      </c>
      <c r="I949" s="22">
        <v>0.05</v>
      </c>
      <c r="J949" s="18">
        <v>25135.86</v>
      </c>
      <c r="K949" s="18">
        <v>17334.150000000001</v>
      </c>
      <c r="L949" s="18">
        <v>7801.71</v>
      </c>
      <c r="M949" s="7" t="s">
        <v>57</v>
      </c>
      <c r="N949" s="7" t="s">
        <v>63</v>
      </c>
      <c r="O949" s="7" t="s">
        <v>44</v>
      </c>
      <c r="P949" s="7" t="str">
        <f t="shared" si="42"/>
        <v>Nov</v>
      </c>
      <c r="Q949" s="7">
        <f t="shared" si="43"/>
        <v>2025</v>
      </c>
      <c r="R949" s="23">
        <f t="shared" si="44"/>
        <v>0.31038166189658917</v>
      </c>
    </row>
    <row r="950" spans="1:18">
      <c r="A950" s="7" t="s">
        <v>1462</v>
      </c>
      <c r="B950" s="8">
        <v>46003</v>
      </c>
      <c r="C950" s="7" t="s">
        <v>420</v>
      </c>
      <c r="D950" s="7" t="s">
        <v>40</v>
      </c>
      <c r="E950" s="7" t="s">
        <v>41</v>
      </c>
      <c r="F950" s="7" t="s">
        <v>42</v>
      </c>
      <c r="G950" s="7">
        <v>4</v>
      </c>
      <c r="H950" s="18">
        <v>4420.97</v>
      </c>
      <c r="I950" s="22">
        <v>0.1</v>
      </c>
      <c r="J950" s="18">
        <v>15915.49</v>
      </c>
      <c r="K950" s="18">
        <v>12229.34</v>
      </c>
      <c r="L950" s="18">
        <v>3686.15</v>
      </c>
      <c r="M950" s="7" t="s">
        <v>35</v>
      </c>
      <c r="N950" s="7" t="s">
        <v>71</v>
      </c>
      <c r="O950" s="7" t="s">
        <v>37</v>
      </c>
      <c r="P950" s="7" t="str">
        <f t="shared" si="42"/>
        <v>Dec</v>
      </c>
      <c r="Q950" s="7">
        <f t="shared" si="43"/>
        <v>2025</v>
      </c>
      <c r="R950" s="23">
        <f t="shared" si="44"/>
        <v>0.2316076979093952</v>
      </c>
    </row>
    <row r="951" spans="1:18">
      <c r="A951" s="7" t="s">
        <v>742</v>
      </c>
      <c r="B951" s="8">
        <v>46225</v>
      </c>
      <c r="C951" s="7" t="s">
        <v>743</v>
      </c>
      <c r="D951" s="7" t="s">
        <v>95</v>
      </c>
      <c r="E951" s="7" t="s">
        <v>61</v>
      </c>
      <c r="F951" s="7" t="s">
        <v>84</v>
      </c>
      <c r="G951" s="7">
        <v>4</v>
      </c>
      <c r="H951" s="18">
        <v>4423</v>
      </c>
      <c r="I951" s="22">
        <v>0</v>
      </c>
      <c r="J951" s="18">
        <v>17692</v>
      </c>
      <c r="K951" s="18">
        <v>12522.01</v>
      </c>
      <c r="L951" s="18">
        <v>5169.99</v>
      </c>
      <c r="M951" s="7" t="s">
        <v>35</v>
      </c>
      <c r="N951" s="7" t="s">
        <v>71</v>
      </c>
      <c r="O951" s="7" t="s">
        <v>37</v>
      </c>
      <c r="P951" s="7" t="str">
        <f t="shared" si="42"/>
        <v>Jul</v>
      </c>
      <c r="Q951" s="7">
        <f t="shared" si="43"/>
        <v>2026</v>
      </c>
      <c r="R951" s="23">
        <f t="shared" si="44"/>
        <v>0.29222190820709926</v>
      </c>
    </row>
    <row r="952" spans="1:18">
      <c r="A952" s="7" t="s">
        <v>343</v>
      </c>
      <c r="B952" s="8">
        <v>46187</v>
      </c>
      <c r="C952" s="7" t="s">
        <v>344</v>
      </c>
      <c r="D952" s="7" t="s">
        <v>52</v>
      </c>
      <c r="E952" s="7" t="s">
        <v>61</v>
      </c>
      <c r="F952" s="7" t="s">
        <v>84</v>
      </c>
      <c r="G952" s="7">
        <v>2</v>
      </c>
      <c r="H952" s="18">
        <v>4424.87</v>
      </c>
      <c r="I952" s="22">
        <v>0.15</v>
      </c>
      <c r="J952" s="18">
        <v>7522.28</v>
      </c>
      <c r="K952" s="18">
        <v>4536.16</v>
      </c>
      <c r="L952" s="18">
        <v>2986.12</v>
      </c>
      <c r="M952" s="7" t="s">
        <v>35</v>
      </c>
      <c r="N952" s="7" t="s">
        <v>71</v>
      </c>
      <c r="O952" s="7" t="s">
        <v>37</v>
      </c>
      <c r="P952" s="7" t="str">
        <f t="shared" si="42"/>
        <v>Jun</v>
      </c>
      <c r="Q952" s="7">
        <f t="shared" si="43"/>
        <v>2026</v>
      </c>
      <c r="R952" s="23">
        <f t="shared" si="44"/>
        <v>0.39697006758589148</v>
      </c>
    </row>
    <row r="953" spans="1:18">
      <c r="A953" s="7" t="s">
        <v>1070</v>
      </c>
      <c r="B953" s="8">
        <v>45722</v>
      </c>
      <c r="C953" s="7" t="s">
        <v>1071</v>
      </c>
      <c r="D953" s="7" t="s">
        <v>95</v>
      </c>
      <c r="E953" s="7" t="s">
        <v>33</v>
      </c>
      <c r="F953" s="7" t="s">
        <v>176</v>
      </c>
      <c r="G953" s="7">
        <v>5</v>
      </c>
      <c r="H953" s="18">
        <v>4427.9399999999996</v>
      </c>
      <c r="I953" s="22">
        <v>0</v>
      </c>
      <c r="J953" s="18">
        <v>22139.7</v>
      </c>
      <c r="K953" s="18">
        <v>13764.45</v>
      </c>
      <c r="L953" s="18">
        <v>8375.25</v>
      </c>
      <c r="M953" s="7" t="s">
        <v>57</v>
      </c>
      <c r="N953" s="7" t="s">
        <v>36</v>
      </c>
      <c r="O953" s="7" t="s">
        <v>44</v>
      </c>
      <c r="P953" s="7" t="str">
        <f t="shared" si="42"/>
        <v>Mar</v>
      </c>
      <c r="Q953" s="7">
        <f t="shared" si="43"/>
        <v>2025</v>
      </c>
      <c r="R953" s="23">
        <f t="shared" si="44"/>
        <v>0.37829103375384487</v>
      </c>
    </row>
    <row r="954" spans="1:18">
      <c r="A954" s="7" t="s">
        <v>1640</v>
      </c>
      <c r="B954" s="8">
        <v>46059</v>
      </c>
      <c r="C954" s="7" t="s">
        <v>133</v>
      </c>
      <c r="D954" s="7" t="s">
        <v>74</v>
      </c>
      <c r="E954" s="7" t="s">
        <v>48</v>
      </c>
      <c r="F954" s="7" t="s">
        <v>70</v>
      </c>
      <c r="G954" s="7">
        <v>3</v>
      </c>
      <c r="H954" s="18">
        <v>4428.32</v>
      </c>
      <c r="I954" s="22">
        <v>0</v>
      </c>
      <c r="J954" s="18">
        <v>13284.96</v>
      </c>
      <c r="K954" s="18">
        <v>11120.55</v>
      </c>
      <c r="L954" s="18">
        <v>2164.41</v>
      </c>
      <c r="M954" s="7" t="s">
        <v>57</v>
      </c>
      <c r="N954" s="7" t="s">
        <v>71</v>
      </c>
      <c r="O954" s="7" t="s">
        <v>44</v>
      </c>
      <c r="P954" s="7" t="str">
        <f t="shared" si="42"/>
        <v>Feb</v>
      </c>
      <c r="Q954" s="7">
        <f t="shared" si="43"/>
        <v>2026</v>
      </c>
      <c r="R954" s="23">
        <f t="shared" si="44"/>
        <v>0.16292183040069372</v>
      </c>
    </row>
    <row r="955" spans="1:18">
      <c r="A955" s="7" t="s">
        <v>417</v>
      </c>
      <c r="B955" s="8">
        <v>45714</v>
      </c>
      <c r="C955" s="7" t="s">
        <v>418</v>
      </c>
      <c r="D955" s="7" t="s">
        <v>52</v>
      </c>
      <c r="E955" s="7" t="s">
        <v>48</v>
      </c>
      <c r="F955" s="7" t="s">
        <v>99</v>
      </c>
      <c r="G955" s="7">
        <v>3</v>
      </c>
      <c r="H955" s="18">
        <v>4444.45</v>
      </c>
      <c r="I955" s="22">
        <v>0.2</v>
      </c>
      <c r="J955" s="18">
        <v>10666.68</v>
      </c>
      <c r="K955" s="18">
        <v>8491.14</v>
      </c>
      <c r="L955" s="18">
        <v>2175.54</v>
      </c>
      <c r="M955" s="7" t="s">
        <v>57</v>
      </c>
      <c r="N955" s="7" t="s">
        <v>63</v>
      </c>
      <c r="O955" s="7" t="s">
        <v>44</v>
      </c>
      <c r="P955" s="7" t="str">
        <f t="shared" si="42"/>
        <v>Feb</v>
      </c>
      <c r="Q955" s="7">
        <f t="shared" si="43"/>
        <v>2025</v>
      </c>
      <c r="R955" s="23">
        <f t="shared" si="44"/>
        <v>0.20395662005422494</v>
      </c>
    </row>
    <row r="956" spans="1:18">
      <c r="A956" s="7" t="s">
        <v>1613</v>
      </c>
      <c r="B956" s="8">
        <v>45878</v>
      </c>
      <c r="C956" s="7" t="s">
        <v>561</v>
      </c>
      <c r="D956" s="7" t="s">
        <v>95</v>
      </c>
      <c r="E956" s="7" t="s">
        <v>48</v>
      </c>
      <c r="F956" s="7" t="s">
        <v>113</v>
      </c>
      <c r="G956" s="7">
        <v>5</v>
      </c>
      <c r="H956" s="18">
        <v>4448.4799999999996</v>
      </c>
      <c r="I956" s="22">
        <v>0.2</v>
      </c>
      <c r="J956" s="18">
        <v>17793.919999999998</v>
      </c>
      <c r="K956" s="18">
        <v>14452.32</v>
      </c>
      <c r="L956" s="18">
        <v>3341.6</v>
      </c>
      <c r="M956" s="7" t="s">
        <v>57</v>
      </c>
      <c r="N956" s="7" t="s">
        <v>63</v>
      </c>
      <c r="O956" s="7" t="s">
        <v>44</v>
      </c>
      <c r="P956" s="7" t="str">
        <f t="shared" si="42"/>
        <v>Aug</v>
      </c>
      <c r="Q956" s="7">
        <f t="shared" si="43"/>
        <v>2025</v>
      </c>
      <c r="R956" s="23">
        <f t="shared" si="44"/>
        <v>0.18779448260979031</v>
      </c>
    </row>
    <row r="957" spans="1:18">
      <c r="A957" s="7" t="s">
        <v>1597</v>
      </c>
      <c r="B957" s="8">
        <v>46168</v>
      </c>
      <c r="C957" s="7" t="s">
        <v>613</v>
      </c>
      <c r="D957" s="7" t="s">
        <v>52</v>
      </c>
      <c r="E957" s="7" t="s">
        <v>33</v>
      </c>
      <c r="F957" s="7" t="s">
        <v>92</v>
      </c>
      <c r="G957" s="7">
        <v>3</v>
      </c>
      <c r="H957" s="18">
        <v>4449.3100000000004</v>
      </c>
      <c r="I957" s="22">
        <v>0.15</v>
      </c>
      <c r="J957" s="18">
        <v>11345.74</v>
      </c>
      <c r="K957" s="18">
        <v>8582.7900000000009</v>
      </c>
      <c r="L957" s="18">
        <v>2762.95</v>
      </c>
      <c r="M957" s="7" t="s">
        <v>57</v>
      </c>
      <c r="N957" s="7" t="s">
        <v>36</v>
      </c>
      <c r="O957" s="7" t="s">
        <v>37</v>
      </c>
      <c r="P957" s="7" t="str">
        <f t="shared" si="42"/>
        <v>May</v>
      </c>
      <c r="Q957" s="7">
        <f t="shared" si="43"/>
        <v>2026</v>
      </c>
      <c r="R957" s="23">
        <f t="shared" si="44"/>
        <v>0.24352311969073853</v>
      </c>
    </row>
    <row r="958" spans="1:18">
      <c r="A958" s="7" t="s">
        <v>1206</v>
      </c>
      <c r="B958" s="8">
        <v>46097</v>
      </c>
      <c r="C958" s="7" t="s">
        <v>273</v>
      </c>
      <c r="D958" s="7" t="s">
        <v>56</v>
      </c>
      <c r="E958" s="7" t="s">
        <v>33</v>
      </c>
      <c r="F958" s="7" t="s">
        <v>176</v>
      </c>
      <c r="G958" s="7">
        <v>6</v>
      </c>
      <c r="H958" s="18">
        <v>4461.6899999999996</v>
      </c>
      <c r="I958" s="22">
        <v>0</v>
      </c>
      <c r="J958" s="18">
        <v>26770.14</v>
      </c>
      <c r="K958" s="18">
        <v>21012.9</v>
      </c>
      <c r="L958" s="18">
        <v>5757.24</v>
      </c>
      <c r="M958" s="7" t="s">
        <v>35</v>
      </c>
      <c r="N958" s="7" t="s">
        <v>36</v>
      </c>
      <c r="O958" s="7" t="s">
        <v>37</v>
      </c>
      <c r="P958" s="7" t="str">
        <f t="shared" si="42"/>
        <v>Mar</v>
      </c>
      <c r="Q958" s="7">
        <f t="shared" si="43"/>
        <v>2026</v>
      </c>
      <c r="R958" s="23">
        <f t="shared" si="44"/>
        <v>0.21506200565256661</v>
      </c>
    </row>
    <row r="959" spans="1:18">
      <c r="A959" s="7" t="s">
        <v>1567</v>
      </c>
      <c r="B959" s="8">
        <v>46071</v>
      </c>
      <c r="C959" s="7" t="s">
        <v>477</v>
      </c>
      <c r="D959" s="7" t="s">
        <v>32</v>
      </c>
      <c r="E959" s="7" t="s">
        <v>61</v>
      </c>
      <c r="F959" s="7" t="s">
        <v>129</v>
      </c>
      <c r="G959" s="7">
        <v>2</v>
      </c>
      <c r="H959" s="18">
        <v>4462.6499999999996</v>
      </c>
      <c r="I959" s="22">
        <v>0</v>
      </c>
      <c r="J959" s="18">
        <v>8925.2999999999993</v>
      </c>
      <c r="K959" s="18">
        <v>5757.22</v>
      </c>
      <c r="L959" s="18">
        <v>3168.08</v>
      </c>
      <c r="M959" s="7" t="s">
        <v>57</v>
      </c>
      <c r="N959" s="7" t="s">
        <v>63</v>
      </c>
      <c r="O959" s="7" t="s">
        <v>44</v>
      </c>
      <c r="P959" s="7" t="str">
        <f t="shared" si="42"/>
        <v>Feb</v>
      </c>
      <c r="Q959" s="7">
        <f t="shared" si="43"/>
        <v>2026</v>
      </c>
      <c r="R959" s="23">
        <f t="shared" si="44"/>
        <v>0.35495501551768571</v>
      </c>
    </row>
    <row r="960" spans="1:18">
      <c r="A960" s="7" t="s">
        <v>388</v>
      </c>
      <c r="B960" s="8">
        <v>46041</v>
      </c>
      <c r="C960" s="7" t="s">
        <v>389</v>
      </c>
      <c r="D960" s="7" t="s">
        <v>66</v>
      </c>
      <c r="E960" s="7" t="s">
        <v>48</v>
      </c>
      <c r="F960" s="7" t="s">
        <v>49</v>
      </c>
      <c r="G960" s="7">
        <v>3</v>
      </c>
      <c r="H960" s="18">
        <v>4466.71</v>
      </c>
      <c r="I960" s="22">
        <v>0.2</v>
      </c>
      <c r="J960" s="18">
        <v>10720.1</v>
      </c>
      <c r="K960" s="18">
        <v>6539.35</v>
      </c>
      <c r="L960" s="18">
        <v>4180.75</v>
      </c>
      <c r="M960" s="7" t="s">
        <v>35</v>
      </c>
      <c r="N960" s="7" t="s">
        <v>43</v>
      </c>
      <c r="O960" s="7" t="s">
        <v>37</v>
      </c>
      <c r="P960" s="7" t="str">
        <f t="shared" si="42"/>
        <v>Jan</v>
      </c>
      <c r="Q960" s="7">
        <f t="shared" si="43"/>
        <v>2026</v>
      </c>
      <c r="R960" s="23">
        <f t="shared" si="44"/>
        <v>0.38999169783863957</v>
      </c>
    </row>
    <row r="961" spans="1:18">
      <c r="A961" s="7" t="s">
        <v>1700</v>
      </c>
      <c r="B961" s="8">
        <v>45821</v>
      </c>
      <c r="C961" s="7" t="s">
        <v>1701</v>
      </c>
      <c r="D961" s="7" t="s">
        <v>60</v>
      </c>
      <c r="E961" s="7" t="s">
        <v>33</v>
      </c>
      <c r="F961" s="7" t="s">
        <v>176</v>
      </c>
      <c r="G961" s="7">
        <v>1</v>
      </c>
      <c r="H961" s="18">
        <v>4467.75</v>
      </c>
      <c r="I961" s="22">
        <v>0.2</v>
      </c>
      <c r="J961" s="18">
        <v>3574.2</v>
      </c>
      <c r="K961" s="18">
        <v>2517.8000000000002</v>
      </c>
      <c r="L961" s="18">
        <v>1056.4000000000001</v>
      </c>
      <c r="M961" s="7" t="s">
        <v>35</v>
      </c>
      <c r="N961" s="7" t="s">
        <v>63</v>
      </c>
      <c r="O961" s="7" t="s">
        <v>44</v>
      </c>
      <c r="P961" s="7" t="str">
        <f t="shared" si="42"/>
        <v>Jun</v>
      </c>
      <c r="Q961" s="7">
        <f t="shared" si="43"/>
        <v>2025</v>
      </c>
      <c r="R961" s="23">
        <f t="shared" si="44"/>
        <v>0.29556264338873039</v>
      </c>
    </row>
    <row r="962" spans="1:18">
      <c r="A962" s="7" t="s">
        <v>280</v>
      </c>
      <c r="B962" s="8">
        <v>45853</v>
      </c>
      <c r="C962" s="7" t="s">
        <v>281</v>
      </c>
      <c r="D962" s="7" t="s">
        <v>47</v>
      </c>
      <c r="E962" s="7" t="s">
        <v>41</v>
      </c>
      <c r="F962" s="7" t="s">
        <v>124</v>
      </c>
      <c r="G962" s="7">
        <v>6</v>
      </c>
      <c r="H962" s="18">
        <v>4482.5200000000004</v>
      </c>
      <c r="I962" s="22">
        <v>0.15</v>
      </c>
      <c r="J962" s="18">
        <v>22860.85</v>
      </c>
      <c r="K962" s="18">
        <v>17298.02</v>
      </c>
      <c r="L962" s="18">
        <v>5562.83</v>
      </c>
      <c r="M962" s="7" t="s">
        <v>35</v>
      </c>
      <c r="N962" s="7" t="s">
        <v>36</v>
      </c>
      <c r="O962" s="7" t="s">
        <v>44</v>
      </c>
      <c r="P962" s="7" t="str">
        <f t="shared" ref="P962:P1025" si="45">TEXT(B962,"mmm")</f>
        <v>Jul</v>
      </c>
      <c r="Q962" s="7">
        <f t="shared" ref="Q962:Q1025" si="46">YEAR(B962)</f>
        <v>2025</v>
      </c>
      <c r="R962" s="23">
        <f t="shared" ref="R962:R1025" si="47">IFERROR(L962/J962,0)</f>
        <v>0.24333434671064288</v>
      </c>
    </row>
    <row r="963" spans="1:18">
      <c r="A963" s="7" t="s">
        <v>546</v>
      </c>
      <c r="B963" s="8">
        <v>46055</v>
      </c>
      <c r="C963" s="7" t="s">
        <v>547</v>
      </c>
      <c r="D963" s="7" t="s">
        <v>40</v>
      </c>
      <c r="E963" s="7" t="s">
        <v>33</v>
      </c>
      <c r="F963" s="7" t="s">
        <v>67</v>
      </c>
      <c r="G963" s="7">
        <v>4</v>
      </c>
      <c r="H963" s="18">
        <v>4483.1899999999996</v>
      </c>
      <c r="I963" s="22">
        <v>0.1</v>
      </c>
      <c r="J963" s="18">
        <v>16139.48</v>
      </c>
      <c r="K963" s="18">
        <v>9717.09</v>
      </c>
      <c r="L963" s="18">
        <v>6422.39</v>
      </c>
      <c r="M963" s="7" t="s">
        <v>57</v>
      </c>
      <c r="N963" s="7" t="s">
        <v>36</v>
      </c>
      <c r="O963" s="7" t="s">
        <v>37</v>
      </c>
      <c r="P963" s="7" t="str">
        <f t="shared" si="45"/>
        <v>Feb</v>
      </c>
      <c r="Q963" s="7">
        <f t="shared" si="46"/>
        <v>2026</v>
      </c>
      <c r="R963" s="23">
        <f t="shared" si="47"/>
        <v>0.39793041659334755</v>
      </c>
    </row>
    <row r="964" spans="1:18">
      <c r="A964" s="7" t="s">
        <v>1667</v>
      </c>
      <c r="B964" s="8">
        <v>46143</v>
      </c>
      <c r="C964" s="7" t="s">
        <v>846</v>
      </c>
      <c r="D964" s="7" t="s">
        <v>60</v>
      </c>
      <c r="E964" s="7" t="s">
        <v>33</v>
      </c>
      <c r="F964" s="7" t="s">
        <v>96</v>
      </c>
      <c r="G964" s="7">
        <v>3</v>
      </c>
      <c r="H964" s="18">
        <v>4483.3599999999997</v>
      </c>
      <c r="I964" s="22">
        <v>0.1</v>
      </c>
      <c r="J964" s="18">
        <v>12105.07</v>
      </c>
      <c r="K964" s="18">
        <v>6706.04</v>
      </c>
      <c r="L964" s="18">
        <v>5399.03</v>
      </c>
      <c r="M964" s="7" t="s">
        <v>57</v>
      </c>
      <c r="N964" s="7" t="s">
        <v>71</v>
      </c>
      <c r="O964" s="7" t="s">
        <v>37</v>
      </c>
      <c r="P964" s="7" t="str">
        <f t="shared" si="45"/>
        <v>May</v>
      </c>
      <c r="Q964" s="7">
        <f t="shared" si="46"/>
        <v>2026</v>
      </c>
      <c r="R964" s="23">
        <f t="shared" si="47"/>
        <v>0.44601394291813262</v>
      </c>
    </row>
    <row r="965" spans="1:18">
      <c r="A965" s="7" t="s">
        <v>305</v>
      </c>
      <c r="B965" s="8">
        <v>45955</v>
      </c>
      <c r="C965" s="7" t="s">
        <v>306</v>
      </c>
      <c r="D965" s="7" t="s">
        <v>32</v>
      </c>
      <c r="E965" s="7" t="s">
        <v>48</v>
      </c>
      <c r="F965" s="7" t="s">
        <v>49</v>
      </c>
      <c r="G965" s="7">
        <v>3</v>
      </c>
      <c r="H965" s="18">
        <v>4487.09</v>
      </c>
      <c r="I965" s="22">
        <v>0</v>
      </c>
      <c r="J965" s="18">
        <v>13461.27</v>
      </c>
      <c r="K965" s="18">
        <v>10222.370000000001</v>
      </c>
      <c r="L965" s="18">
        <v>3238.9</v>
      </c>
      <c r="M965" s="7" t="s">
        <v>35</v>
      </c>
      <c r="N965" s="7" t="s">
        <v>63</v>
      </c>
      <c r="O965" s="7" t="s">
        <v>37</v>
      </c>
      <c r="P965" s="7" t="str">
        <f t="shared" si="45"/>
        <v>Oct</v>
      </c>
      <c r="Q965" s="7">
        <f t="shared" si="46"/>
        <v>2025</v>
      </c>
      <c r="R965" s="23">
        <f t="shared" si="47"/>
        <v>0.24060879842689434</v>
      </c>
    </row>
    <row r="966" spans="1:18">
      <c r="A966" s="7" t="s">
        <v>295</v>
      </c>
      <c r="B966" s="8">
        <v>45970</v>
      </c>
      <c r="C966" s="7" t="s">
        <v>296</v>
      </c>
      <c r="D966" s="7" t="s">
        <v>32</v>
      </c>
      <c r="E966" s="7" t="s">
        <v>48</v>
      </c>
      <c r="F966" s="7" t="s">
        <v>99</v>
      </c>
      <c r="G966" s="7">
        <v>5</v>
      </c>
      <c r="H966" s="18">
        <v>4506.37</v>
      </c>
      <c r="I966" s="22">
        <v>0.05</v>
      </c>
      <c r="J966" s="18">
        <v>21405.26</v>
      </c>
      <c r="K966" s="18">
        <v>16951.72</v>
      </c>
      <c r="L966" s="18">
        <v>4453.54</v>
      </c>
      <c r="M966" s="7" t="s">
        <v>35</v>
      </c>
      <c r="N966" s="7" t="s">
        <v>36</v>
      </c>
      <c r="O966" s="7" t="s">
        <v>44</v>
      </c>
      <c r="P966" s="7" t="str">
        <f t="shared" si="45"/>
        <v>Nov</v>
      </c>
      <c r="Q966" s="7">
        <f t="shared" si="46"/>
        <v>2025</v>
      </c>
      <c r="R966" s="23">
        <f t="shared" si="47"/>
        <v>0.20805820625397684</v>
      </c>
    </row>
    <row r="967" spans="1:18">
      <c r="A967" s="7" t="s">
        <v>1539</v>
      </c>
      <c r="B967" s="8">
        <v>46043</v>
      </c>
      <c r="C967" s="7" t="s">
        <v>1032</v>
      </c>
      <c r="D967" s="7" t="s">
        <v>52</v>
      </c>
      <c r="E967" s="7" t="s">
        <v>41</v>
      </c>
      <c r="F967" s="7" t="s">
        <v>53</v>
      </c>
      <c r="G967" s="7">
        <v>1</v>
      </c>
      <c r="H967" s="18">
        <v>4506.46</v>
      </c>
      <c r="I967" s="22">
        <v>0</v>
      </c>
      <c r="J967" s="18">
        <v>4506.46</v>
      </c>
      <c r="K967" s="18">
        <v>3538.3</v>
      </c>
      <c r="L967" s="18">
        <v>968.16</v>
      </c>
      <c r="M967" s="7" t="s">
        <v>35</v>
      </c>
      <c r="N967" s="7" t="s">
        <v>63</v>
      </c>
      <c r="O967" s="7" t="s">
        <v>44</v>
      </c>
      <c r="P967" s="7" t="str">
        <f t="shared" si="45"/>
        <v>Jan</v>
      </c>
      <c r="Q967" s="7">
        <f t="shared" si="46"/>
        <v>2026</v>
      </c>
      <c r="R967" s="23">
        <f t="shared" si="47"/>
        <v>0.21483825441699247</v>
      </c>
    </row>
    <row r="968" spans="1:18">
      <c r="A968" s="7" t="s">
        <v>738</v>
      </c>
      <c r="B968" s="8">
        <v>45852</v>
      </c>
      <c r="C968" s="7" t="s">
        <v>739</v>
      </c>
      <c r="D968" s="7" t="s">
        <v>60</v>
      </c>
      <c r="E968" s="7" t="s">
        <v>33</v>
      </c>
      <c r="F968" s="7" t="s">
        <v>92</v>
      </c>
      <c r="G968" s="7">
        <v>6</v>
      </c>
      <c r="H968" s="18">
        <v>4506.84</v>
      </c>
      <c r="I968" s="22">
        <v>0.1</v>
      </c>
      <c r="J968" s="18">
        <v>24336.94</v>
      </c>
      <c r="K968" s="18">
        <v>13669.05</v>
      </c>
      <c r="L968" s="18">
        <v>10667.89</v>
      </c>
      <c r="M968" s="7" t="s">
        <v>35</v>
      </c>
      <c r="N968" s="7" t="s">
        <v>36</v>
      </c>
      <c r="O968" s="7" t="s">
        <v>37</v>
      </c>
      <c r="P968" s="7" t="str">
        <f t="shared" si="45"/>
        <v>Jul</v>
      </c>
      <c r="Q968" s="7">
        <f t="shared" si="46"/>
        <v>2025</v>
      </c>
      <c r="R968" s="23">
        <f t="shared" si="47"/>
        <v>0.43834146774409599</v>
      </c>
    </row>
    <row r="969" spans="1:18">
      <c r="A969" s="7" t="s">
        <v>1009</v>
      </c>
      <c r="B969" s="8">
        <v>46064</v>
      </c>
      <c r="C969" s="7" t="s">
        <v>1010</v>
      </c>
      <c r="D969" s="7" t="s">
        <v>134</v>
      </c>
      <c r="E969" s="7" t="s">
        <v>48</v>
      </c>
      <c r="F969" s="7" t="s">
        <v>99</v>
      </c>
      <c r="G969" s="7">
        <v>3</v>
      </c>
      <c r="H969" s="18">
        <v>4510.3900000000003</v>
      </c>
      <c r="I969" s="22">
        <v>0</v>
      </c>
      <c r="J969" s="18">
        <v>13531.17</v>
      </c>
      <c r="K969" s="18">
        <v>10436.299999999999</v>
      </c>
      <c r="L969" s="18">
        <v>3094.87</v>
      </c>
      <c r="M969" s="7" t="s">
        <v>35</v>
      </c>
      <c r="N969" s="7" t="s">
        <v>71</v>
      </c>
      <c r="O969" s="7" t="s">
        <v>37</v>
      </c>
      <c r="P969" s="7" t="str">
        <f t="shared" si="45"/>
        <v>Feb</v>
      </c>
      <c r="Q969" s="7">
        <f t="shared" si="46"/>
        <v>2026</v>
      </c>
      <c r="R969" s="23">
        <f t="shared" si="47"/>
        <v>0.22872153701416803</v>
      </c>
    </row>
    <row r="970" spans="1:18">
      <c r="A970" s="7" t="s">
        <v>419</v>
      </c>
      <c r="B970" s="8">
        <v>46183</v>
      </c>
      <c r="C970" s="7" t="s">
        <v>420</v>
      </c>
      <c r="D970" s="7" t="s">
        <v>56</v>
      </c>
      <c r="E970" s="7" t="s">
        <v>61</v>
      </c>
      <c r="F970" s="7" t="s">
        <v>89</v>
      </c>
      <c r="G970" s="7">
        <v>2</v>
      </c>
      <c r="H970" s="18">
        <v>4510.42</v>
      </c>
      <c r="I970" s="22">
        <v>0</v>
      </c>
      <c r="J970" s="18">
        <v>9020.84</v>
      </c>
      <c r="K970" s="18">
        <v>5988.01</v>
      </c>
      <c r="L970" s="18">
        <v>3032.83</v>
      </c>
      <c r="M970" s="7" t="s">
        <v>35</v>
      </c>
      <c r="N970" s="7" t="s">
        <v>43</v>
      </c>
      <c r="O970" s="7" t="s">
        <v>44</v>
      </c>
      <c r="P970" s="7" t="str">
        <f t="shared" si="45"/>
        <v>Jun</v>
      </c>
      <c r="Q970" s="7">
        <f t="shared" si="46"/>
        <v>2026</v>
      </c>
      <c r="R970" s="23">
        <f t="shared" si="47"/>
        <v>0.33620261527751294</v>
      </c>
    </row>
    <row r="971" spans="1:18">
      <c r="A971" s="7" t="s">
        <v>1346</v>
      </c>
      <c r="B971" s="8">
        <v>45767</v>
      </c>
      <c r="C971" s="7" t="s">
        <v>306</v>
      </c>
      <c r="D971" s="7" t="s">
        <v>74</v>
      </c>
      <c r="E971" s="7" t="s">
        <v>41</v>
      </c>
      <c r="F971" s="7" t="s">
        <v>42</v>
      </c>
      <c r="G971" s="7">
        <v>2</v>
      </c>
      <c r="H971" s="18">
        <v>4512.28</v>
      </c>
      <c r="I971" s="22">
        <v>0.05</v>
      </c>
      <c r="J971" s="18">
        <v>8573.33</v>
      </c>
      <c r="K971" s="18">
        <v>6908.58</v>
      </c>
      <c r="L971" s="18">
        <v>1664.75</v>
      </c>
      <c r="M971" s="7" t="s">
        <v>35</v>
      </c>
      <c r="N971" s="7" t="s">
        <v>36</v>
      </c>
      <c r="O971" s="7" t="s">
        <v>37</v>
      </c>
      <c r="P971" s="7" t="str">
        <f t="shared" si="45"/>
        <v>Apr</v>
      </c>
      <c r="Q971" s="7">
        <f t="shared" si="46"/>
        <v>2025</v>
      </c>
      <c r="R971" s="23">
        <f t="shared" si="47"/>
        <v>0.1941777582339651</v>
      </c>
    </row>
    <row r="972" spans="1:18">
      <c r="A972" s="7" t="s">
        <v>1552</v>
      </c>
      <c r="B972" s="8">
        <v>45773</v>
      </c>
      <c r="C972" s="7" t="s">
        <v>1058</v>
      </c>
      <c r="D972" s="7" t="s">
        <v>134</v>
      </c>
      <c r="E972" s="7" t="s">
        <v>41</v>
      </c>
      <c r="F972" s="7" t="s">
        <v>53</v>
      </c>
      <c r="G972" s="7">
        <v>2</v>
      </c>
      <c r="H972" s="18">
        <v>4524.07</v>
      </c>
      <c r="I972" s="22">
        <v>0</v>
      </c>
      <c r="J972" s="18">
        <v>9048.14</v>
      </c>
      <c r="K972" s="18">
        <v>6277.05</v>
      </c>
      <c r="L972" s="18">
        <v>2771.09</v>
      </c>
      <c r="M972" s="7" t="s">
        <v>57</v>
      </c>
      <c r="N972" s="7" t="s">
        <v>43</v>
      </c>
      <c r="O972" s="7" t="s">
        <v>37</v>
      </c>
      <c r="P972" s="7" t="str">
        <f t="shared" si="45"/>
        <v>Apr</v>
      </c>
      <c r="Q972" s="7">
        <f t="shared" si="46"/>
        <v>2025</v>
      </c>
      <c r="R972" s="23">
        <f t="shared" si="47"/>
        <v>0.30626073425035427</v>
      </c>
    </row>
    <row r="973" spans="1:18">
      <c r="A973" s="7" t="s">
        <v>776</v>
      </c>
      <c r="B973" s="8">
        <v>45701</v>
      </c>
      <c r="C973" s="7" t="s">
        <v>302</v>
      </c>
      <c r="D973" s="7" t="s">
        <v>40</v>
      </c>
      <c r="E973" s="7" t="s">
        <v>48</v>
      </c>
      <c r="F973" s="7" t="s">
        <v>102</v>
      </c>
      <c r="G973" s="7">
        <v>2</v>
      </c>
      <c r="H973" s="18">
        <v>4524.13</v>
      </c>
      <c r="I973" s="22">
        <v>0</v>
      </c>
      <c r="J973" s="18">
        <v>9048.26</v>
      </c>
      <c r="K973" s="18">
        <v>7428.94</v>
      </c>
      <c r="L973" s="18">
        <v>1619.32</v>
      </c>
      <c r="M973" s="7" t="s">
        <v>57</v>
      </c>
      <c r="N973" s="7" t="s">
        <v>71</v>
      </c>
      <c r="O973" s="7" t="s">
        <v>37</v>
      </c>
      <c r="P973" s="7" t="str">
        <f t="shared" si="45"/>
        <v>Feb</v>
      </c>
      <c r="Q973" s="7">
        <f t="shared" si="46"/>
        <v>2025</v>
      </c>
      <c r="R973" s="23">
        <f t="shared" si="47"/>
        <v>0.17896479544133345</v>
      </c>
    </row>
    <row r="974" spans="1:18">
      <c r="A974" s="7" t="s">
        <v>1308</v>
      </c>
      <c r="B974" s="8">
        <v>45930</v>
      </c>
      <c r="C974" s="7" t="s">
        <v>1309</v>
      </c>
      <c r="D974" s="7" t="s">
        <v>32</v>
      </c>
      <c r="E974" s="7" t="s">
        <v>48</v>
      </c>
      <c r="F974" s="7" t="s">
        <v>49</v>
      </c>
      <c r="G974" s="7">
        <v>5</v>
      </c>
      <c r="H974" s="18">
        <v>4526.3900000000003</v>
      </c>
      <c r="I974" s="22">
        <v>0</v>
      </c>
      <c r="J974" s="18">
        <v>22631.95</v>
      </c>
      <c r="K974" s="18">
        <v>19185.47</v>
      </c>
      <c r="L974" s="18">
        <v>3446.48</v>
      </c>
      <c r="M974" s="7" t="s">
        <v>35</v>
      </c>
      <c r="N974" s="7" t="s">
        <v>43</v>
      </c>
      <c r="O974" s="7" t="s">
        <v>44</v>
      </c>
      <c r="P974" s="7" t="str">
        <f t="shared" si="45"/>
        <v>Sep</v>
      </c>
      <c r="Q974" s="7">
        <f t="shared" si="46"/>
        <v>2025</v>
      </c>
      <c r="R974" s="23">
        <f t="shared" si="47"/>
        <v>0.15228382883489933</v>
      </c>
    </row>
    <row r="975" spans="1:18">
      <c r="A975" s="7" t="s">
        <v>1284</v>
      </c>
      <c r="B975" s="8">
        <v>46075</v>
      </c>
      <c r="C975" s="7" t="s">
        <v>1285</v>
      </c>
      <c r="D975" s="7" t="s">
        <v>56</v>
      </c>
      <c r="E975" s="7" t="s">
        <v>41</v>
      </c>
      <c r="F975" s="7" t="s">
        <v>153</v>
      </c>
      <c r="G975" s="7">
        <v>1</v>
      </c>
      <c r="H975" s="18">
        <v>4532.99</v>
      </c>
      <c r="I975" s="22">
        <v>0</v>
      </c>
      <c r="J975" s="18">
        <v>4532.99</v>
      </c>
      <c r="K975" s="18">
        <v>3833.93</v>
      </c>
      <c r="L975" s="18">
        <v>699.06</v>
      </c>
      <c r="M975" s="7" t="s">
        <v>57</v>
      </c>
      <c r="N975" s="7" t="s">
        <v>36</v>
      </c>
      <c r="O975" s="7" t="s">
        <v>44</v>
      </c>
      <c r="P975" s="7" t="str">
        <f t="shared" si="45"/>
        <v>Feb</v>
      </c>
      <c r="Q975" s="7">
        <f t="shared" si="46"/>
        <v>2026</v>
      </c>
      <c r="R975" s="23">
        <f t="shared" si="47"/>
        <v>0.15421609136574313</v>
      </c>
    </row>
    <row r="976" spans="1:18">
      <c r="A976" s="7" t="s">
        <v>287</v>
      </c>
      <c r="B976" s="8">
        <v>46143</v>
      </c>
      <c r="C976" s="7" t="s">
        <v>288</v>
      </c>
      <c r="D976" s="7" t="s">
        <v>60</v>
      </c>
      <c r="E976" s="7" t="s">
        <v>61</v>
      </c>
      <c r="F976" s="7" t="s">
        <v>89</v>
      </c>
      <c r="G976" s="7">
        <v>6</v>
      </c>
      <c r="H976" s="18">
        <v>4535.54</v>
      </c>
      <c r="I976" s="22">
        <v>0.1</v>
      </c>
      <c r="J976" s="18">
        <v>24491.919999999998</v>
      </c>
      <c r="K976" s="18">
        <v>14050.67</v>
      </c>
      <c r="L976" s="18">
        <v>10441.25</v>
      </c>
      <c r="M976" s="7" t="s">
        <v>57</v>
      </c>
      <c r="N976" s="7" t="s">
        <v>36</v>
      </c>
      <c r="O976" s="7" t="s">
        <v>44</v>
      </c>
      <c r="P976" s="7" t="str">
        <f t="shared" si="45"/>
        <v>May</v>
      </c>
      <c r="Q976" s="7">
        <f t="shared" si="46"/>
        <v>2026</v>
      </c>
      <c r="R976" s="23">
        <f t="shared" si="47"/>
        <v>0.42631406602667332</v>
      </c>
    </row>
    <row r="977" spans="1:18">
      <c r="A977" s="7" t="s">
        <v>334</v>
      </c>
      <c r="B977" s="8">
        <v>45994</v>
      </c>
      <c r="C977" s="7" t="s">
        <v>335</v>
      </c>
      <c r="D977" s="7" t="s">
        <v>47</v>
      </c>
      <c r="E977" s="7" t="s">
        <v>61</v>
      </c>
      <c r="F977" s="7" t="s">
        <v>81</v>
      </c>
      <c r="G977" s="7">
        <v>4</v>
      </c>
      <c r="H977" s="18">
        <v>4538.24</v>
      </c>
      <c r="I977" s="22">
        <v>0.2</v>
      </c>
      <c r="J977" s="18">
        <v>14522.37</v>
      </c>
      <c r="K977" s="18">
        <v>9355.0300000000007</v>
      </c>
      <c r="L977" s="18">
        <v>5167.34</v>
      </c>
      <c r="M977" s="7" t="s">
        <v>35</v>
      </c>
      <c r="N977" s="7" t="s">
        <v>71</v>
      </c>
      <c r="O977" s="7" t="s">
        <v>44</v>
      </c>
      <c r="P977" s="7" t="str">
        <f t="shared" si="45"/>
        <v>Dec</v>
      </c>
      <c r="Q977" s="7">
        <f t="shared" si="46"/>
        <v>2025</v>
      </c>
      <c r="R977" s="23">
        <f t="shared" si="47"/>
        <v>0.35581933251941661</v>
      </c>
    </row>
    <row r="978" spans="1:18">
      <c r="A978" s="7" t="s">
        <v>1408</v>
      </c>
      <c r="B978" s="8">
        <v>45769</v>
      </c>
      <c r="C978" s="7" t="s">
        <v>762</v>
      </c>
      <c r="D978" s="7" t="s">
        <v>134</v>
      </c>
      <c r="E978" s="7" t="s">
        <v>33</v>
      </c>
      <c r="F978" s="7" t="s">
        <v>96</v>
      </c>
      <c r="G978" s="7">
        <v>5</v>
      </c>
      <c r="H978" s="18">
        <v>4541.8599999999997</v>
      </c>
      <c r="I978" s="22">
        <v>0.2</v>
      </c>
      <c r="J978" s="18">
        <v>18167.439999999999</v>
      </c>
      <c r="K978" s="18">
        <v>14405.2</v>
      </c>
      <c r="L978" s="18">
        <v>3762.24</v>
      </c>
      <c r="M978" s="7" t="s">
        <v>57</v>
      </c>
      <c r="N978" s="7" t="s">
        <v>71</v>
      </c>
      <c r="O978" s="7" t="s">
        <v>44</v>
      </c>
      <c r="P978" s="7" t="str">
        <f t="shared" si="45"/>
        <v>Apr</v>
      </c>
      <c r="Q978" s="7">
        <f t="shared" si="46"/>
        <v>2025</v>
      </c>
      <c r="R978" s="23">
        <f t="shared" si="47"/>
        <v>0.20708696437142493</v>
      </c>
    </row>
    <row r="979" spans="1:18">
      <c r="A979" s="7" t="s">
        <v>476</v>
      </c>
      <c r="B979" s="8">
        <v>46113</v>
      </c>
      <c r="C979" s="7" t="s">
        <v>477</v>
      </c>
      <c r="D979" s="7" t="s">
        <v>40</v>
      </c>
      <c r="E979" s="7" t="s">
        <v>61</v>
      </c>
      <c r="F979" s="7" t="s">
        <v>84</v>
      </c>
      <c r="G979" s="7">
        <v>5</v>
      </c>
      <c r="H979" s="18">
        <v>4543.18</v>
      </c>
      <c r="I979" s="22">
        <v>0</v>
      </c>
      <c r="J979" s="18">
        <v>22715.9</v>
      </c>
      <c r="K979" s="18">
        <v>15449.53</v>
      </c>
      <c r="L979" s="18">
        <v>7266.37</v>
      </c>
      <c r="M979" s="7" t="s">
        <v>35</v>
      </c>
      <c r="N979" s="7" t="s">
        <v>36</v>
      </c>
      <c r="O979" s="7" t="s">
        <v>44</v>
      </c>
      <c r="P979" s="7" t="str">
        <f t="shared" si="45"/>
        <v>Apr</v>
      </c>
      <c r="Q979" s="7">
        <f t="shared" si="46"/>
        <v>2026</v>
      </c>
      <c r="R979" s="23">
        <f t="shared" si="47"/>
        <v>0.31988034812620231</v>
      </c>
    </row>
    <row r="980" spans="1:18">
      <c r="A980" s="7" t="s">
        <v>407</v>
      </c>
      <c r="B980" s="8">
        <v>45796</v>
      </c>
      <c r="C980" s="7" t="s">
        <v>408</v>
      </c>
      <c r="D980" s="7" t="s">
        <v>47</v>
      </c>
      <c r="E980" s="7" t="s">
        <v>33</v>
      </c>
      <c r="F980" s="7" t="s">
        <v>176</v>
      </c>
      <c r="G980" s="7">
        <v>4</v>
      </c>
      <c r="H980" s="18">
        <v>4544.1099999999997</v>
      </c>
      <c r="I980" s="22">
        <v>0</v>
      </c>
      <c r="J980" s="18">
        <v>18176.439999999999</v>
      </c>
      <c r="K980" s="18">
        <v>13505.84</v>
      </c>
      <c r="L980" s="18">
        <v>4670.6000000000004</v>
      </c>
      <c r="M980" s="7" t="s">
        <v>35</v>
      </c>
      <c r="N980" s="7" t="s">
        <v>71</v>
      </c>
      <c r="O980" s="7" t="s">
        <v>44</v>
      </c>
      <c r="P980" s="7" t="str">
        <f t="shared" si="45"/>
        <v>May</v>
      </c>
      <c r="Q980" s="7">
        <f t="shared" si="46"/>
        <v>2025</v>
      </c>
      <c r="R980" s="23">
        <f t="shared" si="47"/>
        <v>0.25695900847470687</v>
      </c>
    </row>
    <row r="981" spans="1:18">
      <c r="A981" s="7" t="s">
        <v>453</v>
      </c>
      <c r="B981" s="8">
        <v>45868</v>
      </c>
      <c r="C981" s="7" t="s">
        <v>454</v>
      </c>
      <c r="D981" s="7" t="s">
        <v>32</v>
      </c>
      <c r="E981" s="7" t="s">
        <v>61</v>
      </c>
      <c r="F981" s="7" t="s">
        <v>81</v>
      </c>
      <c r="G981" s="7">
        <v>6</v>
      </c>
      <c r="H981" s="18">
        <v>4544.66</v>
      </c>
      <c r="I981" s="22">
        <v>0.1</v>
      </c>
      <c r="J981" s="18">
        <v>24541.16</v>
      </c>
      <c r="K981" s="18">
        <v>15719.57</v>
      </c>
      <c r="L981" s="18">
        <v>8821.59</v>
      </c>
      <c r="M981" s="7" t="s">
        <v>35</v>
      </c>
      <c r="N981" s="7" t="s">
        <v>63</v>
      </c>
      <c r="O981" s="7" t="s">
        <v>44</v>
      </c>
      <c r="P981" s="7" t="str">
        <f t="shared" si="45"/>
        <v>Jul</v>
      </c>
      <c r="Q981" s="7">
        <f t="shared" si="46"/>
        <v>2025</v>
      </c>
      <c r="R981" s="23">
        <f t="shared" si="47"/>
        <v>0.35946100347334847</v>
      </c>
    </row>
    <row r="982" spans="1:18">
      <c r="A982" s="7" t="s">
        <v>845</v>
      </c>
      <c r="B982" s="8">
        <v>46175</v>
      </c>
      <c r="C982" s="7" t="s">
        <v>846</v>
      </c>
      <c r="D982" s="7" t="s">
        <v>32</v>
      </c>
      <c r="E982" s="7" t="s">
        <v>48</v>
      </c>
      <c r="F982" s="7" t="s">
        <v>49</v>
      </c>
      <c r="G982" s="7">
        <v>5</v>
      </c>
      <c r="H982" s="18">
        <v>4546.8999999999996</v>
      </c>
      <c r="I982" s="22">
        <v>0</v>
      </c>
      <c r="J982" s="18">
        <v>22734.5</v>
      </c>
      <c r="K982" s="18">
        <v>13334.6</v>
      </c>
      <c r="L982" s="18">
        <v>9399.9</v>
      </c>
      <c r="M982" s="7" t="s">
        <v>57</v>
      </c>
      <c r="N982" s="7" t="s">
        <v>43</v>
      </c>
      <c r="O982" s="7" t="s">
        <v>44</v>
      </c>
      <c r="P982" s="7" t="str">
        <f t="shared" si="45"/>
        <v>Jun</v>
      </c>
      <c r="Q982" s="7">
        <f t="shared" si="46"/>
        <v>2026</v>
      </c>
      <c r="R982" s="23">
        <f t="shared" si="47"/>
        <v>0.41346411841034547</v>
      </c>
    </row>
    <row r="983" spans="1:18">
      <c r="A983" s="7" t="s">
        <v>1643</v>
      </c>
      <c r="B983" s="8">
        <v>46176</v>
      </c>
      <c r="C983" s="7" t="s">
        <v>712</v>
      </c>
      <c r="D983" s="7" t="s">
        <v>32</v>
      </c>
      <c r="E983" s="7" t="s">
        <v>61</v>
      </c>
      <c r="F983" s="7" t="s">
        <v>62</v>
      </c>
      <c r="G983" s="7">
        <v>6</v>
      </c>
      <c r="H983" s="18">
        <v>4547.49</v>
      </c>
      <c r="I983" s="22">
        <v>0</v>
      </c>
      <c r="J983" s="18">
        <v>27284.94</v>
      </c>
      <c r="K983" s="18">
        <v>18201.73</v>
      </c>
      <c r="L983" s="18">
        <v>9083.2099999999991</v>
      </c>
      <c r="M983" s="7" t="s">
        <v>57</v>
      </c>
      <c r="N983" s="7" t="s">
        <v>43</v>
      </c>
      <c r="O983" s="7" t="s">
        <v>44</v>
      </c>
      <c r="P983" s="7" t="str">
        <f t="shared" si="45"/>
        <v>Jun</v>
      </c>
      <c r="Q983" s="7">
        <f t="shared" si="46"/>
        <v>2026</v>
      </c>
      <c r="R983" s="23">
        <f t="shared" si="47"/>
        <v>0.33290195983571891</v>
      </c>
    </row>
    <row r="984" spans="1:18">
      <c r="A984" s="7" t="s">
        <v>807</v>
      </c>
      <c r="B984" s="8">
        <v>45684</v>
      </c>
      <c r="C984" s="7" t="s">
        <v>808</v>
      </c>
      <c r="D984" s="7" t="s">
        <v>40</v>
      </c>
      <c r="E984" s="7" t="s">
        <v>48</v>
      </c>
      <c r="F984" s="7" t="s">
        <v>102</v>
      </c>
      <c r="G984" s="7">
        <v>6</v>
      </c>
      <c r="H984" s="18">
        <v>4547.7</v>
      </c>
      <c r="I984" s="22">
        <v>0</v>
      </c>
      <c r="J984" s="18">
        <v>27286.2</v>
      </c>
      <c r="K984" s="18">
        <v>18622.55</v>
      </c>
      <c r="L984" s="18">
        <v>8663.65</v>
      </c>
      <c r="M984" s="7" t="s">
        <v>35</v>
      </c>
      <c r="N984" s="7" t="s">
        <v>71</v>
      </c>
      <c r="O984" s="7" t="s">
        <v>37</v>
      </c>
      <c r="P984" s="7" t="str">
        <f t="shared" si="45"/>
        <v>Jan</v>
      </c>
      <c r="Q984" s="7">
        <f t="shared" si="46"/>
        <v>2025</v>
      </c>
      <c r="R984" s="23">
        <f t="shared" si="47"/>
        <v>0.31751031657028095</v>
      </c>
    </row>
    <row r="985" spans="1:18">
      <c r="A985" s="7" t="s">
        <v>118</v>
      </c>
      <c r="B985" s="8">
        <v>45693</v>
      </c>
      <c r="C985" s="7" t="s">
        <v>112</v>
      </c>
      <c r="D985" s="7" t="s">
        <v>40</v>
      </c>
      <c r="E985" s="7" t="s">
        <v>41</v>
      </c>
      <c r="F985" s="7" t="s">
        <v>119</v>
      </c>
      <c r="G985" s="7">
        <v>6</v>
      </c>
      <c r="H985" s="18">
        <v>4548.2299999999996</v>
      </c>
      <c r="I985" s="22">
        <v>0.2</v>
      </c>
      <c r="J985" s="18">
        <v>21831.5</v>
      </c>
      <c r="K985" s="18">
        <v>13150.26</v>
      </c>
      <c r="L985" s="18">
        <v>8681.24</v>
      </c>
      <c r="M985" s="7" t="s">
        <v>57</v>
      </c>
      <c r="N985" s="7" t="s">
        <v>36</v>
      </c>
      <c r="O985" s="7" t="s">
        <v>44</v>
      </c>
      <c r="P985" s="7" t="str">
        <f t="shared" si="45"/>
        <v>Feb</v>
      </c>
      <c r="Q985" s="7">
        <f t="shared" si="46"/>
        <v>2025</v>
      </c>
      <c r="R985" s="23">
        <f t="shared" si="47"/>
        <v>0.39764743604424796</v>
      </c>
    </row>
    <row r="986" spans="1:18">
      <c r="A986" s="7" t="s">
        <v>1654</v>
      </c>
      <c r="B986" s="8">
        <v>46156</v>
      </c>
      <c r="C986" s="7" t="s">
        <v>59</v>
      </c>
      <c r="D986" s="7" t="s">
        <v>40</v>
      </c>
      <c r="E986" s="7" t="s">
        <v>41</v>
      </c>
      <c r="F986" s="7" t="s">
        <v>42</v>
      </c>
      <c r="G986" s="7">
        <v>5</v>
      </c>
      <c r="H986" s="18">
        <v>4552.6000000000004</v>
      </c>
      <c r="I986" s="22">
        <v>0</v>
      </c>
      <c r="J986" s="18">
        <v>22763</v>
      </c>
      <c r="K986" s="18">
        <v>16288.64</v>
      </c>
      <c r="L986" s="18">
        <v>6474.36</v>
      </c>
      <c r="M986" s="7" t="s">
        <v>57</v>
      </c>
      <c r="N986" s="7" t="s">
        <v>63</v>
      </c>
      <c r="O986" s="7" t="s">
        <v>44</v>
      </c>
      <c r="P986" s="7" t="str">
        <f t="shared" si="45"/>
        <v>May</v>
      </c>
      <c r="Q986" s="7">
        <f t="shared" si="46"/>
        <v>2026</v>
      </c>
      <c r="R986" s="23">
        <f t="shared" si="47"/>
        <v>0.28442472433334798</v>
      </c>
    </row>
    <row r="987" spans="1:18">
      <c r="A987" s="7" t="s">
        <v>1370</v>
      </c>
      <c r="B987" s="8">
        <v>46173</v>
      </c>
      <c r="C987" s="7" t="s">
        <v>352</v>
      </c>
      <c r="D987" s="7" t="s">
        <v>32</v>
      </c>
      <c r="E987" s="7" t="s">
        <v>48</v>
      </c>
      <c r="F987" s="7" t="s">
        <v>102</v>
      </c>
      <c r="G987" s="7">
        <v>1</v>
      </c>
      <c r="H987" s="18">
        <v>4563.13</v>
      </c>
      <c r="I987" s="22">
        <v>0.15</v>
      </c>
      <c r="J987" s="18">
        <v>3878.66</v>
      </c>
      <c r="K987" s="18">
        <v>2300.83</v>
      </c>
      <c r="L987" s="18">
        <v>1577.83</v>
      </c>
      <c r="M987" s="7" t="s">
        <v>35</v>
      </c>
      <c r="N987" s="7" t="s">
        <v>71</v>
      </c>
      <c r="O987" s="7" t="s">
        <v>44</v>
      </c>
      <c r="P987" s="7" t="str">
        <f t="shared" si="45"/>
        <v>May</v>
      </c>
      <c r="Q987" s="7">
        <f t="shared" si="46"/>
        <v>2026</v>
      </c>
      <c r="R987" s="23">
        <f t="shared" si="47"/>
        <v>0.40679770848695168</v>
      </c>
    </row>
    <row r="988" spans="1:18">
      <c r="A988" s="7" t="s">
        <v>817</v>
      </c>
      <c r="B988" s="8">
        <v>46211</v>
      </c>
      <c r="C988" s="7" t="s">
        <v>818</v>
      </c>
      <c r="D988" s="7" t="s">
        <v>56</v>
      </c>
      <c r="E988" s="7" t="s">
        <v>48</v>
      </c>
      <c r="F988" s="7" t="s">
        <v>102</v>
      </c>
      <c r="G988" s="7">
        <v>6</v>
      </c>
      <c r="H988" s="18">
        <v>4563.51</v>
      </c>
      <c r="I988" s="22">
        <v>0.1</v>
      </c>
      <c r="J988" s="18">
        <v>24642.95</v>
      </c>
      <c r="K988" s="18">
        <v>16369.34</v>
      </c>
      <c r="L988" s="18">
        <v>8273.61</v>
      </c>
      <c r="M988" s="7" t="s">
        <v>35</v>
      </c>
      <c r="N988" s="7" t="s">
        <v>43</v>
      </c>
      <c r="O988" s="7" t="s">
        <v>44</v>
      </c>
      <c r="P988" s="7" t="str">
        <f t="shared" si="45"/>
        <v>Jul</v>
      </c>
      <c r="Q988" s="7">
        <f t="shared" si="46"/>
        <v>2026</v>
      </c>
      <c r="R988" s="23">
        <f t="shared" si="47"/>
        <v>0.33573943054707334</v>
      </c>
    </row>
    <row r="989" spans="1:18">
      <c r="A989" s="7" t="s">
        <v>1259</v>
      </c>
      <c r="B989" s="8">
        <v>45982</v>
      </c>
      <c r="C989" s="7" t="s">
        <v>632</v>
      </c>
      <c r="D989" s="7" t="s">
        <v>95</v>
      </c>
      <c r="E989" s="7" t="s">
        <v>41</v>
      </c>
      <c r="F989" s="7" t="s">
        <v>153</v>
      </c>
      <c r="G989" s="7">
        <v>1</v>
      </c>
      <c r="H989" s="18">
        <v>4568.17</v>
      </c>
      <c r="I989" s="22">
        <v>0</v>
      </c>
      <c r="J989" s="18">
        <v>4568.17</v>
      </c>
      <c r="K989" s="18">
        <v>3287.37</v>
      </c>
      <c r="L989" s="18">
        <v>1280.8</v>
      </c>
      <c r="M989" s="7" t="s">
        <v>35</v>
      </c>
      <c r="N989" s="7" t="s">
        <v>71</v>
      </c>
      <c r="O989" s="7" t="s">
        <v>37</v>
      </c>
      <c r="P989" s="7" t="str">
        <f t="shared" si="45"/>
        <v>Nov</v>
      </c>
      <c r="Q989" s="7">
        <f t="shared" si="46"/>
        <v>2025</v>
      </c>
      <c r="R989" s="23">
        <f t="shared" si="47"/>
        <v>0.28037485470111662</v>
      </c>
    </row>
    <row r="990" spans="1:18">
      <c r="A990" s="7" t="s">
        <v>1232</v>
      </c>
      <c r="B990" s="8">
        <v>45938</v>
      </c>
      <c r="C990" s="7" t="s">
        <v>1203</v>
      </c>
      <c r="D990" s="7" t="s">
        <v>134</v>
      </c>
      <c r="E990" s="7" t="s">
        <v>41</v>
      </c>
      <c r="F990" s="7" t="s">
        <v>124</v>
      </c>
      <c r="G990" s="7">
        <v>2</v>
      </c>
      <c r="H990" s="18">
        <v>4573.13</v>
      </c>
      <c r="I990" s="22">
        <v>0.15</v>
      </c>
      <c r="J990" s="18">
        <v>7774.32</v>
      </c>
      <c r="K990" s="18">
        <v>4732.54</v>
      </c>
      <c r="L990" s="18">
        <v>3041.78</v>
      </c>
      <c r="M990" s="7" t="s">
        <v>35</v>
      </c>
      <c r="N990" s="7" t="s">
        <v>63</v>
      </c>
      <c r="O990" s="7" t="s">
        <v>44</v>
      </c>
      <c r="P990" s="7" t="str">
        <f t="shared" si="45"/>
        <v>Oct</v>
      </c>
      <c r="Q990" s="7">
        <f t="shared" si="46"/>
        <v>2025</v>
      </c>
      <c r="R990" s="23">
        <f t="shared" si="47"/>
        <v>0.39125994299179867</v>
      </c>
    </row>
    <row r="991" spans="1:18">
      <c r="A991" s="7" t="s">
        <v>713</v>
      </c>
      <c r="B991" s="8">
        <v>45873</v>
      </c>
      <c r="C991" s="7" t="s">
        <v>714</v>
      </c>
      <c r="D991" s="7" t="s">
        <v>134</v>
      </c>
      <c r="E991" s="7" t="s">
        <v>33</v>
      </c>
      <c r="F991" s="7" t="s">
        <v>34</v>
      </c>
      <c r="G991" s="7">
        <v>5</v>
      </c>
      <c r="H991" s="18">
        <v>4587.76</v>
      </c>
      <c r="I991" s="22">
        <v>0.15</v>
      </c>
      <c r="J991" s="18">
        <v>19497.98</v>
      </c>
      <c r="K991" s="18">
        <v>12848.16</v>
      </c>
      <c r="L991" s="18">
        <v>6649.82</v>
      </c>
      <c r="M991" s="7" t="s">
        <v>35</v>
      </c>
      <c r="N991" s="7" t="s">
        <v>43</v>
      </c>
      <c r="O991" s="7" t="s">
        <v>44</v>
      </c>
      <c r="P991" s="7" t="str">
        <f t="shared" si="45"/>
        <v>Aug</v>
      </c>
      <c r="Q991" s="7">
        <f t="shared" si="46"/>
        <v>2025</v>
      </c>
      <c r="R991" s="23">
        <f t="shared" si="47"/>
        <v>0.34105173971867853</v>
      </c>
    </row>
    <row r="992" spans="1:18">
      <c r="A992" s="7" t="s">
        <v>1080</v>
      </c>
      <c r="B992" s="8">
        <v>46128</v>
      </c>
      <c r="C992" s="7" t="s">
        <v>672</v>
      </c>
      <c r="D992" s="7" t="s">
        <v>218</v>
      </c>
      <c r="E992" s="7" t="s">
        <v>48</v>
      </c>
      <c r="F992" s="7" t="s">
        <v>49</v>
      </c>
      <c r="G992" s="7">
        <v>6</v>
      </c>
      <c r="H992" s="18">
        <v>4590.97</v>
      </c>
      <c r="I992" s="22">
        <v>0</v>
      </c>
      <c r="J992" s="18">
        <v>27545.82</v>
      </c>
      <c r="K992" s="18">
        <v>20416.330000000002</v>
      </c>
      <c r="L992" s="18">
        <v>7129.49</v>
      </c>
      <c r="M992" s="7" t="s">
        <v>35</v>
      </c>
      <c r="N992" s="7" t="s">
        <v>63</v>
      </c>
      <c r="O992" s="7" t="s">
        <v>44</v>
      </c>
      <c r="P992" s="7" t="str">
        <f t="shared" si="45"/>
        <v>Apr</v>
      </c>
      <c r="Q992" s="7">
        <f t="shared" si="46"/>
        <v>2026</v>
      </c>
      <c r="R992" s="23">
        <f t="shared" si="47"/>
        <v>0.25882293574850923</v>
      </c>
    </row>
    <row r="993" spans="1:18">
      <c r="A993" s="7" t="s">
        <v>1039</v>
      </c>
      <c r="B993" s="8">
        <v>46193</v>
      </c>
      <c r="C993" s="7" t="s">
        <v>1040</v>
      </c>
      <c r="D993" s="7" t="s">
        <v>134</v>
      </c>
      <c r="E993" s="7" t="s">
        <v>61</v>
      </c>
      <c r="F993" s="7" t="s">
        <v>62</v>
      </c>
      <c r="G993" s="7">
        <v>2</v>
      </c>
      <c r="H993" s="18">
        <v>4592.32</v>
      </c>
      <c r="I993" s="22">
        <v>0</v>
      </c>
      <c r="J993" s="18">
        <v>9184.64</v>
      </c>
      <c r="K993" s="18">
        <v>7212.21</v>
      </c>
      <c r="L993" s="18">
        <v>1972.43</v>
      </c>
      <c r="M993" s="7" t="s">
        <v>57</v>
      </c>
      <c r="N993" s="7" t="s">
        <v>43</v>
      </c>
      <c r="O993" s="7" t="s">
        <v>44</v>
      </c>
      <c r="P993" s="7" t="str">
        <f t="shared" si="45"/>
        <v>Jun</v>
      </c>
      <c r="Q993" s="7">
        <f t="shared" si="46"/>
        <v>2026</v>
      </c>
      <c r="R993" s="23">
        <f t="shared" si="47"/>
        <v>0.21475310953940493</v>
      </c>
    </row>
    <row r="994" spans="1:18">
      <c r="A994" s="7" t="s">
        <v>881</v>
      </c>
      <c r="B994" s="8">
        <v>46093</v>
      </c>
      <c r="C994" s="7" t="s">
        <v>573</v>
      </c>
      <c r="D994" s="7" t="s">
        <v>74</v>
      </c>
      <c r="E994" s="7" t="s">
        <v>41</v>
      </c>
      <c r="F994" s="7" t="s">
        <v>42</v>
      </c>
      <c r="G994" s="7">
        <v>3</v>
      </c>
      <c r="H994" s="18">
        <v>4593.13</v>
      </c>
      <c r="I994" s="22">
        <v>0.15</v>
      </c>
      <c r="J994" s="18">
        <v>11712.48</v>
      </c>
      <c r="K994" s="18">
        <v>9103.6200000000008</v>
      </c>
      <c r="L994" s="18">
        <v>2608.86</v>
      </c>
      <c r="M994" s="7" t="s">
        <v>57</v>
      </c>
      <c r="N994" s="7" t="s">
        <v>71</v>
      </c>
      <c r="O994" s="7" t="s">
        <v>37</v>
      </c>
      <c r="P994" s="7" t="str">
        <f t="shared" si="45"/>
        <v>Mar</v>
      </c>
      <c r="Q994" s="7">
        <f t="shared" si="46"/>
        <v>2026</v>
      </c>
      <c r="R994" s="23">
        <f t="shared" si="47"/>
        <v>0.22274189582394166</v>
      </c>
    </row>
    <row r="995" spans="1:18">
      <c r="A995" s="7" t="s">
        <v>1120</v>
      </c>
      <c r="B995" s="8">
        <v>45976</v>
      </c>
      <c r="C995" s="7" t="s">
        <v>1121</v>
      </c>
      <c r="D995" s="7" t="s">
        <v>95</v>
      </c>
      <c r="E995" s="7" t="s">
        <v>33</v>
      </c>
      <c r="F995" s="7" t="s">
        <v>96</v>
      </c>
      <c r="G995" s="7">
        <v>4</v>
      </c>
      <c r="H995" s="18">
        <v>4600.75</v>
      </c>
      <c r="I995" s="22">
        <v>0</v>
      </c>
      <c r="J995" s="18">
        <v>18403</v>
      </c>
      <c r="K995" s="18">
        <v>10348.56</v>
      </c>
      <c r="L995" s="18">
        <v>8054.44</v>
      </c>
      <c r="M995" s="7" t="s">
        <v>35</v>
      </c>
      <c r="N995" s="7" t="s">
        <v>71</v>
      </c>
      <c r="O995" s="7" t="s">
        <v>44</v>
      </c>
      <c r="P995" s="7" t="str">
        <f t="shared" si="45"/>
        <v>Nov</v>
      </c>
      <c r="Q995" s="7">
        <f t="shared" si="46"/>
        <v>2025</v>
      </c>
      <c r="R995" s="23">
        <f t="shared" si="47"/>
        <v>0.43766994511764384</v>
      </c>
    </row>
    <row r="996" spans="1:18">
      <c r="A996" s="7" t="s">
        <v>1293</v>
      </c>
      <c r="B996" s="8">
        <v>45746</v>
      </c>
      <c r="C996" s="7" t="s">
        <v>980</v>
      </c>
      <c r="D996" s="7" t="s">
        <v>56</v>
      </c>
      <c r="E996" s="7" t="s">
        <v>33</v>
      </c>
      <c r="F996" s="7" t="s">
        <v>96</v>
      </c>
      <c r="G996" s="7">
        <v>4</v>
      </c>
      <c r="H996" s="18">
        <v>4604.33</v>
      </c>
      <c r="I996" s="22">
        <v>0</v>
      </c>
      <c r="J996" s="18">
        <v>18417.32</v>
      </c>
      <c r="K996" s="18">
        <v>12380.07</v>
      </c>
      <c r="L996" s="18">
        <v>6037.25</v>
      </c>
      <c r="M996" s="7" t="s">
        <v>57</v>
      </c>
      <c r="N996" s="7" t="s">
        <v>36</v>
      </c>
      <c r="O996" s="7" t="s">
        <v>44</v>
      </c>
      <c r="P996" s="7" t="str">
        <f t="shared" si="45"/>
        <v>Mar</v>
      </c>
      <c r="Q996" s="7">
        <f t="shared" si="46"/>
        <v>2025</v>
      </c>
      <c r="R996" s="23">
        <f t="shared" si="47"/>
        <v>0.32780285079479532</v>
      </c>
    </row>
    <row r="997" spans="1:18">
      <c r="A997" s="7" t="s">
        <v>1198</v>
      </c>
      <c r="B997" s="8">
        <v>45836</v>
      </c>
      <c r="C997" s="7" t="s">
        <v>1116</v>
      </c>
      <c r="D997" s="7" t="s">
        <v>74</v>
      </c>
      <c r="E997" s="7" t="s">
        <v>41</v>
      </c>
      <c r="F997" s="7" t="s">
        <v>42</v>
      </c>
      <c r="G997" s="7">
        <v>1</v>
      </c>
      <c r="H997" s="18">
        <v>4604.76</v>
      </c>
      <c r="I997" s="22">
        <v>0</v>
      </c>
      <c r="J997" s="18">
        <v>4604.76</v>
      </c>
      <c r="K997" s="18">
        <v>2900.77</v>
      </c>
      <c r="L997" s="18">
        <v>1703.99</v>
      </c>
      <c r="M997" s="7" t="s">
        <v>35</v>
      </c>
      <c r="N997" s="7" t="s">
        <v>36</v>
      </c>
      <c r="O997" s="7" t="s">
        <v>37</v>
      </c>
      <c r="P997" s="7" t="str">
        <f t="shared" si="45"/>
        <v>Jun</v>
      </c>
      <c r="Q997" s="7">
        <f t="shared" si="46"/>
        <v>2025</v>
      </c>
      <c r="R997" s="23">
        <f t="shared" si="47"/>
        <v>0.37004968771445201</v>
      </c>
    </row>
    <row r="998" spans="1:18">
      <c r="A998" s="7" t="s">
        <v>1399</v>
      </c>
      <c r="B998" s="8">
        <v>45909</v>
      </c>
      <c r="C998" s="7" t="s">
        <v>110</v>
      </c>
      <c r="D998" s="7" t="s">
        <v>56</v>
      </c>
      <c r="E998" s="7" t="s">
        <v>33</v>
      </c>
      <c r="F998" s="7" t="s">
        <v>92</v>
      </c>
      <c r="G998" s="7">
        <v>5</v>
      </c>
      <c r="H998" s="18">
        <v>4604.8900000000003</v>
      </c>
      <c r="I998" s="22">
        <v>0</v>
      </c>
      <c r="J998" s="18">
        <v>23024.45</v>
      </c>
      <c r="K998" s="18">
        <v>13852.36</v>
      </c>
      <c r="L998" s="18">
        <v>9172.09</v>
      </c>
      <c r="M998" s="7" t="s">
        <v>57</v>
      </c>
      <c r="N998" s="7" t="s">
        <v>36</v>
      </c>
      <c r="O998" s="7" t="s">
        <v>37</v>
      </c>
      <c r="P998" s="7" t="str">
        <f t="shared" si="45"/>
        <v>Sep</v>
      </c>
      <c r="Q998" s="7">
        <f t="shared" si="46"/>
        <v>2025</v>
      </c>
      <c r="R998" s="23">
        <f t="shared" si="47"/>
        <v>0.39836304450269172</v>
      </c>
    </row>
    <row r="999" spans="1:18">
      <c r="A999" s="7" t="s">
        <v>1154</v>
      </c>
      <c r="B999" s="8">
        <v>46156</v>
      </c>
      <c r="C999" s="7" t="s">
        <v>157</v>
      </c>
      <c r="D999" s="7" t="s">
        <v>47</v>
      </c>
      <c r="E999" s="7" t="s">
        <v>61</v>
      </c>
      <c r="F999" s="7" t="s">
        <v>62</v>
      </c>
      <c r="G999" s="7">
        <v>4</v>
      </c>
      <c r="H999" s="18">
        <v>4608.7700000000004</v>
      </c>
      <c r="I999" s="22">
        <v>0.05</v>
      </c>
      <c r="J999" s="18">
        <v>17513.330000000002</v>
      </c>
      <c r="K999" s="18">
        <v>13492.47</v>
      </c>
      <c r="L999" s="18">
        <v>4020.86</v>
      </c>
      <c r="M999" s="7" t="s">
        <v>57</v>
      </c>
      <c r="N999" s="7" t="s">
        <v>71</v>
      </c>
      <c r="O999" s="7" t="s">
        <v>44</v>
      </c>
      <c r="P999" s="7" t="str">
        <f t="shared" si="45"/>
        <v>May</v>
      </c>
      <c r="Q999" s="7">
        <f t="shared" si="46"/>
        <v>2026</v>
      </c>
      <c r="R999" s="23">
        <f t="shared" si="47"/>
        <v>0.22958854769481302</v>
      </c>
    </row>
    <row r="1000" spans="1:18">
      <c r="A1000" s="7" t="s">
        <v>1278</v>
      </c>
      <c r="B1000" s="8">
        <v>45737</v>
      </c>
      <c r="C1000" s="7" t="s">
        <v>397</v>
      </c>
      <c r="D1000" s="7" t="s">
        <v>95</v>
      </c>
      <c r="E1000" s="7" t="s">
        <v>41</v>
      </c>
      <c r="F1000" s="7" t="s">
        <v>119</v>
      </c>
      <c r="G1000" s="7">
        <v>6</v>
      </c>
      <c r="H1000" s="18">
        <v>4609.47</v>
      </c>
      <c r="I1000" s="22">
        <v>0.1</v>
      </c>
      <c r="J1000" s="18">
        <v>24891.14</v>
      </c>
      <c r="K1000" s="18">
        <v>16880.88</v>
      </c>
      <c r="L1000" s="18">
        <v>8010.26</v>
      </c>
      <c r="M1000" s="7" t="s">
        <v>35</v>
      </c>
      <c r="N1000" s="7" t="s">
        <v>71</v>
      </c>
      <c r="O1000" s="7" t="s">
        <v>37</v>
      </c>
      <c r="P1000" s="7" t="str">
        <f t="shared" si="45"/>
        <v>Mar</v>
      </c>
      <c r="Q1000" s="7">
        <f t="shared" si="46"/>
        <v>2025</v>
      </c>
      <c r="R1000" s="23">
        <f t="shared" si="47"/>
        <v>0.32181169685277572</v>
      </c>
    </row>
    <row r="1001" spans="1:18">
      <c r="A1001" s="7" t="s">
        <v>1425</v>
      </c>
      <c r="B1001" s="8">
        <v>45665</v>
      </c>
      <c r="C1001" s="7" t="s">
        <v>648</v>
      </c>
      <c r="D1001" s="7" t="s">
        <v>60</v>
      </c>
      <c r="E1001" s="7" t="s">
        <v>61</v>
      </c>
      <c r="F1001" s="7" t="s">
        <v>81</v>
      </c>
      <c r="G1001" s="7">
        <v>2</v>
      </c>
      <c r="H1001" s="18">
        <v>4611.08</v>
      </c>
      <c r="I1001" s="22">
        <v>0</v>
      </c>
      <c r="J1001" s="18">
        <v>9222.16</v>
      </c>
      <c r="K1001" s="18">
        <v>7437.49</v>
      </c>
      <c r="L1001" s="18">
        <v>1784.67</v>
      </c>
      <c r="M1001" s="7" t="s">
        <v>35</v>
      </c>
      <c r="N1001" s="7" t="s">
        <v>43</v>
      </c>
      <c r="O1001" s="7" t="s">
        <v>44</v>
      </c>
      <c r="P1001" s="7" t="str">
        <f t="shared" si="45"/>
        <v>Jan</v>
      </c>
      <c r="Q1001" s="7">
        <f t="shared" si="46"/>
        <v>2025</v>
      </c>
      <c r="R1001" s="23">
        <f t="shared" si="47"/>
        <v>0.19351973941029002</v>
      </c>
    </row>
    <row r="1002" spans="1:18">
      <c r="A1002" s="7" t="s">
        <v>1481</v>
      </c>
      <c r="B1002" s="8">
        <v>46153</v>
      </c>
      <c r="C1002" s="7" t="s">
        <v>596</v>
      </c>
      <c r="D1002" s="7" t="s">
        <v>134</v>
      </c>
      <c r="E1002" s="7" t="s">
        <v>48</v>
      </c>
      <c r="F1002" s="7" t="s">
        <v>102</v>
      </c>
      <c r="G1002" s="7">
        <v>1</v>
      </c>
      <c r="H1002" s="18">
        <v>4623.1400000000003</v>
      </c>
      <c r="I1002" s="22">
        <v>0.15</v>
      </c>
      <c r="J1002" s="18">
        <v>3929.67</v>
      </c>
      <c r="K1002" s="18">
        <v>2648.38</v>
      </c>
      <c r="L1002" s="18">
        <v>1281.29</v>
      </c>
      <c r="M1002" s="7" t="s">
        <v>57</v>
      </c>
      <c r="N1002" s="7" t="s">
        <v>63</v>
      </c>
      <c r="O1002" s="7" t="s">
        <v>37</v>
      </c>
      <c r="P1002" s="7" t="str">
        <f t="shared" si="45"/>
        <v>May</v>
      </c>
      <c r="Q1002" s="7">
        <f t="shared" si="46"/>
        <v>2026</v>
      </c>
      <c r="R1002" s="23">
        <f t="shared" si="47"/>
        <v>0.32605536851694922</v>
      </c>
    </row>
    <row r="1003" spans="1:18">
      <c r="A1003" s="7" t="s">
        <v>1721</v>
      </c>
      <c r="B1003" s="8">
        <v>45971</v>
      </c>
      <c r="C1003" s="7" t="s">
        <v>437</v>
      </c>
      <c r="D1003" s="7" t="s">
        <v>95</v>
      </c>
      <c r="E1003" s="7" t="s">
        <v>33</v>
      </c>
      <c r="F1003" s="7" t="s">
        <v>96</v>
      </c>
      <c r="G1003" s="7">
        <v>1</v>
      </c>
      <c r="H1003" s="18">
        <v>4625.0200000000004</v>
      </c>
      <c r="I1003" s="22">
        <v>0.15</v>
      </c>
      <c r="J1003" s="18">
        <v>3931.27</v>
      </c>
      <c r="K1003" s="18">
        <v>3010.55</v>
      </c>
      <c r="L1003" s="18">
        <v>920.72</v>
      </c>
      <c r="M1003" s="7" t="s">
        <v>57</v>
      </c>
      <c r="N1003" s="7" t="s">
        <v>43</v>
      </c>
      <c r="O1003" s="7" t="s">
        <v>44</v>
      </c>
      <c r="P1003" s="7" t="str">
        <f t="shared" si="45"/>
        <v>Nov</v>
      </c>
      <c r="Q1003" s="7">
        <f t="shared" si="46"/>
        <v>2025</v>
      </c>
      <c r="R1003" s="23">
        <f t="shared" si="47"/>
        <v>0.23420421390543006</v>
      </c>
    </row>
    <row r="1004" spans="1:18">
      <c r="A1004" s="7" t="s">
        <v>1538</v>
      </c>
      <c r="B1004" s="8">
        <v>46006</v>
      </c>
      <c r="C1004" s="7" t="s">
        <v>112</v>
      </c>
      <c r="D1004" s="7" t="s">
        <v>47</v>
      </c>
      <c r="E1004" s="7" t="s">
        <v>48</v>
      </c>
      <c r="F1004" s="7" t="s">
        <v>49</v>
      </c>
      <c r="G1004" s="7">
        <v>1</v>
      </c>
      <c r="H1004" s="18">
        <v>4633.6099999999997</v>
      </c>
      <c r="I1004" s="22">
        <v>0</v>
      </c>
      <c r="J1004" s="18">
        <v>4633.6099999999997</v>
      </c>
      <c r="K1004" s="18">
        <v>2888.41</v>
      </c>
      <c r="L1004" s="18">
        <v>1745.2</v>
      </c>
      <c r="M1004" s="7" t="s">
        <v>57</v>
      </c>
      <c r="N1004" s="7" t="s">
        <v>43</v>
      </c>
      <c r="O1004" s="7" t="s">
        <v>44</v>
      </c>
      <c r="P1004" s="7" t="str">
        <f t="shared" si="45"/>
        <v>Dec</v>
      </c>
      <c r="Q1004" s="7">
        <f t="shared" si="46"/>
        <v>2025</v>
      </c>
      <c r="R1004" s="23">
        <f t="shared" si="47"/>
        <v>0.37663938052619883</v>
      </c>
    </row>
    <row r="1005" spans="1:18">
      <c r="A1005" s="7" t="s">
        <v>614</v>
      </c>
      <c r="B1005" s="8">
        <v>45964</v>
      </c>
      <c r="C1005" s="7" t="s">
        <v>443</v>
      </c>
      <c r="D1005" s="7" t="s">
        <v>95</v>
      </c>
      <c r="E1005" s="7" t="s">
        <v>48</v>
      </c>
      <c r="F1005" s="7" t="s">
        <v>49</v>
      </c>
      <c r="G1005" s="7">
        <v>2</v>
      </c>
      <c r="H1005" s="18">
        <v>4636.24</v>
      </c>
      <c r="I1005" s="22">
        <v>0</v>
      </c>
      <c r="J1005" s="18">
        <v>9272.48</v>
      </c>
      <c r="K1005" s="18">
        <v>5234.26</v>
      </c>
      <c r="L1005" s="18">
        <v>4038.22</v>
      </c>
      <c r="M1005" s="7" t="s">
        <v>35</v>
      </c>
      <c r="N1005" s="7" t="s">
        <v>63</v>
      </c>
      <c r="O1005" s="7" t="s">
        <v>37</v>
      </c>
      <c r="P1005" s="7" t="str">
        <f t="shared" si="45"/>
        <v>Nov</v>
      </c>
      <c r="Q1005" s="7">
        <f t="shared" si="46"/>
        <v>2025</v>
      </c>
      <c r="R1005" s="23">
        <f t="shared" si="47"/>
        <v>0.43550592721688264</v>
      </c>
    </row>
    <row r="1006" spans="1:18">
      <c r="A1006" s="7" t="s">
        <v>1431</v>
      </c>
      <c r="B1006" s="8">
        <v>46162</v>
      </c>
      <c r="C1006" s="7" t="s">
        <v>1432</v>
      </c>
      <c r="D1006" s="7" t="s">
        <v>56</v>
      </c>
      <c r="E1006" s="7" t="s">
        <v>41</v>
      </c>
      <c r="F1006" s="7" t="s">
        <v>53</v>
      </c>
      <c r="G1006" s="7">
        <v>2</v>
      </c>
      <c r="H1006" s="18">
        <v>4637.33</v>
      </c>
      <c r="I1006" s="22">
        <v>0.1</v>
      </c>
      <c r="J1006" s="18">
        <v>8347.19</v>
      </c>
      <c r="K1006" s="18">
        <v>4953.49</v>
      </c>
      <c r="L1006" s="18">
        <v>3393.7</v>
      </c>
      <c r="M1006" s="7" t="s">
        <v>57</v>
      </c>
      <c r="N1006" s="7" t="s">
        <v>43</v>
      </c>
      <c r="O1006" s="7" t="s">
        <v>44</v>
      </c>
      <c r="P1006" s="7" t="str">
        <f t="shared" si="45"/>
        <v>May</v>
      </c>
      <c r="Q1006" s="7">
        <f t="shared" si="46"/>
        <v>2026</v>
      </c>
      <c r="R1006" s="23">
        <f t="shared" si="47"/>
        <v>0.40656795879811047</v>
      </c>
    </row>
    <row r="1007" spans="1:18">
      <c r="A1007" s="7" t="s">
        <v>906</v>
      </c>
      <c r="B1007" s="8">
        <v>46214</v>
      </c>
      <c r="C1007" s="7" t="s">
        <v>521</v>
      </c>
      <c r="D1007" s="7" t="s">
        <v>66</v>
      </c>
      <c r="E1007" s="7" t="s">
        <v>61</v>
      </c>
      <c r="F1007" s="7" t="s">
        <v>84</v>
      </c>
      <c r="G1007" s="7">
        <v>4</v>
      </c>
      <c r="H1007" s="18">
        <v>4640.28</v>
      </c>
      <c r="I1007" s="22">
        <v>0.15</v>
      </c>
      <c r="J1007" s="18">
        <v>15776.95</v>
      </c>
      <c r="K1007" s="18">
        <v>12984.2</v>
      </c>
      <c r="L1007" s="18">
        <v>2792.75</v>
      </c>
      <c r="M1007" s="7" t="s">
        <v>57</v>
      </c>
      <c r="N1007" s="7" t="s">
        <v>63</v>
      </c>
      <c r="O1007" s="7" t="s">
        <v>37</v>
      </c>
      <c r="P1007" s="7" t="str">
        <f t="shared" si="45"/>
        <v>Jul</v>
      </c>
      <c r="Q1007" s="7">
        <f t="shared" si="46"/>
        <v>2026</v>
      </c>
      <c r="R1007" s="23">
        <f t="shared" si="47"/>
        <v>0.1770145687220914</v>
      </c>
    </row>
    <row r="1008" spans="1:18">
      <c r="A1008" s="7" t="s">
        <v>827</v>
      </c>
      <c r="B1008" s="8">
        <v>46184</v>
      </c>
      <c r="C1008" s="7" t="s">
        <v>179</v>
      </c>
      <c r="D1008" s="7" t="s">
        <v>66</v>
      </c>
      <c r="E1008" s="7" t="s">
        <v>41</v>
      </c>
      <c r="F1008" s="7" t="s">
        <v>42</v>
      </c>
      <c r="G1008" s="7">
        <v>5</v>
      </c>
      <c r="H1008" s="18">
        <v>4643.1000000000004</v>
      </c>
      <c r="I1008" s="22">
        <v>0</v>
      </c>
      <c r="J1008" s="18">
        <v>23215.5</v>
      </c>
      <c r="K1008" s="18">
        <v>14923.93</v>
      </c>
      <c r="L1008" s="18">
        <v>8291.57</v>
      </c>
      <c r="M1008" s="7" t="s">
        <v>57</v>
      </c>
      <c r="N1008" s="7" t="s">
        <v>63</v>
      </c>
      <c r="O1008" s="7" t="s">
        <v>44</v>
      </c>
      <c r="P1008" s="7" t="str">
        <f t="shared" si="45"/>
        <v>Jun</v>
      </c>
      <c r="Q1008" s="7">
        <f t="shared" si="46"/>
        <v>2026</v>
      </c>
      <c r="R1008" s="23">
        <f t="shared" si="47"/>
        <v>0.35715664103723804</v>
      </c>
    </row>
    <row r="1009" spans="1:18">
      <c r="A1009" s="7" t="s">
        <v>1396</v>
      </c>
      <c r="B1009" s="8">
        <v>46055</v>
      </c>
      <c r="C1009" s="7" t="s">
        <v>316</v>
      </c>
      <c r="D1009" s="7" t="s">
        <v>32</v>
      </c>
      <c r="E1009" s="7" t="s">
        <v>41</v>
      </c>
      <c r="F1009" s="7" t="s">
        <v>42</v>
      </c>
      <c r="G1009" s="7">
        <v>1</v>
      </c>
      <c r="H1009" s="18">
        <v>4651.05</v>
      </c>
      <c r="I1009" s="22">
        <v>0.15</v>
      </c>
      <c r="J1009" s="18">
        <v>3953.39</v>
      </c>
      <c r="K1009" s="18">
        <v>3007.69</v>
      </c>
      <c r="L1009" s="18">
        <v>945.7</v>
      </c>
      <c r="M1009" s="7" t="s">
        <v>35</v>
      </c>
      <c r="N1009" s="7" t="s">
        <v>71</v>
      </c>
      <c r="O1009" s="7" t="s">
        <v>44</v>
      </c>
      <c r="P1009" s="7" t="str">
        <f t="shared" si="45"/>
        <v>Feb</v>
      </c>
      <c r="Q1009" s="7">
        <f t="shared" si="46"/>
        <v>2026</v>
      </c>
      <c r="R1009" s="23">
        <f t="shared" si="47"/>
        <v>0.23921242275616625</v>
      </c>
    </row>
    <row r="1010" spans="1:18">
      <c r="A1010" s="7" t="s">
        <v>940</v>
      </c>
      <c r="B1010" s="8">
        <v>46169</v>
      </c>
      <c r="C1010" s="7" t="s">
        <v>941</v>
      </c>
      <c r="D1010" s="7" t="s">
        <v>134</v>
      </c>
      <c r="E1010" s="7" t="s">
        <v>33</v>
      </c>
      <c r="F1010" s="7" t="s">
        <v>96</v>
      </c>
      <c r="G1010" s="7">
        <v>1</v>
      </c>
      <c r="H1010" s="18">
        <v>4653.55</v>
      </c>
      <c r="I1010" s="22">
        <v>0</v>
      </c>
      <c r="J1010" s="18">
        <v>4653.55</v>
      </c>
      <c r="K1010" s="18">
        <v>3123.69</v>
      </c>
      <c r="L1010" s="18">
        <v>1529.86</v>
      </c>
      <c r="M1010" s="7" t="s">
        <v>57</v>
      </c>
      <c r="N1010" s="7" t="s">
        <v>43</v>
      </c>
      <c r="O1010" s="7" t="s">
        <v>44</v>
      </c>
      <c r="P1010" s="7" t="str">
        <f t="shared" si="45"/>
        <v>May</v>
      </c>
      <c r="Q1010" s="7">
        <f t="shared" si="46"/>
        <v>2026</v>
      </c>
      <c r="R1010" s="23">
        <f t="shared" si="47"/>
        <v>0.32875116846278646</v>
      </c>
    </row>
    <row r="1011" spans="1:18">
      <c r="A1011" s="7" t="s">
        <v>1502</v>
      </c>
      <c r="B1011" s="8">
        <v>45806</v>
      </c>
      <c r="C1011" s="7" t="s">
        <v>1190</v>
      </c>
      <c r="D1011" s="7" t="s">
        <v>40</v>
      </c>
      <c r="E1011" s="7" t="s">
        <v>48</v>
      </c>
      <c r="F1011" s="7" t="s">
        <v>49</v>
      </c>
      <c r="G1011" s="7">
        <v>6</v>
      </c>
      <c r="H1011" s="18">
        <v>4657.8</v>
      </c>
      <c r="I1011" s="22">
        <v>0.05</v>
      </c>
      <c r="J1011" s="18">
        <v>26549.46</v>
      </c>
      <c r="K1011" s="18">
        <v>16732.490000000002</v>
      </c>
      <c r="L1011" s="18">
        <v>9816.9699999999993</v>
      </c>
      <c r="M1011" s="7" t="s">
        <v>57</v>
      </c>
      <c r="N1011" s="7" t="s">
        <v>43</v>
      </c>
      <c r="O1011" s="7" t="s">
        <v>37</v>
      </c>
      <c r="P1011" s="7" t="str">
        <f t="shared" si="45"/>
        <v>May</v>
      </c>
      <c r="Q1011" s="7">
        <f t="shared" si="46"/>
        <v>2025</v>
      </c>
      <c r="R1011" s="23">
        <f t="shared" si="47"/>
        <v>0.36976156953851413</v>
      </c>
    </row>
    <row r="1012" spans="1:18">
      <c r="A1012" s="7" t="s">
        <v>915</v>
      </c>
      <c r="B1012" s="8">
        <v>46192</v>
      </c>
      <c r="C1012" s="7" t="s">
        <v>115</v>
      </c>
      <c r="D1012" s="7" t="s">
        <v>66</v>
      </c>
      <c r="E1012" s="7" t="s">
        <v>33</v>
      </c>
      <c r="F1012" s="7" t="s">
        <v>96</v>
      </c>
      <c r="G1012" s="7">
        <v>6</v>
      </c>
      <c r="H1012" s="18">
        <v>4662.4799999999996</v>
      </c>
      <c r="I1012" s="22">
        <v>0</v>
      </c>
      <c r="J1012" s="18">
        <v>27974.880000000001</v>
      </c>
      <c r="K1012" s="18">
        <v>22084.720000000001</v>
      </c>
      <c r="L1012" s="18">
        <v>5890.16</v>
      </c>
      <c r="M1012" s="7" t="s">
        <v>35</v>
      </c>
      <c r="N1012" s="7" t="s">
        <v>63</v>
      </c>
      <c r="O1012" s="7" t="s">
        <v>37</v>
      </c>
      <c r="P1012" s="7" t="str">
        <f t="shared" si="45"/>
        <v>Jun</v>
      </c>
      <c r="Q1012" s="7">
        <f t="shared" si="46"/>
        <v>2026</v>
      </c>
      <c r="R1012" s="23">
        <f t="shared" si="47"/>
        <v>0.21055175214335145</v>
      </c>
    </row>
    <row r="1013" spans="1:18">
      <c r="A1013" s="7" t="s">
        <v>581</v>
      </c>
      <c r="B1013" s="8">
        <v>46085</v>
      </c>
      <c r="C1013" s="7" t="s">
        <v>582</v>
      </c>
      <c r="D1013" s="7" t="s">
        <v>47</v>
      </c>
      <c r="E1013" s="7" t="s">
        <v>61</v>
      </c>
      <c r="F1013" s="7" t="s">
        <v>89</v>
      </c>
      <c r="G1013" s="7">
        <v>1</v>
      </c>
      <c r="H1013" s="18">
        <v>4667.45</v>
      </c>
      <c r="I1013" s="22">
        <v>0.1</v>
      </c>
      <c r="J1013" s="18">
        <v>4200.7</v>
      </c>
      <c r="K1013" s="18">
        <v>2747.57</v>
      </c>
      <c r="L1013" s="18">
        <v>1453.13</v>
      </c>
      <c r="M1013" s="7" t="s">
        <v>57</v>
      </c>
      <c r="N1013" s="7" t="s">
        <v>63</v>
      </c>
      <c r="O1013" s="7" t="s">
        <v>37</v>
      </c>
      <c r="P1013" s="7" t="str">
        <f t="shared" si="45"/>
        <v>Mar</v>
      </c>
      <c r="Q1013" s="7">
        <f t="shared" si="46"/>
        <v>2026</v>
      </c>
      <c r="R1013" s="23">
        <f t="shared" si="47"/>
        <v>0.34592567905349114</v>
      </c>
    </row>
    <row r="1014" spans="1:18">
      <c r="A1014" s="7" t="s">
        <v>1599</v>
      </c>
      <c r="B1014" s="8">
        <v>46257</v>
      </c>
      <c r="C1014" s="7" t="s">
        <v>859</v>
      </c>
      <c r="D1014" s="7" t="s">
        <v>60</v>
      </c>
      <c r="E1014" s="7" t="s">
        <v>33</v>
      </c>
      <c r="F1014" s="7" t="s">
        <v>176</v>
      </c>
      <c r="G1014" s="7">
        <v>2</v>
      </c>
      <c r="H1014" s="18">
        <v>4667.6400000000003</v>
      </c>
      <c r="I1014" s="22">
        <v>0.2</v>
      </c>
      <c r="J1014" s="18">
        <v>7468.22</v>
      </c>
      <c r="K1014" s="18">
        <v>4702.34</v>
      </c>
      <c r="L1014" s="18">
        <v>2765.88</v>
      </c>
      <c r="M1014" s="7" t="s">
        <v>57</v>
      </c>
      <c r="N1014" s="7" t="s">
        <v>71</v>
      </c>
      <c r="O1014" s="7" t="s">
        <v>44</v>
      </c>
      <c r="P1014" s="7" t="str">
        <f t="shared" si="45"/>
        <v>Aug</v>
      </c>
      <c r="Q1014" s="7">
        <f t="shared" si="46"/>
        <v>2026</v>
      </c>
      <c r="R1014" s="23">
        <f t="shared" si="47"/>
        <v>0.37035331042738429</v>
      </c>
    </row>
    <row r="1015" spans="1:18">
      <c r="A1015" s="7" t="s">
        <v>1109</v>
      </c>
      <c r="B1015" s="8">
        <v>46046</v>
      </c>
      <c r="C1015" s="7" t="s">
        <v>557</v>
      </c>
      <c r="D1015" s="7" t="s">
        <v>60</v>
      </c>
      <c r="E1015" s="7" t="s">
        <v>41</v>
      </c>
      <c r="F1015" s="7" t="s">
        <v>153</v>
      </c>
      <c r="G1015" s="7">
        <v>4</v>
      </c>
      <c r="H1015" s="18">
        <v>4668.7</v>
      </c>
      <c r="I1015" s="22">
        <v>0.1</v>
      </c>
      <c r="J1015" s="18">
        <v>16807.32</v>
      </c>
      <c r="K1015" s="18">
        <v>11940.95</v>
      </c>
      <c r="L1015" s="18">
        <v>4866.37</v>
      </c>
      <c r="M1015" s="7" t="s">
        <v>35</v>
      </c>
      <c r="N1015" s="7" t="s">
        <v>71</v>
      </c>
      <c r="O1015" s="7" t="s">
        <v>44</v>
      </c>
      <c r="P1015" s="7" t="str">
        <f t="shared" si="45"/>
        <v>Jan</v>
      </c>
      <c r="Q1015" s="7">
        <f t="shared" si="46"/>
        <v>2026</v>
      </c>
      <c r="R1015" s="23">
        <f t="shared" si="47"/>
        <v>0.28953872479372084</v>
      </c>
    </row>
    <row r="1016" spans="1:18">
      <c r="A1016" s="7" t="s">
        <v>904</v>
      </c>
      <c r="B1016" s="8">
        <v>46203</v>
      </c>
      <c r="C1016" s="7" t="s">
        <v>722</v>
      </c>
      <c r="D1016" s="7" t="s">
        <v>52</v>
      </c>
      <c r="E1016" s="7" t="s">
        <v>48</v>
      </c>
      <c r="F1016" s="7" t="s">
        <v>113</v>
      </c>
      <c r="G1016" s="7">
        <v>4</v>
      </c>
      <c r="H1016" s="18">
        <v>4669.24</v>
      </c>
      <c r="I1016" s="22">
        <v>0</v>
      </c>
      <c r="J1016" s="18">
        <v>18676.96</v>
      </c>
      <c r="K1016" s="18">
        <v>12772.89</v>
      </c>
      <c r="L1016" s="18">
        <v>5904.07</v>
      </c>
      <c r="M1016" s="7" t="s">
        <v>57</v>
      </c>
      <c r="N1016" s="7" t="s">
        <v>43</v>
      </c>
      <c r="O1016" s="7" t="s">
        <v>44</v>
      </c>
      <c r="P1016" s="7" t="str">
        <f t="shared" si="45"/>
        <v>Jun</v>
      </c>
      <c r="Q1016" s="7">
        <f t="shared" si="46"/>
        <v>2026</v>
      </c>
      <c r="R1016" s="23">
        <f t="shared" si="47"/>
        <v>0.31611514936049551</v>
      </c>
    </row>
    <row r="1017" spans="1:18">
      <c r="A1017" s="7" t="s">
        <v>1336</v>
      </c>
      <c r="B1017" s="8">
        <v>45682</v>
      </c>
      <c r="C1017" s="7" t="s">
        <v>131</v>
      </c>
      <c r="D1017" s="7" t="s">
        <v>95</v>
      </c>
      <c r="E1017" s="7" t="s">
        <v>41</v>
      </c>
      <c r="F1017" s="7" t="s">
        <v>124</v>
      </c>
      <c r="G1017" s="7">
        <v>5</v>
      </c>
      <c r="H1017" s="18">
        <v>4677.96</v>
      </c>
      <c r="I1017" s="22">
        <v>0</v>
      </c>
      <c r="J1017" s="18">
        <v>23389.8</v>
      </c>
      <c r="K1017" s="18">
        <v>14558.4</v>
      </c>
      <c r="L1017" s="18">
        <v>8831.4</v>
      </c>
      <c r="M1017" s="7" t="s">
        <v>57</v>
      </c>
      <c r="N1017" s="7" t="s">
        <v>63</v>
      </c>
      <c r="O1017" s="7" t="s">
        <v>44</v>
      </c>
      <c r="P1017" s="7" t="str">
        <f t="shared" si="45"/>
        <v>Jan</v>
      </c>
      <c r="Q1017" s="7">
        <f t="shared" si="46"/>
        <v>2025</v>
      </c>
      <c r="R1017" s="23">
        <f t="shared" si="47"/>
        <v>0.3775748403150091</v>
      </c>
    </row>
    <row r="1018" spans="1:18">
      <c r="A1018" s="7" t="s">
        <v>223</v>
      </c>
      <c r="B1018" s="8">
        <v>46018</v>
      </c>
      <c r="C1018" s="7" t="s">
        <v>224</v>
      </c>
      <c r="D1018" s="7" t="s">
        <v>32</v>
      </c>
      <c r="E1018" s="7" t="s">
        <v>33</v>
      </c>
      <c r="F1018" s="7" t="s">
        <v>96</v>
      </c>
      <c r="G1018" s="7">
        <v>1</v>
      </c>
      <c r="H1018" s="18">
        <v>4684.8599999999997</v>
      </c>
      <c r="I1018" s="22">
        <v>0.15</v>
      </c>
      <c r="J1018" s="18">
        <v>3982.13</v>
      </c>
      <c r="K1018" s="18">
        <v>3050.81</v>
      </c>
      <c r="L1018" s="18">
        <v>931.32</v>
      </c>
      <c r="M1018" s="7" t="s">
        <v>35</v>
      </c>
      <c r="N1018" s="7" t="s">
        <v>43</v>
      </c>
      <c r="O1018" s="7" t="s">
        <v>44</v>
      </c>
      <c r="P1018" s="7" t="str">
        <f t="shared" si="45"/>
        <v>Dec</v>
      </c>
      <c r="Q1018" s="7">
        <f t="shared" si="46"/>
        <v>2025</v>
      </c>
      <c r="R1018" s="23">
        <f t="shared" si="47"/>
        <v>0.23387483582906635</v>
      </c>
    </row>
    <row r="1019" spans="1:18">
      <c r="A1019" s="7" t="s">
        <v>329</v>
      </c>
      <c r="B1019" s="8">
        <v>46218</v>
      </c>
      <c r="C1019" s="7" t="s">
        <v>330</v>
      </c>
      <c r="D1019" s="7" t="s">
        <v>56</v>
      </c>
      <c r="E1019" s="7" t="s">
        <v>41</v>
      </c>
      <c r="F1019" s="7" t="s">
        <v>124</v>
      </c>
      <c r="G1019" s="7">
        <v>3</v>
      </c>
      <c r="H1019" s="18">
        <v>4690.8599999999997</v>
      </c>
      <c r="I1019" s="22">
        <v>0.05</v>
      </c>
      <c r="J1019" s="18">
        <v>13368.95</v>
      </c>
      <c r="K1019" s="18">
        <v>7582.01</v>
      </c>
      <c r="L1019" s="18">
        <v>5786.94</v>
      </c>
      <c r="M1019" s="7" t="s">
        <v>35</v>
      </c>
      <c r="N1019" s="7" t="s">
        <v>71</v>
      </c>
      <c r="O1019" s="7" t="s">
        <v>44</v>
      </c>
      <c r="P1019" s="7" t="str">
        <f t="shared" si="45"/>
        <v>Jul</v>
      </c>
      <c r="Q1019" s="7">
        <f t="shared" si="46"/>
        <v>2026</v>
      </c>
      <c r="R1019" s="23">
        <f t="shared" si="47"/>
        <v>0.43286421147509707</v>
      </c>
    </row>
    <row r="1020" spans="1:18">
      <c r="A1020" s="7" t="s">
        <v>947</v>
      </c>
      <c r="B1020" s="8">
        <v>45936</v>
      </c>
      <c r="C1020" s="7" t="s">
        <v>948</v>
      </c>
      <c r="D1020" s="7" t="s">
        <v>47</v>
      </c>
      <c r="E1020" s="7" t="s">
        <v>41</v>
      </c>
      <c r="F1020" s="7" t="s">
        <v>42</v>
      </c>
      <c r="G1020" s="7">
        <v>3</v>
      </c>
      <c r="H1020" s="18">
        <v>4693.49</v>
      </c>
      <c r="I1020" s="22">
        <v>0.15</v>
      </c>
      <c r="J1020" s="18">
        <v>11968.4</v>
      </c>
      <c r="K1020" s="18">
        <v>8637.02</v>
      </c>
      <c r="L1020" s="18">
        <v>3331.38</v>
      </c>
      <c r="M1020" s="7" t="s">
        <v>57</v>
      </c>
      <c r="N1020" s="7" t="s">
        <v>43</v>
      </c>
      <c r="O1020" s="7" t="s">
        <v>44</v>
      </c>
      <c r="P1020" s="7" t="str">
        <f t="shared" si="45"/>
        <v>Oct</v>
      </c>
      <c r="Q1020" s="7">
        <f t="shared" si="46"/>
        <v>2025</v>
      </c>
      <c r="R1020" s="23">
        <f t="shared" si="47"/>
        <v>0.27834798302195785</v>
      </c>
    </row>
    <row r="1021" spans="1:18">
      <c r="A1021" s="7" t="s">
        <v>780</v>
      </c>
      <c r="B1021" s="8">
        <v>46209</v>
      </c>
      <c r="C1021" s="7" t="s">
        <v>144</v>
      </c>
      <c r="D1021" s="7" t="s">
        <v>56</v>
      </c>
      <c r="E1021" s="7" t="s">
        <v>48</v>
      </c>
      <c r="F1021" s="7" t="s">
        <v>70</v>
      </c>
      <c r="G1021" s="7">
        <v>6</v>
      </c>
      <c r="H1021" s="18">
        <v>4695.74</v>
      </c>
      <c r="I1021" s="22">
        <v>0.05</v>
      </c>
      <c r="J1021" s="18">
        <v>26765.72</v>
      </c>
      <c r="K1021" s="18">
        <v>20563.25</v>
      </c>
      <c r="L1021" s="18">
        <v>6202.47</v>
      </c>
      <c r="M1021" s="7" t="s">
        <v>35</v>
      </c>
      <c r="N1021" s="7" t="s">
        <v>43</v>
      </c>
      <c r="O1021" s="7" t="s">
        <v>44</v>
      </c>
      <c r="P1021" s="7" t="str">
        <f t="shared" si="45"/>
        <v>Jul</v>
      </c>
      <c r="Q1021" s="7">
        <f t="shared" si="46"/>
        <v>2026</v>
      </c>
      <c r="R1021" s="23">
        <f t="shared" si="47"/>
        <v>0.23173185701710994</v>
      </c>
    </row>
    <row r="1022" spans="1:18">
      <c r="A1022" s="7" t="s">
        <v>1631</v>
      </c>
      <c r="B1022" s="8">
        <v>45798</v>
      </c>
      <c r="C1022" s="7" t="s">
        <v>497</v>
      </c>
      <c r="D1022" s="7" t="s">
        <v>134</v>
      </c>
      <c r="E1022" s="7" t="s">
        <v>41</v>
      </c>
      <c r="F1022" s="7" t="s">
        <v>42</v>
      </c>
      <c r="G1022" s="7">
        <v>2</v>
      </c>
      <c r="H1022" s="18">
        <v>4701.87</v>
      </c>
      <c r="I1022" s="22">
        <v>0</v>
      </c>
      <c r="J1022" s="18">
        <v>9403.74</v>
      </c>
      <c r="K1022" s="18">
        <v>5424.28</v>
      </c>
      <c r="L1022" s="18">
        <v>3979.46</v>
      </c>
      <c r="M1022" s="7" t="s">
        <v>35</v>
      </c>
      <c r="N1022" s="7" t="s">
        <v>43</v>
      </c>
      <c r="O1022" s="7" t="s">
        <v>37</v>
      </c>
      <c r="P1022" s="7" t="str">
        <f t="shared" si="45"/>
        <v>May</v>
      </c>
      <c r="Q1022" s="7">
        <f t="shared" si="46"/>
        <v>2025</v>
      </c>
      <c r="R1022" s="23">
        <f t="shared" si="47"/>
        <v>0.4231784375152865</v>
      </c>
    </row>
    <row r="1023" spans="1:18">
      <c r="A1023" s="7" t="s">
        <v>93</v>
      </c>
      <c r="B1023" s="8">
        <v>45794</v>
      </c>
      <c r="C1023" s="7" t="s">
        <v>94</v>
      </c>
      <c r="D1023" s="7" t="s">
        <v>95</v>
      </c>
      <c r="E1023" s="7" t="s">
        <v>33</v>
      </c>
      <c r="F1023" s="7" t="s">
        <v>96</v>
      </c>
      <c r="G1023" s="7">
        <v>3</v>
      </c>
      <c r="H1023" s="18">
        <v>4703.0200000000004</v>
      </c>
      <c r="I1023" s="22">
        <v>0</v>
      </c>
      <c r="J1023" s="18">
        <v>14109.06</v>
      </c>
      <c r="K1023" s="18">
        <v>11022.12</v>
      </c>
      <c r="L1023" s="18">
        <v>3086.94</v>
      </c>
      <c r="M1023" s="7" t="s">
        <v>35</v>
      </c>
      <c r="N1023" s="7" t="s">
        <v>36</v>
      </c>
      <c r="O1023" s="7" t="s">
        <v>37</v>
      </c>
      <c r="P1023" s="7" t="str">
        <f t="shared" si="45"/>
        <v>May</v>
      </c>
      <c r="Q1023" s="7">
        <f t="shared" si="46"/>
        <v>2025</v>
      </c>
      <c r="R1023" s="23">
        <f t="shared" si="47"/>
        <v>0.2187913298263669</v>
      </c>
    </row>
    <row r="1024" spans="1:18">
      <c r="A1024" s="7" t="s">
        <v>1173</v>
      </c>
      <c r="B1024" s="8">
        <v>45725</v>
      </c>
      <c r="C1024" s="7" t="s">
        <v>988</v>
      </c>
      <c r="D1024" s="7" t="s">
        <v>60</v>
      </c>
      <c r="E1024" s="7" t="s">
        <v>48</v>
      </c>
      <c r="F1024" s="7" t="s">
        <v>99</v>
      </c>
      <c r="G1024" s="7">
        <v>5</v>
      </c>
      <c r="H1024" s="18">
        <v>4706.1099999999997</v>
      </c>
      <c r="I1024" s="22">
        <v>0.1</v>
      </c>
      <c r="J1024" s="18">
        <v>21177.49</v>
      </c>
      <c r="K1024" s="18">
        <v>16367.83</v>
      </c>
      <c r="L1024" s="18">
        <v>4809.66</v>
      </c>
      <c r="M1024" s="7" t="s">
        <v>35</v>
      </c>
      <c r="N1024" s="7" t="s">
        <v>36</v>
      </c>
      <c r="O1024" s="7" t="s">
        <v>44</v>
      </c>
      <c r="P1024" s="7" t="str">
        <f t="shared" si="45"/>
        <v>Mar</v>
      </c>
      <c r="Q1024" s="7">
        <f t="shared" si="46"/>
        <v>2025</v>
      </c>
      <c r="R1024" s="23">
        <f t="shared" si="47"/>
        <v>0.2271119004187937</v>
      </c>
    </row>
    <row r="1025" spans="1:18">
      <c r="A1025" s="7" t="s">
        <v>440</v>
      </c>
      <c r="B1025" s="8">
        <v>45883</v>
      </c>
      <c r="C1025" s="7" t="s">
        <v>441</v>
      </c>
      <c r="D1025" s="7" t="s">
        <v>47</v>
      </c>
      <c r="E1025" s="7" t="s">
        <v>41</v>
      </c>
      <c r="F1025" s="7" t="s">
        <v>124</v>
      </c>
      <c r="G1025" s="7">
        <v>6</v>
      </c>
      <c r="H1025" s="18">
        <v>4709.26</v>
      </c>
      <c r="I1025" s="22">
        <v>0</v>
      </c>
      <c r="J1025" s="18">
        <v>28255.56</v>
      </c>
      <c r="K1025" s="18">
        <v>17230.12</v>
      </c>
      <c r="L1025" s="18">
        <v>11025.44</v>
      </c>
      <c r="M1025" s="7" t="s">
        <v>35</v>
      </c>
      <c r="N1025" s="7" t="s">
        <v>36</v>
      </c>
      <c r="O1025" s="7" t="s">
        <v>44</v>
      </c>
      <c r="P1025" s="7" t="str">
        <f t="shared" si="45"/>
        <v>Aug</v>
      </c>
      <c r="Q1025" s="7">
        <f t="shared" si="46"/>
        <v>2025</v>
      </c>
      <c r="R1025" s="23">
        <f t="shared" si="47"/>
        <v>0.3902042642226875</v>
      </c>
    </row>
    <row r="1026" spans="1:18">
      <c r="A1026" s="7" t="s">
        <v>1748</v>
      </c>
      <c r="B1026" s="8">
        <v>45847</v>
      </c>
      <c r="C1026" s="7" t="s">
        <v>640</v>
      </c>
      <c r="D1026" s="7" t="s">
        <v>74</v>
      </c>
      <c r="E1026" s="7" t="s">
        <v>41</v>
      </c>
      <c r="F1026" s="7" t="s">
        <v>42</v>
      </c>
      <c r="G1026" s="7">
        <v>1</v>
      </c>
      <c r="H1026" s="18">
        <v>4714.75</v>
      </c>
      <c r="I1026" s="22">
        <v>0.1</v>
      </c>
      <c r="J1026" s="18">
        <v>4243.28</v>
      </c>
      <c r="K1026" s="18">
        <v>2951.95</v>
      </c>
      <c r="L1026" s="18">
        <v>1291.33</v>
      </c>
      <c r="M1026" s="7" t="s">
        <v>35</v>
      </c>
      <c r="N1026" s="7" t="s">
        <v>36</v>
      </c>
      <c r="O1026" s="7" t="s">
        <v>44</v>
      </c>
      <c r="P1026" s="7" t="str">
        <f t="shared" ref="P1026:P1089" si="48">TEXT(B1026,"mmm")</f>
        <v>Jul</v>
      </c>
      <c r="Q1026" s="7">
        <f t="shared" ref="Q1026:Q1089" si="49">YEAR(B1026)</f>
        <v>2025</v>
      </c>
      <c r="R1026" s="23">
        <f t="shared" ref="R1026:R1089" si="50">IFERROR(L1026/J1026,0)</f>
        <v>0.30432354216549462</v>
      </c>
    </row>
    <row r="1027" spans="1:18">
      <c r="A1027" s="7" t="s">
        <v>926</v>
      </c>
      <c r="B1027" s="8">
        <v>45989</v>
      </c>
      <c r="C1027" s="7" t="s">
        <v>927</v>
      </c>
      <c r="D1027" s="7" t="s">
        <v>52</v>
      </c>
      <c r="E1027" s="7" t="s">
        <v>33</v>
      </c>
      <c r="F1027" s="7" t="s">
        <v>92</v>
      </c>
      <c r="G1027" s="7">
        <v>6</v>
      </c>
      <c r="H1027" s="18">
        <v>4721.8900000000003</v>
      </c>
      <c r="I1027" s="22">
        <v>0.2</v>
      </c>
      <c r="J1027" s="18">
        <v>22665.07</v>
      </c>
      <c r="K1027" s="18">
        <v>16387.52</v>
      </c>
      <c r="L1027" s="18">
        <v>6277.55</v>
      </c>
      <c r="M1027" s="7" t="s">
        <v>35</v>
      </c>
      <c r="N1027" s="7" t="s">
        <v>63</v>
      </c>
      <c r="O1027" s="7" t="s">
        <v>44</v>
      </c>
      <c r="P1027" s="7" t="str">
        <f t="shared" si="48"/>
        <v>Nov</v>
      </c>
      <c r="Q1027" s="7">
        <f t="shared" si="49"/>
        <v>2025</v>
      </c>
      <c r="R1027" s="23">
        <f t="shared" si="50"/>
        <v>0.27697024540405124</v>
      </c>
    </row>
    <row r="1028" spans="1:18">
      <c r="A1028" s="7" t="s">
        <v>1730</v>
      </c>
      <c r="B1028" s="8">
        <v>46225</v>
      </c>
      <c r="C1028" s="7" t="s">
        <v>1731</v>
      </c>
      <c r="D1028" s="7" t="s">
        <v>60</v>
      </c>
      <c r="E1028" s="7" t="s">
        <v>48</v>
      </c>
      <c r="F1028" s="7" t="s">
        <v>102</v>
      </c>
      <c r="G1028" s="7">
        <v>1</v>
      </c>
      <c r="H1028" s="18">
        <v>4721.9399999999996</v>
      </c>
      <c r="I1028" s="22">
        <v>0.1</v>
      </c>
      <c r="J1028" s="18">
        <v>4249.75</v>
      </c>
      <c r="K1028" s="18">
        <v>3161.02</v>
      </c>
      <c r="L1028" s="18">
        <v>1088.73</v>
      </c>
      <c r="M1028" s="7" t="s">
        <v>57</v>
      </c>
      <c r="N1028" s="7" t="s">
        <v>63</v>
      </c>
      <c r="O1028" s="7" t="s">
        <v>44</v>
      </c>
      <c r="P1028" s="7" t="str">
        <f t="shared" si="48"/>
        <v>Jul</v>
      </c>
      <c r="Q1028" s="7">
        <f t="shared" si="49"/>
        <v>2026</v>
      </c>
      <c r="R1028" s="23">
        <f t="shared" si="50"/>
        <v>0.25618683451967761</v>
      </c>
    </row>
    <row r="1029" spans="1:18">
      <c r="A1029" s="7" t="s">
        <v>1372</v>
      </c>
      <c r="B1029" s="8">
        <v>45711</v>
      </c>
      <c r="C1029" s="7" t="s">
        <v>1373</v>
      </c>
      <c r="D1029" s="7" t="s">
        <v>56</v>
      </c>
      <c r="E1029" s="7" t="s">
        <v>33</v>
      </c>
      <c r="F1029" s="7" t="s">
        <v>96</v>
      </c>
      <c r="G1029" s="7">
        <v>1</v>
      </c>
      <c r="H1029" s="18">
        <v>4726.6899999999996</v>
      </c>
      <c r="I1029" s="22">
        <v>0.1</v>
      </c>
      <c r="J1029" s="18">
        <v>4254.0200000000004</v>
      </c>
      <c r="K1029" s="18">
        <v>2756.8</v>
      </c>
      <c r="L1029" s="18">
        <v>1497.22</v>
      </c>
      <c r="M1029" s="7" t="s">
        <v>57</v>
      </c>
      <c r="N1029" s="7" t="s">
        <v>71</v>
      </c>
      <c r="O1029" s="7" t="s">
        <v>44</v>
      </c>
      <c r="P1029" s="7" t="str">
        <f t="shared" si="48"/>
        <v>Feb</v>
      </c>
      <c r="Q1029" s="7">
        <f t="shared" si="49"/>
        <v>2025</v>
      </c>
      <c r="R1029" s="23">
        <f t="shared" si="50"/>
        <v>0.35195415160248422</v>
      </c>
    </row>
    <row r="1030" spans="1:18">
      <c r="A1030" s="7" t="s">
        <v>543</v>
      </c>
      <c r="B1030" s="8">
        <v>46146</v>
      </c>
      <c r="C1030" s="7" t="s">
        <v>296</v>
      </c>
      <c r="D1030" s="7" t="s">
        <v>134</v>
      </c>
      <c r="E1030" s="7" t="s">
        <v>48</v>
      </c>
      <c r="F1030" s="7" t="s">
        <v>70</v>
      </c>
      <c r="G1030" s="7">
        <v>4</v>
      </c>
      <c r="H1030" s="18">
        <v>4743.79</v>
      </c>
      <c r="I1030" s="22">
        <v>0.05</v>
      </c>
      <c r="J1030" s="18">
        <v>18026.400000000001</v>
      </c>
      <c r="K1030" s="18">
        <v>10988.66</v>
      </c>
      <c r="L1030" s="18">
        <v>7037.74</v>
      </c>
      <c r="M1030" s="7" t="s">
        <v>35</v>
      </c>
      <c r="N1030" s="7" t="s">
        <v>43</v>
      </c>
      <c r="O1030" s="7" t="s">
        <v>44</v>
      </c>
      <c r="P1030" s="7" t="str">
        <f t="shared" si="48"/>
        <v>May</v>
      </c>
      <c r="Q1030" s="7">
        <f t="shared" si="49"/>
        <v>2026</v>
      </c>
      <c r="R1030" s="23">
        <f t="shared" si="50"/>
        <v>0.39041294989570846</v>
      </c>
    </row>
    <row r="1031" spans="1:18">
      <c r="A1031" s="7" t="s">
        <v>597</v>
      </c>
      <c r="B1031" s="8">
        <v>46178</v>
      </c>
      <c r="C1031" s="7" t="s">
        <v>598</v>
      </c>
      <c r="D1031" s="7" t="s">
        <v>56</v>
      </c>
      <c r="E1031" s="7" t="s">
        <v>61</v>
      </c>
      <c r="F1031" s="7" t="s">
        <v>62</v>
      </c>
      <c r="G1031" s="7">
        <v>2</v>
      </c>
      <c r="H1031" s="18">
        <v>4744.2299999999996</v>
      </c>
      <c r="I1031" s="22">
        <v>0.1</v>
      </c>
      <c r="J1031" s="18">
        <v>8539.61</v>
      </c>
      <c r="K1031" s="18">
        <v>6516.79</v>
      </c>
      <c r="L1031" s="18">
        <v>2022.82</v>
      </c>
      <c r="M1031" s="7" t="s">
        <v>57</v>
      </c>
      <c r="N1031" s="7" t="s">
        <v>43</v>
      </c>
      <c r="O1031" s="7" t="s">
        <v>44</v>
      </c>
      <c r="P1031" s="7" t="str">
        <f t="shared" si="48"/>
        <v>Jun</v>
      </c>
      <c r="Q1031" s="7">
        <f t="shared" si="49"/>
        <v>2026</v>
      </c>
      <c r="R1031" s="23">
        <f t="shared" si="50"/>
        <v>0.2368749860942127</v>
      </c>
    </row>
    <row r="1032" spans="1:18">
      <c r="A1032" s="7" t="s">
        <v>1381</v>
      </c>
      <c r="B1032" s="8">
        <v>45787</v>
      </c>
      <c r="C1032" s="7" t="s">
        <v>346</v>
      </c>
      <c r="D1032" s="7" t="s">
        <v>95</v>
      </c>
      <c r="E1032" s="7" t="s">
        <v>41</v>
      </c>
      <c r="F1032" s="7" t="s">
        <v>53</v>
      </c>
      <c r="G1032" s="7">
        <v>4</v>
      </c>
      <c r="H1032" s="18">
        <v>4753.62</v>
      </c>
      <c r="I1032" s="22">
        <v>0</v>
      </c>
      <c r="J1032" s="18">
        <v>19014.48</v>
      </c>
      <c r="K1032" s="18">
        <v>14104.26</v>
      </c>
      <c r="L1032" s="18">
        <v>4910.22</v>
      </c>
      <c r="M1032" s="7" t="s">
        <v>35</v>
      </c>
      <c r="N1032" s="7" t="s">
        <v>43</v>
      </c>
      <c r="O1032" s="7" t="s">
        <v>37</v>
      </c>
      <c r="P1032" s="7" t="str">
        <f t="shared" si="48"/>
        <v>May</v>
      </c>
      <c r="Q1032" s="7">
        <f t="shared" si="49"/>
        <v>2025</v>
      </c>
      <c r="R1032" s="23">
        <f t="shared" si="50"/>
        <v>0.25823582869476319</v>
      </c>
    </row>
    <row r="1033" spans="1:18">
      <c r="A1033" s="7" t="s">
        <v>1485</v>
      </c>
      <c r="B1033" s="8">
        <v>45828</v>
      </c>
      <c r="C1033" s="7" t="s">
        <v>1486</v>
      </c>
      <c r="D1033" s="7" t="s">
        <v>32</v>
      </c>
      <c r="E1033" s="7" t="s">
        <v>33</v>
      </c>
      <c r="F1033" s="7" t="s">
        <v>96</v>
      </c>
      <c r="G1033" s="7">
        <v>2</v>
      </c>
      <c r="H1033" s="18">
        <v>4766.5600000000004</v>
      </c>
      <c r="I1033" s="22">
        <v>0.1</v>
      </c>
      <c r="J1033" s="18">
        <v>8579.81</v>
      </c>
      <c r="K1033" s="18">
        <v>7010.97</v>
      </c>
      <c r="L1033" s="18">
        <v>1568.84</v>
      </c>
      <c r="M1033" s="7" t="s">
        <v>57</v>
      </c>
      <c r="N1033" s="7" t="s">
        <v>36</v>
      </c>
      <c r="O1033" s="7" t="s">
        <v>44</v>
      </c>
      <c r="P1033" s="7" t="str">
        <f t="shared" si="48"/>
        <v>Jun</v>
      </c>
      <c r="Q1033" s="7">
        <f t="shared" si="49"/>
        <v>2025</v>
      </c>
      <c r="R1033" s="23">
        <f t="shared" si="50"/>
        <v>0.18285253403047386</v>
      </c>
    </row>
    <row r="1034" spans="1:18">
      <c r="A1034" s="7" t="s">
        <v>491</v>
      </c>
      <c r="B1034" s="8">
        <v>45903</v>
      </c>
      <c r="C1034" s="7" t="s">
        <v>292</v>
      </c>
      <c r="D1034" s="7" t="s">
        <v>74</v>
      </c>
      <c r="E1034" s="7" t="s">
        <v>33</v>
      </c>
      <c r="F1034" s="7" t="s">
        <v>34</v>
      </c>
      <c r="G1034" s="7">
        <v>2</v>
      </c>
      <c r="H1034" s="18">
        <v>4769.03</v>
      </c>
      <c r="I1034" s="22">
        <v>0.1</v>
      </c>
      <c r="J1034" s="18">
        <v>8584.25</v>
      </c>
      <c r="K1034" s="18">
        <v>5966.85</v>
      </c>
      <c r="L1034" s="18">
        <v>2617.4</v>
      </c>
      <c r="M1034" s="7" t="s">
        <v>35</v>
      </c>
      <c r="N1034" s="7" t="s">
        <v>36</v>
      </c>
      <c r="O1034" s="7" t="s">
        <v>37</v>
      </c>
      <c r="P1034" s="7" t="str">
        <f t="shared" si="48"/>
        <v>Sep</v>
      </c>
      <c r="Q1034" s="7">
        <f t="shared" si="49"/>
        <v>2025</v>
      </c>
      <c r="R1034" s="23">
        <f t="shared" si="50"/>
        <v>0.30490724291580512</v>
      </c>
    </row>
    <row r="1035" spans="1:18">
      <c r="A1035" s="7" t="s">
        <v>1697</v>
      </c>
      <c r="B1035" s="8">
        <v>45780</v>
      </c>
      <c r="C1035" s="7" t="s">
        <v>1368</v>
      </c>
      <c r="D1035" s="7" t="s">
        <v>66</v>
      </c>
      <c r="E1035" s="7" t="s">
        <v>48</v>
      </c>
      <c r="F1035" s="7" t="s">
        <v>49</v>
      </c>
      <c r="G1035" s="7">
        <v>6</v>
      </c>
      <c r="H1035" s="18">
        <v>4769.1000000000004</v>
      </c>
      <c r="I1035" s="22">
        <v>0.1</v>
      </c>
      <c r="J1035" s="18">
        <v>25753.14</v>
      </c>
      <c r="K1035" s="18">
        <v>15578.86</v>
      </c>
      <c r="L1035" s="18">
        <v>10174.280000000001</v>
      </c>
      <c r="M1035" s="7" t="s">
        <v>57</v>
      </c>
      <c r="N1035" s="7" t="s">
        <v>63</v>
      </c>
      <c r="O1035" s="7" t="s">
        <v>37</v>
      </c>
      <c r="P1035" s="7" t="str">
        <f t="shared" si="48"/>
        <v>May</v>
      </c>
      <c r="Q1035" s="7">
        <f t="shared" si="49"/>
        <v>2025</v>
      </c>
      <c r="R1035" s="23">
        <f t="shared" si="50"/>
        <v>0.39506949443834816</v>
      </c>
    </row>
    <row r="1036" spans="1:18">
      <c r="A1036" s="7" t="s">
        <v>1696</v>
      </c>
      <c r="B1036" s="8">
        <v>45707</v>
      </c>
      <c r="C1036" s="7" t="s">
        <v>1127</v>
      </c>
      <c r="D1036" s="7" t="s">
        <v>52</v>
      </c>
      <c r="E1036" s="7" t="s">
        <v>41</v>
      </c>
      <c r="F1036" s="7" t="s">
        <v>153</v>
      </c>
      <c r="G1036" s="7">
        <v>2</v>
      </c>
      <c r="H1036" s="18">
        <v>4778.26</v>
      </c>
      <c r="I1036" s="22">
        <v>0.15</v>
      </c>
      <c r="J1036" s="18">
        <v>8123.04</v>
      </c>
      <c r="K1036" s="18">
        <v>5352.37</v>
      </c>
      <c r="L1036" s="18">
        <v>2770.67</v>
      </c>
      <c r="M1036" s="7" t="s">
        <v>35</v>
      </c>
      <c r="N1036" s="7" t="s">
        <v>43</v>
      </c>
      <c r="O1036" s="7" t="s">
        <v>44</v>
      </c>
      <c r="P1036" s="7" t="str">
        <f t="shared" si="48"/>
        <v>Feb</v>
      </c>
      <c r="Q1036" s="7">
        <f t="shared" si="49"/>
        <v>2025</v>
      </c>
      <c r="R1036" s="23">
        <f t="shared" si="50"/>
        <v>0.34108781933857274</v>
      </c>
    </row>
    <row r="1037" spans="1:18">
      <c r="A1037" s="7" t="s">
        <v>1235</v>
      </c>
      <c r="B1037" s="8">
        <v>46083</v>
      </c>
      <c r="C1037" s="7" t="s">
        <v>638</v>
      </c>
      <c r="D1037" s="7" t="s">
        <v>52</v>
      </c>
      <c r="E1037" s="7" t="s">
        <v>41</v>
      </c>
      <c r="F1037" s="7" t="s">
        <v>119</v>
      </c>
      <c r="G1037" s="7">
        <v>6</v>
      </c>
      <c r="H1037" s="18">
        <v>4789.75</v>
      </c>
      <c r="I1037" s="22">
        <v>0.05</v>
      </c>
      <c r="J1037" s="18">
        <v>27301.57</v>
      </c>
      <c r="K1037" s="18">
        <v>15913.97</v>
      </c>
      <c r="L1037" s="18">
        <v>11387.6</v>
      </c>
      <c r="M1037" s="7" t="s">
        <v>57</v>
      </c>
      <c r="N1037" s="7" t="s">
        <v>43</v>
      </c>
      <c r="O1037" s="7" t="s">
        <v>37</v>
      </c>
      <c r="P1037" s="7" t="str">
        <f t="shared" si="48"/>
        <v>Mar</v>
      </c>
      <c r="Q1037" s="7">
        <f t="shared" si="49"/>
        <v>2026</v>
      </c>
      <c r="R1037" s="23">
        <f t="shared" si="50"/>
        <v>0.41710421781604501</v>
      </c>
    </row>
    <row r="1038" spans="1:18">
      <c r="A1038" s="7" t="s">
        <v>1286</v>
      </c>
      <c r="B1038" s="8">
        <v>46057</v>
      </c>
      <c r="C1038" s="7" t="s">
        <v>1088</v>
      </c>
      <c r="D1038" s="7" t="s">
        <v>66</v>
      </c>
      <c r="E1038" s="7" t="s">
        <v>48</v>
      </c>
      <c r="F1038" s="7" t="s">
        <v>99</v>
      </c>
      <c r="G1038" s="7">
        <v>3</v>
      </c>
      <c r="H1038" s="18">
        <v>4791.84</v>
      </c>
      <c r="I1038" s="22">
        <v>0.2</v>
      </c>
      <c r="J1038" s="18">
        <v>11500.42</v>
      </c>
      <c r="K1038" s="18">
        <v>6785.08</v>
      </c>
      <c r="L1038" s="18">
        <v>4715.34</v>
      </c>
      <c r="M1038" s="7" t="s">
        <v>35</v>
      </c>
      <c r="N1038" s="7" t="s">
        <v>71</v>
      </c>
      <c r="O1038" s="7" t="s">
        <v>37</v>
      </c>
      <c r="P1038" s="7" t="str">
        <f t="shared" si="48"/>
        <v>Feb</v>
      </c>
      <c r="Q1038" s="7">
        <f t="shared" si="49"/>
        <v>2026</v>
      </c>
      <c r="R1038" s="23">
        <f t="shared" si="50"/>
        <v>0.41001459077146751</v>
      </c>
    </row>
    <row r="1039" spans="1:18">
      <c r="A1039" s="7" t="s">
        <v>1095</v>
      </c>
      <c r="B1039" s="8">
        <v>45674</v>
      </c>
      <c r="C1039" s="7" t="s">
        <v>412</v>
      </c>
      <c r="D1039" s="7" t="s">
        <v>56</v>
      </c>
      <c r="E1039" s="7" t="s">
        <v>41</v>
      </c>
      <c r="F1039" s="7" t="s">
        <v>153</v>
      </c>
      <c r="G1039" s="7">
        <v>4</v>
      </c>
      <c r="H1039" s="18">
        <v>4797.09</v>
      </c>
      <c r="I1039" s="22">
        <v>0.1</v>
      </c>
      <c r="J1039" s="18">
        <v>17269.52</v>
      </c>
      <c r="K1039" s="18">
        <v>12448.61</v>
      </c>
      <c r="L1039" s="18">
        <v>4820.91</v>
      </c>
      <c r="M1039" s="7" t="s">
        <v>57</v>
      </c>
      <c r="N1039" s="7" t="s">
        <v>71</v>
      </c>
      <c r="O1039" s="7" t="s">
        <v>44</v>
      </c>
      <c r="P1039" s="7" t="str">
        <f t="shared" si="48"/>
        <v>Jan</v>
      </c>
      <c r="Q1039" s="7">
        <f t="shared" si="49"/>
        <v>2025</v>
      </c>
      <c r="R1039" s="23">
        <f t="shared" si="50"/>
        <v>0.27915715086464477</v>
      </c>
    </row>
    <row r="1040" spans="1:18">
      <c r="A1040" s="7" t="s">
        <v>1407</v>
      </c>
      <c r="B1040" s="8">
        <v>45738</v>
      </c>
      <c r="C1040" s="7" t="s">
        <v>1282</v>
      </c>
      <c r="D1040" s="7" t="s">
        <v>52</v>
      </c>
      <c r="E1040" s="7" t="s">
        <v>33</v>
      </c>
      <c r="F1040" s="7" t="s">
        <v>96</v>
      </c>
      <c r="G1040" s="7">
        <v>5</v>
      </c>
      <c r="H1040" s="18">
        <v>4797.8500000000004</v>
      </c>
      <c r="I1040" s="22">
        <v>0.15</v>
      </c>
      <c r="J1040" s="18">
        <v>20390.86</v>
      </c>
      <c r="K1040" s="18">
        <v>14133.81</v>
      </c>
      <c r="L1040" s="18">
        <v>6257.05</v>
      </c>
      <c r="M1040" s="7" t="s">
        <v>57</v>
      </c>
      <c r="N1040" s="7" t="s">
        <v>36</v>
      </c>
      <c r="O1040" s="7" t="s">
        <v>44</v>
      </c>
      <c r="P1040" s="7" t="str">
        <f t="shared" si="48"/>
        <v>Mar</v>
      </c>
      <c r="Q1040" s="7">
        <f t="shared" si="49"/>
        <v>2025</v>
      </c>
      <c r="R1040" s="23">
        <f t="shared" si="50"/>
        <v>0.30685562060648741</v>
      </c>
    </row>
    <row r="1041" spans="1:18">
      <c r="A1041" s="7" t="s">
        <v>535</v>
      </c>
      <c r="B1041" s="8">
        <v>45883</v>
      </c>
      <c r="C1041" s="7" t="s">
        <v>536</v>
      </c>
      <c r="D1041" s="7" t="s">
        <v>95</v>
      </c>
      <c r="E1041" s="7" t="s">
        <v>41</v>
      </c>
      <c r="F1041" s="7" t="s">
        <v>53</v>
      </c>
      <c r="G1041" s="7">
        <v>4</v>
      </c>
      <c r="H1041" s="18">
        <v>4803.8999999999996</v>
      </c>
      <c r="I1041" s="22">
        <v>0.05</v>
      </c>
      <c r="J1041" s="18">
        <v>18254.82</v>
      </c>
      <c r="K1041" s="18">
        <v>11284.55</v>
      </c>
      <c r="L1041" s="18">
        <v>6970.27</v>
      </c>
      <c r="M1041" s="7" t="s">
        <v>35</v>
      </c>
      <c r="N1041" s="7" t="s">
        <v>71</v>
      </c>
      <c r="O1041" s="7" t="s">
        <v>44</v>
      </c>
      <c r="P1041" s="7" t="str">
        <f t="shared" si="48"/>
        <v>Aug</v>
      </c>
      <c r="Q1041" s="7">
        <f t="shared" si="49"/>
        <v>2025</v>
      </c>
      <c r="R1041" s="23">
        <f t="shared" si="50"/>
        <v>0.38183175731121977</v>
      </c>
    </row>
    <row r="1042" spans="1:18">
      <c r="A1042" s="7" t="s">
        <v>298</v>
      </c>
      <c r="B1042" s="8">
        <v>46144</v>
      </c>
      <c r="C1042" s="7" t="s">
        <v>173</v>
      </c>
      <c r="D1042" s="7" t="s">
        <v>95</v>
      </c>
      <c r="E1042" s="7" t="s">
        <v>33</v>
      </c>
      <c r="F1042" s="7" t="s">
        <v>176</v>
      </c>
      <c r="G1042" s="7">
        <v>3</v>
      </c>
      <c r="H1042" s="18">
        <v>4807.8900000000003</v>
      </c>
      <c r="I1042" s="22">
        <v>0.1</v>
      </c>
      <c r="J1042" s="18">
        <v>12981.3</v>
      </c>
      <c r="K1042" s="18">
        <v>7424</v>
      </c>
      <c r="L1042" s="18">
        <v>5557.3</v>
      </c>
      <c r="M1042" s="7" t="s">
        <v>57</v>
      </c>
      <c r="N1042" s="7" t="s">
        <v>36</v>
      </c>
      <c r="O1042" s="7" t="s">
        <v>44</v>
      </c>
      <c r="P1042" s="7" t="str">
        <f t="shared" si="48"/>
        <v>May</v>
      </c>
      <c r="Q1042" s="7">
        <f t="shared" si="49"/>
        <v>2026</v>
      </c>
      <c r="R1042" s="23">
        <f t="shared" si="50"/>
        <v>0.42810042137536308</v>
      </c>
    </row>
    <row r="1043" spans="1:18">
      <c r="A1043" s="7" t="s">
        <v>957</v>
      </c>
      <c r="B1043" s="8">
        <v>45884</v>
      </c>
      <c r="C1043" s="7" t="s">
        <v>948</v>
      </c>
      <c r="D1043" s="7" t="s">
        <v>95</v>
      </c>
      <c r="E1043" s="7" t="s">
        <v>33</v>
      </c>
      <c r="F1043" s="7" t="s">
        <v>176</v>
      </c>
      <c r="G1043" s="7">
        <v>5</v>
      </c>
      <c r="H1043" s="18">
        <v>4813.63</v>
      </c>
      <c r="I1043" s="22">
        <v>0.15</v>
      </c>
      <c r="J1043" s="18">
        <v>20457.93</v>
      </c>
      <c r="K1043" s="18">
        <v>12172.89</v>
      </c>
      <c r="L1043" s="18">
        <v>8285.0400000000009</v>
      </c>
      <c r="M1043" s="7" t="s">
        <v>35</v>
      </c>
      <c r="N1043" s="7" t="s">
        <v>43</v>
      </c>
      <c r="O1043" s="7" t="s">
        <v>44</v>
      </c>
      <c r="P1043" s="7" t="str">
        <f t="shared" si="48"/>
        <v>Aug</v>
      </c>
      <c r="Q1043" s="7">
        <f t="shared" si="49"/>
        <v>2025</v>
      </c>
      <c r="R1043" s="23">
        <f t="shared" si="50"/>
        <v>0.4049793894103656</v>
      </c>
    </row>
    <row r="1044" spans="1:18">
      <c r="A1044" s="7" t="s">
        <v>1684</v>
      </c>
      <c r="B1044" s="8">
        <v>45845</v>
      </c>
      <c r="C1044" s="7" t="s">
        <v>1592</v>
      </c>
      <c r="D1044" s="7" t="s">
        <v>47</v>
      </c>
      <c r="E1044" s="7" t="s">
        <v>33</v>
      </c>
      <c r="F1044" s="7" t="s">
        <v>92</v>
      </c>
      <c r="G1044" s="7">
        <v>6</v>
      </c>
      <c r="H1044" s="18">
        <v>4826.91</v>
      </c>
      <c r="I1044" s="22">
        <v>0.15</v>
      </c>
      <c r="J1044" s="18">
        <v>24617.24</v>
      </c>
      <c r="K1044" s="18">
        <v>20814.55</v>
      </c>
      <c r="L1044" s="18">
        <v>3802.69</v>
      </c>
      <c r="M1044" s="7" t="s">
        <v>35</v>
      </c>
      <c r="N1044" s="7" t="s">
        <v>63</v>
      </c>
      <c r="O1044" s="7" t="s">
        <v>44</v>
      </c>
      <c r="P1044" s="7" t="str">
        <f t="shared" si="48"/>
        <v>Jul</v>
      </c>
      <c r="Q1044" s="7">
        <f t="shared" si="49"/>
        <v>2025</v>
      </c>
      <c r="R1044" s="23">
        <f t="shared" si="50"/>
        <v>0.15447263787492016</v>
      </c>
    </row>
    <row r="1045" spans="1:18">
      <c r="A1045" s="7" t="s">
        <v>103</v>
      </c>
      <c r="B1045" s="8">
        <v>46257</v>
      </c>
      <c r="C1045" s="7" t="s">
        <v>104</v>
      </c>
      <c r="D1045" s="7" t="s">
        <v>40</v>
      </c>
      <c r="E1045" s="7" t="s">
        <v>61</v>
      </c>
      <c r="F1045" s="7" t="s">
        <v>84</v>
      </c>
      <c r="G1045" s="7">
        <v>5</v>
      </c>
      <c r="H1045" s="18">
        <v>4829.7</v>
      </c>
      <c r="I1045" s="22">
        <v>0.15</v>
      </c>
      <c r="J1045" s="18">
        <v>20526.22</v>
      </c>
      <c r="K1045" s="18">
        <v>14879.32</v>
      </c>
      <c r="L1045" s="18">
        <v>5646.9</v>
      </c>
      <c r="M1045" s="7" t="s">
        <v>57</v>
      </c>
      <c r="N1045" s="7" t="s">
        <v>63</v>
      </c>
      <c r="O1045" s="7" t="s">
        <v>37</v>
      </c>
      <c r="P1045" s="7" t="str">
        <f t="shared" si="48"/>
        <v>Aug</v>
      </c>
      <c r="Q1045" s="7">
        <f t="shared" si="49"/>
        <v>2026</v>
      </c>
      <c r="R1045" s="23">
        <f t="shared" si="50"/>
        <v>0.275106668446504</v>
      </c>
    </row>
    <row r="1046" spans="1:18">
      <c r="A1046" s="7" t="s">
        <v>1440</v>
      </c>
      <c r="B1046" s="8">
        <v>46093</v>
      </c>
      <c r="C1046" s="7" t="s">
        <v>864</v>
      </c>
      <c r="D1046" s="7" t="s">
        <v>60</v>
      </c>
      <c r="E1046" s="7" t="s">
        <v>48</v>
      </c>
      <c r="F1046" s="7" t="s">
        <v>70</v>
      </c>
      <c r="G1046" s="7">
        <v>4</v>
      </c>
      <c r="H1046" s="18">
        <v>4831.83</v>
      </c>
      <c r="I1046" s="22">
        <v>0</v>
      </c>
      <c r="J1046" s="18">
        <v>19327.32</v>
      </c>
      <c r="K1046" s="18">
        <v>12951.81</v>
      </c>
      <c r="L1046" s="18">
        <v>6375.51</v>
      </c>
      <c r="M1046" s="7" t="s">
        <v>57</v>
      </c>
      <c r="N1046" s="7" t="s">
        <v>43</v>
      </c>
      <c r="O1046" s="7" t="s">
        <v>44</v>
      </c>
      <c r="P1046" s="7" t="str">
        <f t="shared" si="48"/>
        <v>Mar</v>
      </c>
      <c r="Q1046" s="7">
        <f t="shared" si="49"/>
        <v>2026</v>
      </c>
      <c r="R1046" s="23">
        <f t="shared" si="50"/>
        <v>0.32987035967738931</v>
      </c>
    </row>
    <row r="1047" spans="1:18">
      <c r="A1047" s="7" t="s">
        <v>1506</v>
      </c>
      <c r="B1047" s="8">
        <v>45890</v>
      </c>
      <c r="C1047" s="7" t="s">
        <v>209</v>
      </c>
      <c r="D1047" s="7" t="s">
        <v>95</v>
      </c>
      <c r="E1047" s="7" t="s">
        <v>41</v>
      </c>
      <c r="F1047" s="7" t="s">
        <v>124</v>
      </c>
      <c r="G1047" s="7">
        <v>5</v>
      </c>
      <c r="H1047" s="18">
        <v>4835.04</v>
      </c>
      <c r="I1047" s="22">
        <v>0.2</v>
      </c>
      <c r="J1047" s="18">
        <v>19340.16</v>
      </c>
      <c r="K1047" s="18">
        <v>14157.71</v>
      </c>
      <c r="L1047" s="18">
        <v>5182.45</v>
      </c>
      <c r="M1047" s="7" t="s">
        <v>57</v>
      </c>
      <c r="N1047" s="7" t="s">
        <v>63</v>
      </c>
      <c r="O1047" s="7" t="s">
        <v>44</v>
      </c>
      <c r="P1047" s="7" t="str">
        <f t="shared" si="48"/>
        <v>Aug</v>
      </c>
      <c r="Q1047" s="7">
        <f t="shared" si="49"/>
        <v>2025</v>
      </c>
      <c r="R1047" s="23">
        <f t="shared" si="50"/>
        <v>0.2679631399119759</v>
      </c>
    </row>
    <row r="1048" spans="1:18">
      <c r="A1048" s="7" t="s">
        <v>82</v>
      </c>
      <c r="B1048" s="8">
        <v>45814</v>
      </c>
      <c r="C1048" s="7" t="s">
        <v>83</v>
      </c>
      <c r="D1048" s="7" t="s">
        <v>32</v>
      </c>
      <c r="E1048" s="7" t="s">
        <v>61</v>
      </c>
      <c r="F1048" s="7" t="s">
        <v>84</v>
      </c>
      <c r="G1048" s="7">
        <v>3</v>
      </c>
      <c r="H1048" s="18">
        <v>4842.67</v>
      </c>
      <c r="I1048" s="22">
        <v>0.15</v>
      </c>
      <c r="J1048" s="18">
        <v>12348.81</v>
      </c>
      <c r="K1048" s="18">
        <v>8915.91</v>
      </c>
      <c r="L1048" s="18">
        <v>3432.9</v>
      </c>
      <c r="M1048" s="7" t="s">
        <v>57</v>
      </c>
      <c r="N1048" s="7" t="s">
        <v>43</v>
      </c>
      <c r="O1048" s="7" t="s">
        <v>44</v>
      </c>
      <c r="P1048" s="7" t="str">
        <f t="shared" si="48"/>
        <v>Jun</v>
      </c>
      <c r="Q1048" s="7">
        <f t="shared" si="49"/>
        <v>2025</v>
      </c>
      <c r="R1048" s="23">
        <f t="shared" si="50"/>
        <v>0.27799439784076363</v>
      </c>
    </row>
    <row r="1049" spans="1:18">
      <c r="A1049" s="7" t="s">
        <v>1196</v>
      </c>
      <c r="B1049" s="8">
        <v>46213</v>
      </c>
      <c r="C1049" s="7" t="s">
        <v>1195</v>
      </c>
      <c r="D1049" s="7" t="s">
        <v>40</v>
      </c>
      <c r="E1049" s="7" t="s">
        <v>33</v>
      </c>
      <c r="F1049" s="7" t="s">
        <v>92</v>
      </c>
      <c r="G1049" s="7">
        <v>4</v>
      </c>
      <c r="H1049" s="18">
        <v>4847.2299999999996</v>
      </c>
      <c r="I1049" s="22">
        <v>0.2</v>
      </c>
      <c r="J1049" s="18">
        <v>15511.14</v>
      </c>
      <c r="K1049" s="18">
        <v>11423.14</v>
      </c>
      <c r="L1049" s="18">
        <v>4088</v>
      </c>
      <c r="M1049" s="7" t="s">
        <v>57</v>
      </c>
      <c r="N1049" s="7" t="s">
        <v>63</v>
      </c>
      <c r="O1049" s="7" t="s">
        <v>37</v>
      </c>
      <c r="P1049" s="7" t="str">
        <f t="shared" si="48"/>
        <v>Jul</v>
      </c>
      <c r="Q1049" s="7">
        <f t="shared" si="49"/>
        <v>2026</v>
      </c>
      <c r="R1049" s="23">
        <f t="shared" si="50"/>
        <v>0.26355251773886385</v>
      </c>
    </row>
    <row r="1050" spans="1:18">
      <c r="A1050" s="7" t="s">
        <v>1646</v>
      </c>
      <c r="B1050" s="8">
        <v>45699</v>
      </c>
      <c r="C1050" s="7" t="s">
        <v>604</v>
      </c>
      <c r="D1050" s="7" t="s">
        <v>74</v>
      </c>
      <c r="E1050" s="7" t="s">
        <v>41</v>
      </c>
      <c r="F1050" s="7" t="s">
        <v>124</v>
      </c>
      <c r="G1050" s="7">
        <v>3</v>
      </c>
      <c r="H1050" s="18">
        <v>4848.42</v>
      </c>
      <c r="I1050" s="22">
        <v>0.15</v>
      </c>
      <c r="J1050" s="18">
        <v>12363.47</v>
      </c>
      <c r="K1050" s="18">
        <v>6839.21</v>
      </c>
      <c r="L1050" s="18">
        <v>5524.26</v>
      </c>
      <c r="M1050" s="7" t="s">
        <v>35</v>
      </c>
      <c r="N1050" s="7" t="s">
        <v>36</v>
      </c>
      <c r="O1050" s="7" t="s">
        <v>44</v>
      </c>
      <c r="P1050" s="7" t="str">
        <f t="shared" si="48"/>
        <v>Feb</v>
      </c>
      <c r="Q1050" s="7">
        <f t="shared" si="49"/>
        <v>2025</v>
      </c>
      <c r="R1050" s="23">
        <f t="shared" si="50"/>
        <v>0.44682115943177769</v>
      </c>
    </row>
    <row r="1051" spans="1:18">
      <c r="A1051" s="7" t="s">
        <v>1724</v>
      </c>
      <c r="B1051" s="8">
        <v>45996</v>
      </c>
      <c r="C1051" s="7" t="s">
        <v>1725</v>
      </c>
      <c r="D1051" s="7" t="s">
        <v>134</v>
      </c>
      <c r="E1051" s="7" t="s">
        <v>33</v>
      </c>
      <c r="F1051" s="7" t="s">
        <v>96</v>
      </c>
      <c r="G1051" s="7">
        <v>2</v>
      </c>
      <c r="H1051" s="18">
        <v>4852.3900000000003</v>
      </c>
      <c r="I1051" s="22">
        <v>0.05</v>
      </c>
      <c r="J1051" s="18">
        <v>9219.5400000000009</v>
      </c>
      <c r="K1051" s="18">
        <v>7542.06</v>
      </c>
      <c r="L1051" s="18">
        <v>1677.48</v>
      </c>
      <c r="M1051" s="7" t="s">
        <v>35</v>
      </c>
      <c r="N1051" s="7" t="s">
        <v>36</v>
      </c>
      <c r="O1051" s="7" t="s">
        <v>44</v>
      </c>
      <c r="P1051" s="7" t="str">
        <f t="shared" si="48"/>
        <v>Dec</v>
      </c>
      <c r="Q1051" s="7">
        <f t="shared" si="49"/>
        <v>2025</v>
      </c>
      <c r="R1051" s="23">
        <f t="shared" si="50"/>
        <v>0.18194834015579953</v>
      </c>
    </row>
    <row r="1052" spans="1:18">
      <c r="A1052" s="7" t="s">
        <v>365</v>
      </c>
      <c r="B1052" s="8">
        <v>45994</v>
      </c>
      <c r="C1052" s="7" t="s">
        <v>366</v>
      </c>
      <c r="D1052" s="7" t="s">
        <v>60</v>
      </c>
      <c r="E1052" s="7" t="s">
        <v>61</v>
      </c>
      <c r="F1052" s="7" t="s">
        <v>89</v>
      </c>
      <c r="G1052" s="7">
        <v>3</v>
      </c>
      <c r="H1052" s="18">
        <v>4857.17</v>
      </c>
      <c r="I1052" s="22">
        <v>0.1</v>
      </c>
      <c r="J1052" s="18">
        <v>13114.36</v>
      </c>
      <c r="K1052" s="18">
        <v>9959.4</v>
      </c>
      <c r="L1052" s="18">
        <v>3154.96</v>
      </c>
      <c r="M1052" s="7" t="s">
        <v>35</v>
      </c>
      <c r="N1052" s="7" t="s">
        <v>43</v>
      </c>
      <c r="O1052" s="7" t="s">
        <v>44</v>
      </c>
      <c r="P1052" s="7" t="str">
        <f t="shared" si="48"/>
        <v>Dec</v>
      </c>
      <c r="Q1052" s="7">
        <f t="shared" si="49"/>
        <v>2025</v>
      </c>
      <c r="R1052" s="23">
        <f t="shared" si="50"/>
        <v>0.24057292921652296</v>
      </c>
    </row>
    <row r="1053" spans="1:18">
      <c r="A1053" s="7" t="s">
        <v>1402</v>
      </c>
      <c r="B1053" s="8">
        <v>45773</v>
      </c>
      <c r="C1053" s="7" t="s">
        <v>474</v>
      </c>
      <c r="D1053" s="7" t="s">
        <v>95</v>
      </c>
      <c r="E1053" s="7" t="s">
        <v>33</v>
      </c>
      <c r="F1053" s="7" t="s">
        <v>34</v>
      </c>
      <c r="G1053" s="7">
        <v>3</v>
      </c>
      <c r="H1053" s="18">
        <v>4858.96</v>
      </c>
      <c r="I1053" s="22">
        <v>0</v>
      </c>
      <c r="J1053" s="18">
        <v>14576.88</v>
      </c>
      <c r="K1053" s="18">
        <v>11478.96</v>
      </c>
      <c r="L1053" s="18">
        <v>3097.92</v>
      </c>
      <c r="M1053" s="7" t="s">
        <v>35</v>
      </c>
      <c r="N1053" s="7" t="s">
        <v>43</v>
      </c>
      <c r="O1053" s="7" t="s">
        <v>44</v>
      </c>
      <c r="P1053" s="7" t="str">
        <f t="shared" si="48"/>
        <v>Apr</v>
      </c>
      <c r="Q1053" s="7">
        <f t="shared" si="49"/>
        <v>2025</v>
      </c>
      <c r="R1053" s="23">
        <f t="shared" si="50"/>
        <v>0.2125228443946853</v>
      </c>
    </row>
    <row r="1054" spans="1:18">
      <c r="A1054" s="7" t="s">
        <v>1490</v>
      </c>
      <c r="B1054" s="8">
        <v>45878</v>
      </c>
      <c r="C1054" s="7" t="s">
        <v>150</v>
      </c>
      <c r="D1054" s="7" t="s">
        <v>66</v>
      </c>
      <c r="E1054" s="7" t="s">
        <v>41</v>
      </c>
      <c r="F1054" s="7" t="s">
        <v>42</v>
      </c>
      <c r="G1054" s="7">
        <v>4</v>
      </c>
      <c r="H1054" s="18">
        <v>4859.91</v>
      </c>
      <c r="I1054" s="22">
        <v>0.2</v>
      </c>
      <c r="J1054" s="18">
        <v>15551.71</v>
      </c>
      <c r="K1054" s="18">
        <v>10272.91</v>
      </c>
      <c r="L1054" s="18">
        <v>5278.8</v>
      </c>
      <c r="M1054" s="7" t="s">
        <v>35</v>
      </c>
      <c r="N1054" s="7" t="s">
        <v>71</v>
      </c>
      <c r="O1054" s="7" t="s">
        <v>44</v>
      </c>
      <c r="P1054" s="7" t="str">
        <f t="shared" si="48"/>
        <v>Aug</v>
      </c>
      <c r="Q1054" s="7">
        <f t="shared" si="49"/>
        <v>2025</v>
      </c>
      <c r="R1054" s="23">
        <f t="shared" si="50"/>
        <v>0.33943534183700702</v>
      </c>
    </row>
    <row r="1055" spans="1:18">
      <c r="A1055" s="7" t="s">
        <v>1209</v>
      </c>
      <c r="B1055" s="8">
        <v>45954</v>
      </c>
      <c r="C1055" s="7" t="s">
        <v>1210</v>
      </c>
      <c r="D1055" s="7" t="s">
        <v>60</v>
      </c>
      <c r="E1055" s="7" t="s">
        <v>48</v>
      </c>
      <c r="F1055" s="7" t="s">
        <v>49</v>
      </c>
      <c r="G1055" s="7">
        <v>4</v>
      </c>
      <c r="H1055" s="18">
        <v>4862.43</v>
      </c>
      <c r="I1055" s="22">
        <v>0.15</v>
      </c>
      <c r="J1055" s="18">
        <v>16532.259999999998</v>
      </c>
      <c r="K1055" s="18">
        <v>10889.95</v>
      </c>
      <c r="L1055" s="18">
        <v>5642.31</v>
      </c>
      <c r="M1055" s="7" t="s">
        <v>57</v>
      </c>
      <c r="N1055" s="7" t="s">
        <v>36</v>
      </c>
      <c r="O1055" s="7" t="s">
        <v>44</v>
      </c>
      <c r="P1055" s="7" t="str">
        <f t="shared" si="48"/>
        <v>Oct</v>
      </c>
      <c r="Q1055" s="7">
        <f t="shared" si="49"/>
        <v>2025</v>
      </c>
      <c r="R1055" s="23">
        <f t="shared" si="50"/>
        <v>0.3412909063854549</v>
      </c>
    </row>
    <row r="1056" spans="1:18">
      <c r="A1056" s="7" t="s">
        <v>916</v>
      </c>
      <c r="B1056" s="8">
        <v>45658</v>
      </c>
      <c r="C1056" s="7" t="s">
        <v>596</v>
      </c>
      <c r="D1056" s="7" t="s">
        <v>74</v>
      </c>
      <c r="E1056" s="7" t="s">
        <v>41</v>
      </c>
      <c r="F1056" s="7" t="s">
        <v>124</v>
      </c>
      <c r="G1056" s="7">
        <v>2</v>
      </c>
      <c r="H1056" s="18">
        <v>4863.7299999999996</v>
      </c>
      <c r="I1056" s="22">
        <v>0</v>
      </c>
      <c r="J1056" s="18">
        <v>9727.4599999999991</v>
      </c>
      <c r="K1056" s="18">
        <v>7632.73</v>
      </c>
      <c r="L1056" s="18">
        <v>2094.73</v>
      </c>
      <c r="M1056" s="7" t="s">
        <v>57</v>
      </c>
      <c r="N1056" s="7" t="s">
        <v>43</v>
      </c>
      <c r="O1056" s="7" t="s">
        <v>44</v>
      </c>
      <c r="P1056" s="7" t="str">
        <f t="shared" si="48"/>
        <v>Jan</v>
      </c>
      <c r="Q1056" s="7">
        <f t="shared" si="49"/>
        <v>2025</v>
      </c>
      <c r="R1056" s="23">
        <f t="shared" si="50"/>
        <v>0.21534192893108789</v>
      </c>
    </row>
    <row r="1057" spans="1:18">
      <c r="A1057" s="7" t="s">
        <v>1246</v>
      </c>
      <c r="B1057" s="8">
        <v>46176</v>
      </c>
      <c r="C1057" s="7" t="s">
        <v>1134</v>
      </c>
      <c r="D1057" s="7" t="s">
        <v>40</v>
      </c>
      <c r="E1057" s="7" t="s">
        <v>61</v>
      </c>
      <c r="F1057" s="7" t="s">
        <v>81</v>
      </c>
      <c r="G1057" s="7">
        <v>3</v>
      </c>
      <c r="H1057" s="18">
        <v>4866.46</v>
      </c>
      <c r="I1057" s="22">
        <v>0.05</v>
      </c>
      <c r="J1057" s="18">
        <v>13869.41</v>
      </c>
      <c r="K1057" s="18">
        <v>9344.1</v>
      </c>
      <c r="L1057" s="18">
        <v>4525.3100000000004</v>
      </c>
      <c r="M1057" s="7" t="s">
        <v>35</v>
      </c>
      <c r="N1057" s="7" t="s">
        <v>71</v>
      </c>
      <c r="O1057" s="7" t="s">
        <v>44</v>
      </c>
      <c r="P1057" s="7" t="str">
        <f t="shared" si="48"/>
        <v>Jun</v>
      </c>
      <c r="Q1057" s="7">
        <f t="shared" si="49"/>
        <v>2026</v>
      </c>
      <c r="R1057" s="23">
        <f t="shared" si="50"/>
        <v>0.32627992106369347</v>
      </c>
    </row>
    <row r="1058" spans="1:18">
      <c r="A1058" s="7" t="s">
        <v>1177</v>
      </c>
      <c r="B1058" s="8">
        <v>46264</v>
      </c>
      <c r="C1058" s="7" t="s">
        <v>688</v>
      </c>
      <c r="D1058" s="7" t="s">
        <v>56</v>
      </c>
      <c r="E1058" s="7" t="s">
        <v>33</v>
      </c>
      <c r="F1058" s="7" t="s">
        <v>96</v>
      </c>
      <c r="G1058" s="7">
        <v>6</v>
      </c>
      <c r="H1058" s="18">
        <v>4875.0600000000004</v>
      </c>
      <c r="I1058" s="22">
        <v>0.1</v>
      </c>
      <c r="J1058" s="18">
        <v>26325.32</v>
      </c>
      <c r="K1058" s="18">
        <v>19815.240000000002</v>
      </c>
      <c r="L1058" s="18">
        <v>6510.08</v>
      </c>
      <c r="M1058" s="7" t="s">
        <v>35</v>
      </c>
      <c r="N1058" s="7" t="s">
        <v>43</v>
      </c>
      <c r="O1058" s="7" t="s">
        <v>44</v>
      </c>
      <c r="P1058" s="7" t="str">
        <f t="shared" si="48"/>
        <v>Aug</v>
      </c>
      <c r="Q1058" s="7">
        <f t="shared" si="49"/>
        <v>2026</v>
      </c>
      <c r="R1058" s="23">
        <f t="shared" si="50"/>
        <v>0.24729348019321323</v>
      </c>
    </row>
    <row r="1059" spans="1:18">
      <c r="A1059" s="7" t="s">
        <v>426</v>
      </c>
      <c r="B1059" s="8">
        <v>45687</v>
      </c>
      <c r="C1059" s="7" t="s">
        <v>427</v>
      </c>
      <c r="D1059" s="7" t="s">
        <v>66</v>
      </c>
      <c r="E1059" s="7" t="s">
        <v>61</v>
      </c>
      <c r="F1059" s="7" t="s">
        <v>89</v>
      </c>
      <c r="G1059" s="7">
        <v>3</v>
      </c>
      <c r="H1059" s="18">
        <v>4881.3599999999997</v>
      </c>
      <c r="I1059" s="22">
        <v>0</v>
      </c>
      <c r="J1059" s="18">
        <v>14644.08</v>
      </c>
      <c r="K1059" s="18">
        <v>12214.68</v>
      </c>
      <c r="L1059" s="18">
        <v>2429.4</v>
      </c>
      <c r="M1059" s="7" t="s">
        <v>35</v>
      </c>
      <c r="N1059" s="7" t="s">
        <v>43</v>
      </c>
      <c r="O1059" s="7" t="s">
        <v>44</v>
      </c>
      <c r="P1059" s="7" t="str">
        <f t="shared" si="48"/>
        <v>Jan</v>
      </c>
      <c r="Q1059" s="7">
        <f t="shared" si="49"/>
        <v>2025</v>
      </c>
      <c r="R1059" s="23">
        <f t="shared" si="50"/>
        <v>0.1658963895307865</v>
      </c>
    </row>
    <row r="1060" spans="1:18">
      <c r="A1060" s="7" t="s">
        <v>526</v>
      </c>
      <c r="B1060" s="8">
        <v>45920</v>
      </c>
      <c r="C1060" s="7" t="s">
        <v>527</v>
      </c>
      <c r="D1060" s="7" t="s">
        <v>52</v>
      </c>
      <c r="E1060" s="7" t="s">
        <v>33</v>
      </c>
      <c r="F1060" s="7" t="s">
        <v>96</v>
      </c>
      <c r="G1060" s="7">
        <v>1</v>
      </c>
      <c r="H1060" s="18">
        <v>4892.41</v>
      </c>
      <c r="I1060" s="22">
        <v>0</v>
      </c>
      <c r="J1060" s="18">
        <v>4892.41</v>
      </c>
      <c r="K1060" s="18">
        <v>3688.75</v>
      </c>
      <c r="L1060" s="18">
        <v>1203.6600000000001</v>
      </c>
      <c r="M1060" s="7" t="s">
        <v>57</v>
      </c>
      <c r="N1060" s="7" t="s">
        <v>36</v>
      </c>
      <c r="O1060" s="7" t="s">
        <v>44</v>
      </c>
      <c r="P1060" s="7" t="str">
        <f t="shared" si="48"/>
        <v>Sep</v>
      </c>
      <c r="Q1060" s="7">
        <f t="shared" si="49"/>
        <v>2025</v>
      </c>
      <c r="R1060" s="23">
        <f t="shared" si="50"/>
        <v>0.24602598719240623</v>
      </c>
    </row>
    <row r="1061" spans="1:18">
      <c r="A1061" s="7" t="s">
        <v>1125</v>
      </c>
      <c r="B1061" s="8">
        <v>45861</v>
      </c>
      <c r="C1061" s="7" t="s">
        <v>708</v>
      </c>
      <c r="D1061" s="7" t="s">
        <v>47</v>
      </c>
      <c r="E1061" s="7" t="s">
        <v>41</v>
      </c>
      <c r="F1061" s="7" t="s">
        <v>42</v>
      </c>
      <c r="G1061" s="7">
        <v>2</v>
      </c>
      <c r="H1061" s="18">
        <v>4906.72</v>
      </c>
      <c r="I1061" s="22">
        <v>0.05</v>
      </c>
      <c r="J1061" s="18">
        <v>9322.77</v>
      </c>
      <c r="K1061" s="18">
        <v>6455.14</v>
      </c>
      <c r="L1061" s="18">
        <v>2867.63</v>
      </c>
      <c r="M1061" s="7" t="s">
        <v>35</v>
      </c>
      <c r="N1061" s="7" t="s">
        <v>36</v>
      </c>
      <c r="O1061" s="7" t="s">
        <v>44</v>
      </c>
      <c r="P1061" s="7" t="str">
        <f t="shared" si="48"/>
        <v>Jul</v>
      </c>
      <c r="Q1061" s="7">
        <f t="shared" si="49"/>
        <v>2025</v>
      </c>
      <c r="R1061" s="23">
        <f t="shared" si="50"/>
        <v>0.3075942021523646</v>
      </c>
    </row>
    <row r="1062" spans="1:18">
      <c r="A1062" s="7" t="s">
        <v>855</v>
      </c>
      <c r="B1062" s="8">
        <v>46010</v>
      </c>
      <c r="C1062" s="7" t="s">
        <v>725</v>
      </c>
      <c r="D1062" s="7" t="s">
        <v>74</v>
      </c>
      <c r="E1062" s="7" t="s">
        <v>48</v>
      </c>
      <c r="F1062" s="7" t="s">
        <v>113</v>
      </c>
      <c r="G1062" s="7">
        <v>2</v>
      </c>
      <c r="H1062" s="18">
        <v>4906.79</v>
      </c>
      <c r="I1062" s="22">
        <v>0.05</v>
      </c>
      <c r="J1062" s="18">
        <v>9322.9</v>
      </c>
      <c r="K1062" s="18">
        <v>6610.08</v>
      </c>
      <c r="L1062" s="18">
        <v>2712.82</v>
      </c>
      <c r="M1062" s="7" t="s">
        <v>57</v>
      </c>
      <c r="N1062" s="7" t="s">
        <v>71</v>
      </c>
      <c r="O1062" s="7" t="s">
        <v>44</v>
      </c>
      <c r="P1062" s="7" t="str">
        <f t="shared" si="48"/>
        <v>Dec</v>
      </c>
      <c r="Q1062" s="7">
        <f t="shared" si="49"/>
        <v>2025</v>
      </c>
      <c r="R1062" s="23">
        <f t="shared" si="50"/>
        <v>0.29098456488860763</v>
      </c>
    </row>
    <row r="1063" spans="1:18">
      <c r="A1063" s="7" t="s">
        <v>1698</v>
      </c>
      <c r="B1063" s="8">
        <v>46265</v>
      </c>
      <c r="C1063" s="7" t="s">
        <v>648</v>
      </c>
      <c r="D1063" s="7" t="s">
        <v>56</v>
      </c>
      <c r="E1063" s="7" t="s">
        <v>33</v>
      </c>
      <c r="F1063" s="7" t="s">
        <v>92</v>
      </c>
      <c r="G1063" s="7">
        <v>1</v>
      </c>
      <c r="H1063" s="18">
        <v>4910</v>
      </c>
      <c r="I1063" s="22">
        <v>0.2</v>
      </c>
      <c r="J1063" s="18">
        <v>3928</v>
      </c>
      <c r="K1063" s="18">
        <v>2717.06</v>
      </c>
      <c r="L1063" s="18">
        <v>1210.94</v>
      </c>
      <c r="M1063" s="7" t="s">
        <v>57</v>
      </c>
      <c r="N1063" s="7" t="s">
        <v>71</v>
      </c>
      <c r="O1063" s="7" t="s">
        <v>44</v>
      </c>
      <c r="P1063" s="7" t="str">
        <f t="shared" si="48"/>
        <v>Aug</v>
      </c>
      <c r="Q1063" s="7">
        <f t="shared" si="49"/>
        <v>2026</v>
      </c>
      <c r="R1063" s="23">
        <f t="shared" si="50"/>
        <v>0.3082841140529532</v>
      </c>
    </row>
    <row r="1064" spans="1:18">
      <c r="A1064" s="7" t="s">
        <v>432</v>
      </c>
      <c r="B1064" s="8">
        <v>45745</v>
      </c>
      <c r="C1064" s="7" t="s">
        <v>433</v>
      </c>
      <c r="D1064" s="7" t="s">
        <v>134</v>
      </c>
      <c r="E1064" s="7" t="s">
        <v>33</v>
      </c>
      <c r="F1064" s="7" t="s">
        <v>34</v>
      </c>
      <c r="G1064" s="7">
        <v>3</v>
      </c>
      <c r="H1064" s="18">
        <v>4914.47</v>
      </c>
      <c r="I1064" s="22">
        <v>0</v>
      </c>
      <c r="J1064" s="18">
        <v>14743.41</v>
      </c>
      <c r="K1064" s="18">
        <v>9529.7999999999993</v>
      </c>
      <c r="L1064" s="18">
        <v>5213.6099999999997</v>
      </c>
      <c r="M1064" s="7" t="s">
        <v>35</v>
      </c>
      <c r="N1064" s="7" t="s">
        <v>43</v>
      </c>
      <c r="O1064" s="7" t="s">
        <v>44</v>
      </c>
      <c r="P1064" s="7" t="str">
        <f t="shared" si="48"/>
        <v>Mar</v>
      </c>
      <c r="Q1064" s="7">
        <f t="shared" si="49"/>
        <v>2025</v>
      </c>
      <c r="R1064" s="23">
        <f t="shared" si="50"/>
        <v>0.35362307634393941</v>
      </c>
    </row>
    <row r="1065" spans="1:18">
      <c r="A1065" s="7" t="s">
        <v>684</v>
      </c>
      <c r="B1065" s="8">
        <v>45865</v>
      </c>
      <c r="C1065" s="7" t="s">
        <v>685</v>
      </c>
      <c r="D1065" s="7" t="s">
        <v>40</v>
      </c>
      <c r="E1065" s="7" t="s">
        <v>61</v>
      </c>
      <c r="F1065" s="7" t="s">
        <v>81</v>
      </c>
      <c r="G1065" s="7">
        <v>2</v>
      </c>
      <c r="H1065" s="18">
        <v>4917</v>
      </c>
      <c r="I1065" s="22">
        <v>0.2</v>
      </c>
      <c r="J1065" s="18">
        <v>7867.2</v>
      </c>
      <c r="K1065" s="18">
        <v>5586.39</v>
      </c>
      <c r="L1065" s="18">
        <v>2280.81</v>
      </c>
      <c r="M1065" s="7" t="s">
        <v>35</v>
      </c>
      <c r="N1065" s="7" t="s">
        <v>63</v>
      </c>
      <c r="O1065" s="7" t="s">
        <v>37</v>
      </c>
      <c r="P1065" s="7" t="str">
        <f t="shared" si="48"/>
        <v>Jul</v>
      </c>
      <c r="Q1065" s="7">
        <f t="shared" si="49"/>
        <v>2025</v>
      </c>
      <c r="R1065" s="23">
        <f t="shared" si="50"/>
        <v>0.28991381940207445</v>
      </c>
    </row>
    <row r="1066" spans="1:18">
      <c r="A1066" s="7" t="s">
        <v>1390</v>
      </c>
      <c r="B1066" s="8">
        <v>45913</v>
      </c>
      <c r="C1066" s="7" t="s">
        <v>164</v>
      </c>
      <c r="D1066" s="7" t="s">
        <v>60</v>
      </c>
      <c r="E1066" s="7" t="s">
        <v>33</v>
      </c>
      <c r="F1066" s="7" t="s">
        <v>96</v>
      </c>
      <c r="G1066" s="7">
        <v>5</v>
      </c>
      <c r="H1066" s="18">
        <v>4922.7700000000004</v>
      </c>
      <c r="I1066" s="22">
        <v>0.2</v>
      </c>
      <c r="J1066" s="18">
        <v>19691.080000000002</v>
      </c>
      <c r="K1066" s="18">
        <v>12168.84</v>
      </c>
      <c r="L1066" s="18">
        <v>7522.24</v>
      </c>
      <c r="M1066" s="7" t="s">
        <v>57</v>
      </c>
      <c r="N1066" s="7" t="s">
        <v>36</v>
      </c>
      <c r="O1066" s="7" t="s">
        <v>37</v>
      </c>
      <c r="P1066" s="7" t="str">
        <f t="shared" si="48"/>
        <v>Sep</v>
      </c>
      <c r="Q1066" s="7">
        <f t="shared" si="49"/>
        <v>2025</v>
      </c>
      <c r="R1066" s="23">
        <f t="shared" si="50"/>
        <v>0.38201256609591749</v>
      </c>
    </row>
    <row r="1067" spans="1:18">
      <c r="A1067" s="7" t="s">
        <v>247</v>
      </c>
      <c r="B1067" s="8">
        <v>45725</v>
      </c>
      <c r="C1067" s="7" t="s">
        <v>248</v>
      </c>
      <c r="D1067" s="7" t="s">
        <v>32</v>
      </c>
      <c r="E1067" s="7" t="s">
        <v>61</v>
      </c>
      <c r="F1067" s="7" t="s">
        <v>89</v>
      </c>
      <c r="G1067" s="7">
        <v>6</v>
      </c>
      <c r="H1067" s="18">
        <v>4927.67</v>
      </c>
      <c r="I1067" s="22">
        <v>0.2</v>
      </c>
      <c r="J1067" s="18">
        <v>23652.82</v>
      </c>
      <c r="K1067" s="18">
        <v>13221.6</v>
      </c>
      <c r="L1067" s="18">
        <v>10431.219999999999</v>
      </c>
      <c r="M1067" s="7" t="s">
        <v>57</v>
      </c>
      <c r="N1067" s="7" t="s">
        <v>36</v>
      </c>
      <c r="O1067" s="7" t="s">
        <v>44</v>
      </c>
      <c r="P1067" s="7" t="str">
        <f t="shared" si="48"/>
        <v>Mar</v>
      </c>
      <c r="Q1067" s="7">
        <f t="shared" si="49"/>
        <v>2025</v>
      </c>
      <c r="R1067" s="23">
        <f t="shared" si="50"/>
        <v>0.44101379877748192</v>
      </c>
    </row>
    <row r="1068" spans="1:18">
      <c r="A1068" s="7" t="s">
        <v>911</v>
      </c>
      <c r="B1068" s="8">
        <v>45804</v>
      </c>
      <c r="C1068" s="7" t="s">
        <v>271</v>
      </c>
      <c r="D1068" s="7" t="s">
        <v>52</v>
      </c>
      <c r="E1068" s="7" t="s">
        <v>61</v>
      </c>
      <c r="F1068" s="7" t="s">
        <v>62</v>
      </c>
      <c r="G1068" s="7">
        <v>2</v>
      </c>
      <c r="H1068" s="18">
        <v>4938.6400000000003</v>
      </c>
      <c r="I1068" s="22">
        <v>0.1</v>
      </c>
      <c r="J1068" s="18">
        <v>8889.5499999999993</v>
      </c>
      <c r="K1068" s="18">
        <v>5542.23</v>
      </c>
      <c r="L1068" s="18">
        <v>3347.32</v>
      </c>
      <c r="M1068" s="7" t="s">
        <v>35</v>
      </c>
      <c r="N1068" s="7" t="s">
        <v>36</v>
      </c>
      <c r="O1068" s="7" t="s">
        <v>44</v>
      </c>
      <c r="P1068" s="7" t="str">
        <f t="shared" si="48"/>
        <v>May</v>
      </c>
      <c r="Q1068" s="7">
        <f t="shared" si="49"/>
        <v>2025</v>
      </c>
      <c r="R1068" s="23">
        <f t="shared" si="50"/>
        <v>0.37654549442885188</v>
      </c>
    </row>
    <row r="1069" spans="1:18">
      <c r="A1069" s="7" t="s">
        <v>1311</v>
      </c>
      <c r="B1069" s="8">
        <v>45737</v>
      </c>
      <c r="C1069" s="7" t="s">
        <v>625</v>
      </c>
      <c r="D1069" s="7" t="s">
        <v>32</v>
      </c>
      <c r="E1069" s="7" t="s">
        <v>48</v>
      </c>
      <c r="F1069" s="7" t="s">
        <v>99</v>
      </c>
      <c r="G1069" s="7">
        <v>3</v>
      </c>
      <c r="H1069" s="18">
        <v>4943.08</v>
      </c>
      <c r="I1069" s="22">
        <v>0.15</v>
      </c>
      <c r="J1069" s="18">
        <v>12604.85</v>
      </c>
      <c r="K1069" s="18">
        <v>7473.34</v>
      </c>
      <c r="L1069" s="18">
        <v>5131.51</v>
      </c>
      <c r="M1069" s="7" t="s">
        <v>35</v>
      </c>
      <c r="N1069" s="7" t="s">
        <v>43</v>
      </c>
      <c r="O1069" s="7" t="s">
        <v>44</v>
      </c>
      <c r="P1069" s="7" t="str">
        <f t="shared" si="48"/>
        <v>Mar</v>
      </c>
      <c r="Q1069" s="7">
        <f t="shared" si="49"/>
        <v>2025</v>
      </c>
      <c r="R1069" s="23">
        <f t="shared" si="50"/>
        <v>0.40710599491465588</v>
      </c>
    </row>
    <row r="1070" spans="1:18">
      <c r="A1070" s="7" t="s">
        <v>1264</v>
      </c>
      <c r="B1070" s="8">
        <v>46113</v>
      </c>
      <c r="C1070" s="7" t="s">
        <v>748</v>
      </c>
      <c r="D1070" s="7" t="s">
        <v>74</v>
      </c>
      <c r="E1070" s="7" t="s">
        <v>33</v>
      </c>
      <c r="F1070" s="7" t="s">
        <v>176</v>
      </c>
      <c r="G1070" s="7">
        <v>2</v>
      </c>
      <c r="H1070" s="18">
        <v>4946.3999999999996</v>
      </c>
      <c r="I1070" s="22">
        <v>0</v>
      </c>
      <c r="J1070" s="18">
        <v>9892.7999999999993</v>
      </c>
      <c r="K1070" s="18">
        <v>5663.99</v>
      </c>
      <c r="L1070" s="18">
        <v>4228.8100000000004</v>
      </c>
      <c r="M1070" s="7" t="s">
        <v>57</v>
      </c>
      <c r="N1070" s="7" t="s">
        <v>63</v>
      </c>
      <c r="O1070" s="7" t="s">
        <v>44</v>
      </c>
      <c r="P1070" s="7" t="str">
        <f t="shared" si="48"/>
        <v>Apr</v>
      </c>
      <c r="Q1070" s="7">
        <f t="shared" si="49"/>
        <v>2026</v>
      </c>
      <c r="R1070" s="23">
        <f t="shared" si="50"/>
        <v>0.42746340773087504</v>
      </c>
    </row>
    <row r="1071" spans="1:18">
      <c r="A1071" s="7" t="s">
        <v>340</v>
      </c>
      <c r="B1071" s="8">
        <v>45694</v>
      </c>
      <c r="C1071" s="7" t="s">
        <v>341</v>
      </c>
      <c r="D1071" s="7" t="s">
        <v>47</v>
      </c>
      <c r="E1071" s="7" t="s">
        <v>48</v>
      </c>
      <c r="F1071" s="7" t="s">
        <v>49</v>
      </c>
      <c r="G1071" s="7">
        <v>5</v>
      </c>
      <c r="H1071" s="18">
        <v>4948.6499999999996</v>
      </c>
      <c r="I1071" s="22">
        <v>0</v>
      </c>
      <c r="J1071" s="18">
        <v>24743.25</v>
      </c>
      <c r="K1071" s="18">
        <v>15570.55</v>
      </c>
      <c r="L1071" s="18">
        <v>9172.7000000000007</v>
      </c>
      <c r="M1071" s="7" t="s">
        <v>35</v>
      </c>
      <c r="N1071" s="7" t="s">
        <v>36</v>
      </c>
      <c r="O1071" s="7" t="s">
        <v>44</v>
      </c>
      <c r="P1071" s="7" t="str">
        <f t="shared" si="48"/>
        <v>Feb</v>
      </c>
      <c r="Q1071" s="7">
        <f t="shared" si="49"/>
        <v>2025</v>
      </c>
      <c r="R1071" s="23">
        <f t="shared" si="50"/>
        <v>0.37071524557202473</v>
      </c>
    </row>
    <row r="1072" spans="1:18">
      <c r="A1072" s="7" t="s">
        <v>589</v>
      </c>
      <c r="B1072" s="8">
        <v>46215</v>
      </c>
      <c r="C1072" s="7" t="s">
        <v>590</v>
      </c>
      <c r="D1072" s="7" t="s">
        <v>47</v>
      </c>
      <c r="E1072" s="7" t="s">
        <v>48</v>
      </c>
      <c r="F1072" s="7" t="s">
        <v>99</v>
      </c>
      <c r="G1072" s="7">
        <v>5</v>
      </c>
      <c r="H1072" s="18">
        <v>4953.9799999999996</v>
      </c>
      <c r="I1072" s="22">
        <v>0</v>
      </c>
      <c r="J1072" s="18">
        <v>24769.9</v>
      </c>
      <c r="K1072" s="18">
        <v>15133.73</v>
      </c>
      <c r="L1072" s="18">
        <v>9636.17</v>
      </c>
      <c r="M1072" s="7" t="s">
        <v>35</v>
      </c>
      <c r="N1072" s="7" t="s">
        <v>43</v>
      </c>
      <c r="O1072" s="7" t="s">
        <v>44</v>
      </c>
      <c r="P1072" s="7" t="str">
        <f t="shared" si="48"/>
        <v>Jul</v>
      </c>
      <c r="Q1072" s="7">
        <f t="shared" si="49"/>
        <v>2026</v>
      </c>
      <c r="R1072" s="23">
        <f t="shared" si="50"/>
        <v>0.38902740826567728</v>
      </c>
    </row>
    <row r="1073" spans="1:18">
      <c r="A1073" s="7" t="s">
        <v>1549</v>
      </c>
      <c r="B1073" s="8">
        <v>45783</v>
      </c>
      <c r="C1073" s="7" t="s">
        <v>1392</v>
      </c>
      <c r="D1073" s="7" t="s">
        <v>74</v>
      </c>
      <c r="E1073" s="7" t="s">
        <v>61</v>
      </c>
      <c r="F1073" s="7" t="s">
        <v>84</v>
      </c>
      <c r="G1073" s="7">
        <v>2</v>
      </c>
      <c r="H1073" s="18">
        <v>4959.96</v>
      </c>
      <c r="I1073" s="22">
        <v>0.2</v>
      </c>
      <c r="J1073" s="18">
        <v>7935.94</v>
      </c>
      <c r="K1073" s="18">
        <v>6131.5</v>
      </c>
      <c r="L1073" s="18">
        <v>1804.44</v>
      </c>
      <c r="M1073" s="7" t="s">
        <v>57</v>
      </c>
      <c r="N1073" s="7" t="s">
        <v>63</v>
      </c>
      <c r="O1073" s="7" t="s">
        <v>44</v>
      </c>
      <c r="P1073" s="7" t="str">
        <f t="shared" si="48"/>
        <v>May</v>
      </c>
      <c r="Q1073" s="7">
        <f t="shared" si="49"/>
        <v>2025</v>
      </c>
      <c r="R1073" s="23">
        <f t="shared" si="50"/>
        <v>0.22737571100587961</v>
      </c>
    </row>
    <row r="1074" spans="1:18">
      <c r="A1074" s="7" t="s">
        <v>636</v>
      </c>
      <c r="B1074" s="8">
        <v>46113</v>
      </c>
      <c r="C1074" s="7" t="s">
        <v>613</v>
      </c>
      <c r="D1074" s="7" t="s">
        <v>56</v>
      </c>
      <c r="E1074" s="7" t="s">
        <v>33</v>
      </c>
      <c r="F1074" s="7" t="s">
        <v>92</v>
      </c>
      <c r="G1074" s="7">
        <v>2</v>
      </c>
      <c r="H1074" s="18">
        <v>4961.8900000000003</v>
      </c>
      <c r="I1074" s="22">
        <v>0.05</v>
      </c>
      <c r="J1074" s="18">
        <v>9427.59</v>
      </c>
      <c r="K1074" s="18">
        <v>7106.84</v>
      </c>
      <c r="L1074" s="18">
        <v>2320.75</v>
      </c>
      <c r="M1074" s="7" t="s">
        <v>35</v>
      </c>
      <c r="N1074" s="7" t="s">
        <v>36</v>
      </c>
      <c r="O1074" s="7" t="s">
        <v>37</v>
      </c>
      <c r="P1074" s="7" t="str">
        <f t="shared" si="48"/>
        <v>Apr</v>
      </c>
      <c r="Q1074" s="7">
        <f t="shared" si="49"/>
        <v>2026</v>
      </c>
      <c r="R1074" s="23">
        <f t="shared" si="50"/>
        <v>0.24616577513447233</v>
      </c>
    </row>
    <row r="1075" spans="1:18">
      <c r="A1075" s="7" t="s">
        <v>1330</v>
      </c>
      <c r="B1075" s="8">
        <v>45864</v>
      </c>
      <c r="C1075" s="7" t="s">
        <v>655</v>
      </c>
      <c r="D1075" s="7" t="s">
        <v>47</v>
      </c>
      <c r="E1075" s="7" t="s">
        <v>41</v>
      </c>
      <c r="F1075" s="7" t="s">
        <v>53</v>
      </c>
      <c r="G1075" s="7">
        <v>6</v>
      </c>
      <c r="H1075" s="18">
        <v>4964.95</v>
      </c>
      <c r="I1075" s="22">
        <v>0</v>
      </c>
      <c r="J1075" s="18">
        <v>29789.7</v>
      </c>
      <c r="K1075" s="18">
        <v>17414.93</v>
      </c>
      <c r="L1075" s="18">
        <v>12374.77</v>
      </c>
      <c r="M1075" s="7" t="s">
        <v>35</v>
      </c>
      <c r="N1075" s="7" t="s">
        <v>63</v>
      </c>
      <c r="O1075" s="7" t="s">
        <v>37</v>
      </c>
      <c r="P1075" s="7" t="str">
        <f t="shared" si="48"/>
        <v>Jul</v>
      </c>
      <c r="Q1075" s="7">
        <f t="shared" si="49"/>
        <v>2025</v>
      </c>
      <c r="R1075" s="23">
        <f t="shared" si="50"/>
        <v>0.41540431759970731</v>
      </c>
    </row>
    <row r="1076" spans="1:18">
      <c r="A1076" s="7" t="s">
        <v>767</v>
      </c>
      <c r="B1076" s="8">
        <v>46011</v>
      </c>
      <c r="C1076" s="7" t="s">
        <v>768</v>
      </c>
      <c r="D1076" s="7" t="s">
        <v>66</v>
      </c>
      <c r="E1076" s="7" t="s">
        <v>41</v>
      </c>
      <c r="F1076" s="7" t="s">
        <v>53</v>
      </c>
      <c r="G1076" s="7">
        <v>4</v>
      </c>
      <c r="H1076" s="18">
        <v>4965.5600000000004</v>
      </c>
      <c r="I1076" s="22">
        <v>0</v>
      </c>
      <c r="J1076" s="18">
        <v>19862.240000000002</v>
      </c>
      <c r="K1076" s="18">
        <v>15622.15</v>
      </c>
      <c r="L1076" s="18">
        <v>4240.09</v>
      </c>
      <c r="M1076" s="7" t="s">
        <v>57</v>
      </c>
      <c r="N1076" s="7" t="s">
        <v>71</v>
      </c>
      <c r="O1076" s="7" t="s">
        <v>44</v>
      </c>
      <c r="P1076" s="7" t="str">
        <f t="shared" si="48"/>
        <v>Dec</v>
      </c>
      <c r="Q1076" s="7">
        <f t="shared" si="49"/>
        <v>2025</v>
      </c>
      <c r="R1076" s="23">
        <f t="shared" si="50"/>
        <v>0.21347491521600787</v>
      </c>
    </row>
    <row r="1077" spans="1:18">
      <c r="A1077" s="7" t="s">
        <v>828</v>
      </c>
      <c r="B1077" s="8">
        <v>46086</v>
      </c>
      <c r="C1077" s="7" t="s">
        <v>829</v>
      </c>
      <c r="D1077" s="7" t="s">
        <v>134</v>
      </c>
      <c r="E1077" s="7" t="s">
        <v>41</v>
      </c>
      <c r="F1077" s="7" t="s">
        <v>53</v>
      </c>
      <c r="G1077" s="7">
        <v>2</v>
      </c>
      <c r="H1077" s="18">
        <v>4969.18</v>
      </c>
      <c r="I1077" s="22">
        <v>0.2</v>
      </c>
      <c r="J1077" s="18">
        <v>7950.69</v>
      </c>
      <c r="K1077" s="18">
        <v>5554.32</v>
      </c>
      <c r="L1077" s="18">
        <v>2396.37</v>
      </c>
      <c r="M1077" s="7" t="s">
        <v>35</v>
      </c>
      <c r="N1077" s="7" t="s">
        <v>63</v>
      </c>
      <c r="O1077" s="7" t="s">
        <v>37</v>
      </c>
      <c r="P1077" s="7" t="str">
        <f t="shared" si="48"/>
        <v>Mar</v>
      </c>
      <c r="Q1077" s="7">
        <f t="shared" si="49"/>
        <v>2026</v>
      </c>
      <c r="R1077" s="23">
        <f t="shared" si="50"/>
        <v>0.30140402908426817</v>
      </c>
    </row>
    <row r="1078" spans="1:18">
      <c r="A1078" s="7" t="s">
        <v>922</v>
      </c>
      <c r="B1078" s="8">
        <v>45930</v>
      </c>
      <c r="C1078" s="7" t="s">
        <v>923</v>
      </c>
      <c r="D1078" s="7" t="s">
        <v>74</v>
      </c>
      <c r="E1078" s="7" t="s">
        <v>33</v>
      </c>
      <c r="F1078" s="7" t="s">
        <v>92</v>
      </c>
      <c r="G1078" s="7">
        <v>3</v>
      </c>
      <c r="H1078" s="18">
        <v>4969.43</v>
      </c>
      <c r="I1078" s="22">
        <v>0.05</v>
      </c>
      <c r="J1078" s="18">
        <v>14162.88</v>
      </c>
      <c r="K1078" s="18">
        <v>10135.66</v>
      </c>
      <c r="L1078" s="18">
        <v>4027.22</v>
      </c>
      <c r="M1078" s="7" t="s">
        <v>35</v>
      </c>
      <c r="N1078" s="7" t="s">
        <v>63</v>
      </c>
      <c r="O1078" s="7" t="s">
        <v>37</v>
      </c>
      <c r="P1078" s="7" t="str">
        <f t="shared" si="48"/>
        <v>Sep</v>
      </c>
      <c r="Q1078" s="7">
        <f t="shared" si="49"/>
        <v>2025</v>
      </c>
      <c r="R1078" s="23">
        <f t="shared" si="50"/>
        <v>0.28435035811925258</v>
      </c>
    </row>
    <row r="1079" spans="1:18">
      <c r="A1079" s="7" t="s">
        <v>912</v>
      </c>
      <c r="B1079" s="8">
        <v>45705</v>
      </c>
      <c r="C1079" s="7" t="s">
        <v>545</v>
      </c>
      <c r="D1079" s="7" t="s">
        <v>40</v>
      </c>
      <c r="E1079" s="7" t="s">
        <v>41</v>
      </c>
      <c r="F1079" s="7" t="s">
        <v>124</v>
      </c>
      <c r="G1079" s="7">
        <v>2</v>
      </c>
      <c r="H1079" s="18">
        <v>4975.09</v>
      </c>
      <c r="I1079" s="22">
        <v>0.05</v>
      </c>
      <c r="J1079" s="18">
        <v>9452.67</v>
      </c>
      <c r="K1079" s="18">
        <v>7371.27</v>
      </c>
      <c r="L1079" s="18">
        <v>2081.4</v>
      </c>
      <c r="M1079" s="7" t="s">
        <v>35</v>
      </c>
      <c r="N1079" s="7" t="s">
        <v>71</v>
      </c>
      <c r="O1079" s="7" t="s">
        <v>44</v>
      </c>
      <c r="P1079" s="7" t="str">
        <f t="shared" si="48"/>
        <v>Feb</v>
      </c>
      <c r="Q1079" s="7">
        <f t="shared" si="49"/>
        <v>2025</v>
      </c>
      <c r="R1079" s="23">
        <f t="shared" si="50"/>
        <v>0.22019175534531515</v>
      </c>
    </row>
    <row r="1080" spans="1:18">
      <c r="A1080" s="7" t="s">
        <v>1621</v>
      </c>
      <c r="B1080" s="8">
        <v>45661</v>
      </c>
      <c r="C1080" s="7" t="s">
        <v>449</v>
      </c>
      <c r="D1080" s="7" t="s">
        <v>32</v>
      </c>
      <c r="E1080" s="7" t="s">
        <v>41</v>
      </c>
      <c r="F1080" s="7" t="s">
        <v>53</v>
      </c>
      <c r="G1080" s="7">
        <v>6</v>
      </c>
      <c r="H1080" s="18">
        <v>4982.28</v>
      </c>
      <c r="I1080" s="22">
        <v>0</v>
      </c>
      <c r="J1080" s="18">
        <v>29893.68</v>
      </c>
      <c r="K1080" s="18">
        <v>23354.78</v>
      </c>
      <c r="L1080" s="18">
        <v>6538.9</v>
      </c>
      <c r="M1080" s="7" t="s">
        <v>57</v>
      </c>
      <c r="N1080" s="7" t="s">
        <v>63</v>
      </c>
      <c r="O1080" s="7" t="s">
        <v>44</v>
      </c>
      <c r="P1080" s="7" t="str">
        <f t="shared" si="48"/>
        <v>Jan</v>
      </c>
      <c r="Q1080" s="7">
        <f t="shared" si="49"/>
        <v>2025</v>
      </c>
      <c r="R1080" s="23">
        <f t="shared" si="50"/>
        <v>0.21873854272876406</v>
      </c>
    </row>
    <row r="1081" spans="1:18">
      <c r="A1081" s="7" t="s">
        <v>50</v>
      </c>
      <c r="B1081" s="8">
        <v>46028</v>
      </c>
      <c r="C1081" s="7" t="s">
        <v>51</v>
      </c>
      <c r="D1081" s="7" t="s">
        <v>52</v>
      </c>
      <c r="E1081" s="7" t="s">
        <v>41</v>
      </c>
      <c r="F1081" s="7" t="s">
        <v>53</v>
      </c>
      <c r="G1081" s="7">
        <v>4</v>
      </c>
      <c r="H1081" s="18">
        <v>4983.1899999999996</v>
      </c>
      <c r="I1081" s="22">
        <v>0.2</v>
      </c>
      <c r="J1081" s="18">
        <v>15946.21</v>
      </c>
      <c r="K1081" s="18">
        <v>12246.04</v>
      </c>
      <c r="L1081" s="18">
        <v>3700.17</v>
      </c>
      <c r="M1081" s="7" t="s">
        <v>35</v>
      </c>
      <c r="N1081" s="7" t="s">
        <v>43</v>
      </c>
      <c r="O1081" s="7" t="s">
        <v>44</v>
      </c>
      <c r="P1081" s="7" t="str">
        <f t="shared" si="48"/>
        <v>Jan</v>
      </c>
      <c r="Q1081" s="7">
        <f t="shared" si="49"/>
        <v>2026</v>
      </c>
      <c r="R1081" s="23">
        <f t="shared" si="50"/>
        <v>0.23204071688507805</v>
      </c>
    </row>
    <row r="1082" spans="1:18">
      <c r="A1082" s="7" t="s">
        <v>976</v>
      </c>
      <c r="B1082" s="8">
        <v>46205</v>
      </c>
      <c r="C1082" s="7" t="s">
        <v>703</v>
      </c>
      <c r="D1082" s="7" t="s">
        <v>95</v>
      </c>
      <c r="E1082" s="7" t="s">
        <v>48</v>
      </c>
      <c r="F1082" s="7" t="s">
        <v>113</v>
      </c>
      <c r="G1082" s="7">
        <v>3</v>
      </c>
      <c r="H1082" s="18">
        <v>4993.29</v>
      </c>
      <c r="I1082" s="22">
        <v>0.2</v>
      </c>
      <c r="J1082" s="18">
        <v>11983.9</v>
      </c>
      <c r="K1082" s="18">
        <v>9001.27</v>
      </c>
      <c r="L1082" s="18">
        <v>2982.63</v>
      </c>
      <c r="M1082" s="7" t="s">
        <v>35</v>
      </c>
      <c r="N1082" s="7" t="s">
        <v>71</v>
      </c>
      <c r="O1082" s="7" t="s">
        <v>44</v>
      </c>
      <c r="P1082" s="7" t="str">
        <f t="shared" si="48"/>
        <v>Jul</v>
      </c>
      <c r="Q1082" s="7">
        <f t="shared" si="49"/>
        <v>2026</v>
      </c>
      <c r="R1082" s="23">
        <f t="shared" si="50"/>
        <v>0.24888642261701116</v>
      </c>
    </row>
    <row r="1083" spans="1:18">
      <c r="A1083" s="7" t="s">
        <v>608</v>
      </c>
      <c r="B1083" s="8">
        <v>45693</v>
      </c>
      <c r="C1083" s="7" t="s">
        <v>230</v>
      </c>
      <c r="D1083" s="7" t="s">
        <v>60</v>
      </c>
      <c r="E1083" s="7" t="s">
        <v>41</v>
      </c>
      <c r="F1083" s="7" t="s">
        <v>53</v>
      </c>
      <c r="G1083" s="7">
        <v>2</v>
      </c>
      <c r="H1083" s="18">
        <v>4995.3</v>
      </c>
      <c r="I1083" s="22">
        <v>0</v>
      </c>
      <c r="J1083" s="18">
        <v>9990.6</v>
      </c>
      <c r="K1083" s="18">
        <v>6668</v>
      </c>
      <c r="L1083" s="18">
        <v>3322.6</v>
      </c>
      <c r="M1083" s="7" t="s">
        <v>57</v>
      </c>
      <c r="N1083" s="7" t="s">
        <v>36</v>
      </c>
      <c r="O1083" s="7" t="s">
        <v>37</v>
      </c>
      <c r="P1083" s="7" t="str">
        <f t="shared" si="48"/>
        <v>Feb</v>
      </c>
      <c r="Q1083" s="7">
        <f t="shared" si="49"/>
        <v>2025</v>
      </c>
      <c r="R1083" s="23">
        <f t="shared" si="50"/>
        <v>0.33257261826116546</v>
      </c>
    </row>
    <row r="1084" spans="1:18">
      <c r="A1084" s="7" t="s">
        <v>237</v>
      </c>
      <c r="B1084" s="8">
        <v>46065</v>
      </c>
      <c r="C1084" s="7" t="s">
        <v>211</v>
      </c>
      <c r="D1084" s="7" t="s">
        <v>56</v>
      </c>
      <c r="E1084" s="7" t="s">
        <v>33</v>
      </c>
      <c r="F1084" s="7" t="s">
        <v>67</v>
      </c>
      <c r="G1084" s="7">
        <v>6</v>
      </c>
      <c r="H1084" s="18">
        <v>5011.3999999999996</v>
      </c>
      <c r="I1084" s="22">
        <v>0.1</v>
      </c>
      <c r="J1084" s="18">
        <v>27061.56</v>
      </c>
      <c r="K1084" s="18">
        <v>18833.849999999999</v>
      </c>
      <c r="L1084" s="18">
        <v>8227.7099999999991</v>
      </c>
      <c r="M1084" s="7" t="s">
        <v>57</v>
      </c>
      <c r="N1084" s="7" t="s">
        <v>63</v>
      </c>
      <c r="O1084" s="7" t="s">
        <v>44</v>
      </c>
      <c r="P1084" s="7" t="str">
        <f t="shared" si="48"/>
        <v>Feb</v>
      </c>
      <c r="Q1084" s="7">
        <f t="shared" si="49"/>
        <v>2026</v>
      </c>
      <c r="R1084" s="23">
        <f t="shared" si="50"/>
        <v>0.30403679610488082</v>
      </c>
    </row>
    <row r="1085" spans="1:18">
      <c r="A1085" s="7" t="s">
        <v>1397</v>
      </c>
      <c r="B1085" s="8">
        <v>45783</v>
      </c>
      <c r="C1085" s="7" t="s">
        <v>241</v>
      </c>
      <c r="D1085" s="7" t="s">
        <v>56</v>
      </c>
      <c r="E1085" s="7" t="s">
        <v>61</v>
      </c>
      <c r="F1085" s="7" t="s">
        <v>129</v>
      </c>
      <c r="G1085" s="7">
        <v>6</v>
      </c>
      <c r="H1085" s="18">
        <v>5012.01</v>
      </c>
      <c r="I1085" s="22">
        <v>0</v>
      </c>
      <c r="J1085" s="18">
        <v>30072.06</v>
      </c>
      <c r="K1085" s="18">
        <v>22701.78</v>
      </c>
      <c r="L1085" s="18">
        <v>7370.28</v>
      </c>
      <c r="M1085" s="7" t="s">
        <v>57</v>
      </c>
      <c r="N1085" s="7" t="s">
        <v>71</v>
      </c>
      <c r="O1085" s="7" t="s">
        <v>44</v>
      </c>
      <c r="P1085" s="7" t="str">
        <f t="shared" si="48"/>
        <v>May</v>
      </c>
      <c r="Q1085" s="7">
        <f t="shared" si="49"/>
        <v>2025</v>
      </c>
      <c r="R1085" s="23">
        <f t="shared" si="50"/>
        <v>0.24508730030466816</v>
      </c>
    </row>
    <row r="1086" spans="1:18">
      <c r="A1086" s="7" t="s">
        <v>1077</v>
      </c>
      <c r="B1086" s="8">
        <v>46077</v>
      </c>
      <c r="C1086" s="7" t="s">
        <v>197</v>
      </c>
      <c r="D1086" s="7" t="s">
        <v>95</v>
      </c>
      <c r="E1086" s="7" t="s">
        <v>41</v>
      </c>
      <c r="F1086" s="7" t="s">
        <v>119</v>
      </c>
      <c r="G1086" s="7">
        <v>5</v>
      </c>
      <c r="H1086" s="18">
        <v>5021.3</v>
      </c>
      <c r="I1086" s="22">
        <v>0.1</v>
      </c>
      <c r="J1086" s="18">
        <v>22595.85</v>
      </c>
      <c r="K1086" s="18">
        <v>12743.32</v>
      </c>
      <c r="L1086" s="18">
        <v>9852.5300000000007</v>
      </c>
      <c r="M1086" s="7" t="s">
        <v>57</v>
      </c>
      <c r="N1086" s="7" t="s">
        <v>63</v>
      </c>
      <c r="O1086" s="7" t="s">
        <v>44</v>
      </c>
      <c r="P1086" s="7" t="str">
        <f t="shared" si="48"/>
        <v>Feb</v>
      </c>
      <c r="Q1086" s="7">
        <f t="shared" si="49"/>
        <v>2026</v>
      </c>
      <c r="R1086" s="23">
        <f t="shared" si="50"/>
        <v>0.43603272282299632</v>
      </c>
    </row>
    <row r="1087" spans="1:18">
      <c r="A1087" s="7" t="s">
        <v>795</v>
      </c>
      <c r="B1087" s="8">
        <v>45697</v>
      </c>
      <c r="C1087" s="7" t="s">
        <v>222</v>
      </c>
      <c r="D1087" s="7" t="s">
        <v>47</v>
      </c>
      <c r="E1087" s="7" t="s">
        <v>61</v>
      </c>
      <c r="F1087" s="7" t="s">
        <v>62</v>
      </c>
      <c r="G1087" s="7">
        <v>5</v>
      </c>
      <c r="H1087" s="18">
        <v>5021.32</v>
      </c>
      <c r="I1087" s="22">
        <v>0</v>
      </c>
      <c r="J1087" s="18">
        <v>25106.6</v>
      </c>
      <c r="K1087" s="18">
        <v>15976.89</v>
      </c>
      <c r="L1087" s="18">
        <v>9129.7099999999991</v>
      </c>
      <c r="M1087" s="7" t="s">
        <v>35</v>
      </c>
      <c r="N1087" s="7" t="s">
        <v>43</v>
      </c>
      <c r="O1087" s="7" t="s">
        <v>44</v>
      </c>
      <c r="P1087" s="7" t="str">
        <f t="shared" si="48"/>
        <v>Feb</v>
      </c>
      <c r="Q1087" s="7">
        <f t="shared" si="49"/>
        <v>2025</v>
      </c>
      <c r="R1087" s="23">
        <f t="shared" si="50"/>
        <v>0.36363784821521034</v>
      </c>
    </row>
    <row r="1088" spans="1:18">
      <c r="A1088" s="7" t="s">
        <v>1656</v>
      </c>
      <c r="B1088" s="8">
        <v>45780</v>
      </c>
      <c r="C1088" s="7" t="s">
        <v>328</v>
      </c>
      <c r="D1088" s="7" t="s">
        <v>182</v>
      </c>
      <c r="E1088" s="7" t="s">
        <v>61</v>
      </c>
      <c r="F1088" s="7" t="s">
        <v>62</v>
      </c>
      <c r="G1088" s="7">
        <v>3</v>
      </c>
      <c r="H1088" s="18">
        <v>5028.04</v>
      </c>
      <c r="I1088" s="22">
        <v>0.05</v>
      </c>
      <c r="J1088" s="18">
        <v>14329.91</v>
      </c>
      <c r="K1088" s="18">
        <v>9559.4699999999993</v>
      </c>
      <c r="L1088" s="18">
        <v>4770.4399999999996</v>
      </c>
      <c r="M1088" s="7" t="s">
        <v>35</v>
      </c>
      <c r="N1088" s="7" t="s">
        <v>43</v>
      </c>
      <c r="O1088" s="7" t="s">
        <v>44</v>
      </c>
      <c r="P1088" s="7" t="str">
        <f t="shared" si="48"/>
        <v>May</v>
      </c>
      <c r="Q1088" s="7">
        <f t="shared" si="49"/>
        <v>2025</v>
      </c>
      <c r="R1088" s="23">
        <f t="shared" si="50"/>
        <v>0.33290090447183546</v>
      </c>
    </row>
    <row r="1089" spans="1:18">
      <c r="A1089" s="7" t="s">
        <v>396</v>
      </c>
      <c r="B1089" s="8">
        <v>45970</v>
      </c>
      <c r="C1089" s="7" t="s">
        <v>397</v>
      </c>
      <c r="D1089" s="7" t="s">
        <v>66</v>
      </c>
      <c r="E1089" s="7" t="s">
        <v>41</v>
      </c>
      <c r="F1089" s="7" t="s">
        <v>119</v>
      </c>
      <c r="G1089" s="7">
        <v>2</v>
      </c>
      <c r="H1089" s="18">
        <v>5028.8599999999997</v>
      </c>
      <c r="I1089" s="22">
        <v>0.05</v>
      </c>
      <c r="J1089" s="18">
        <v>9554.83</v>
      </c>
      <c r="K1089" s="18">
        <v>6813.85</v>
      </c>
      <c r="L1089" s="18">
        <v>2740.98</v>
      </c>
      <c r="M1089" s="7" t="s">
        <v>35</v>
      </c>
      <c r="N1089" s="7" t="s">
        <v>63</v>
      </c>
      <c r="O1089" s="7" t="s">
        <v>37</v>
      </c>
      <c r="P1089" s="7" t="str">
        <f t="shared" si="48"/>
        <v>Nov</v>
      </c>
      <c r="Q1089" s="7">
        <f t="shared" si="49"/>
        <v>2025</v>
      </c>
      <c r="R1089" s="23">
        <f t="shared" si="50"/>
        <v>0.28686852617995295</v>
      </c>
    </row>
    <row r="1090" spans="1:18">
      <c r="A1090" s="7" t="s">
        <v>246</v>
      </c>
      <c r="B1090" s="8">
        <v>45921</v>
      </c>
      <c r="C1090" s="7" t="s">
        <v>152</v>
      </c>
      <c r="D1090" s="7" t="s">
        <v>66</v>
      </c>
      <c r="E1090" s="7" t="s">
        <v>61</v>
      </c>
      <c r="F1090" s="7" t="s">
        <v>129</v>
      </c>
      <c r="G1090" s="7">
        <v>6</v>
      </c>
      <c r="H1090" s="18">
        <v>5030.32</v>
      </c>
      <c r="I1090" s="22">
        <v>0.15</v>
      </c>
      <c r="J1090" s="18">
        <v>25654.63</v>
      </c>
      <c r="K1090" s="18">
        <v>20895.689999999999</v>
      </c>
      <c r="L1090" s="18">
        <v>4758.9399999999996</v>
      </c>
      <c r="M1090" s="7" t="s">
        <v>57</v>
      </c>
      <c r="N1090" s="7" t="s">
        <v>63</v>
      </c>
      <c r="O1090" s="7" t="s">
        <v>44</v>
      </c>
      <c r="P1090" s="7" t="str">
        <f t="shared" ref="P1090:P1153" si="51">TEXT(B1090,"mmm")</f>
        <v>Sep</v>
      </c>
      <c r="Q1090" s="7">
        <f t="shared" ref="Q1090:Q1153" si="52">YEAR(B1090)</f>
        <v>2025</v>
      </c>
      <c r="R1090" s="23">
        <f t="shared" ref="R1090:R1153" si="53">IFERROR(L1090/J1090,0)</f>
        <v>0.18550023913812047</v>
      </c>
    </row>
    <row r="1091" spans="1:18">
      <c r="A1091" s="7" t="s">
        <v>187</v>
      </c>
      <c r="B1091" s="8">
        <v>46132</v>
      </c>
      <c r="C1091" s="7" t="s">
        <v>188</v>
      </c>
      <c r="D1091" s="7" t="s">
        <v>74</v>
      </c>
      <c r="E1091" s="7" t="s">
        <v>48</v>
      </c>
      <c r="F1091" s="7" t="s">
        <v>102</v>
      </c>
      <c r="G1091" s="7">
        <v>1</v>
      </c>
      <c r="H1091" s="18">
        <v>5035.8100000000004</v>
      </c>
      <c r="I1091" s="22">
        <v>0.1</v>
      </c>
      <c r="J1091" s="18">
        <v>4532.2299999999996</v>
      </c>
      <c r="K1091" s="18">
        <v>2947.75</v>
      </c>
      <c r="L1091" s="18">
        <v>1584.48</v>
      </c>
      <c r="M1091" s="7" t="s">
        <v>35</v>
      </c>
      <c r="N1091" s="7" t="s">
        <v>36</v>
      </c>
      <c r="O1091" s="7" t="s">
        <v>44</v>
      </c>
      <c r="P1091" s="7" t="str">
        <f t="shared" si="51"/>
        <v>Apr</v>
      </c>
      <c r="Q1091" s="7">
        <f t="shared" si="52"/>
        <v>2026</v>
      </c>
      <c r="R1091" s="23">
        <f t="shared" si="53"/>
        <v>0.34960273419486659</v>
      </c>
    </row>
    <row r="1092" spans="1:18">
      <c r="A1092" s="7" t="s">
        <v>1471</v>
      </c>
      <c r="B1092" s="8">
        <v>46018</v>
      </c>
      <c r="C1092" s="7" t="s">
        <v>1472</v>
      </c>
      <c r="D1092" s="7" t="s">
        <v>32</v>
      </c>
      <c r="E1092" s="7" t="s">
        <v>41</v>
      </c>
      <c r="F1092" s="7" t="s">
        <v>53</v>
      </c>
      <c r="G1092" s="7">
        <v>5</v>
      </c>
      <c r="H1092" s="18">
        <v>5036.49</v>
      </c>
      <c r="I1092" s="22">
        <v>0.05</v>
      </c>
      <c r="J1092" s="18">
        <v>23923.33</v>
      </c>
      <c r="K1092" s="18">
        <v>18241.310000000001</v>
      </c>
      <c r="L1092" s="18">
        <v>5682.02</v>
      </c>
      <c r="M1092" s="7" t="s">
        <v>57</v>
      </c>
      <c r="N1092" s="7" t="s">
        <v>43</v>
      </c>
      <c r="O1092" s="7" t="s">
        <v>37</v>
      </c>
      <c r="P1092" s="7" t="str">
        <f t="shared" si="51"/>
        <v>Dec</v>
      </c>
      <c r="Q1092" s="7">
        <f t="shared" si="52"/>
        <v>2025</v>
      </c>
      <c r="R1092" s="23">
        <f t="shared" si="53"/>
        <v>0.23750957747102933</v>
      </c>
    </row>
    <row r="1093" spans="1:18">
      <c r="A1093" s="7" t="s">
        <v>1102</v>
      </c>
      <c r="B1093" s="8">
        <v>45818</v>
      </c>
      <c r="C1093" s="7" t="s">
        <v>1103</v>
      </c>
      <c r="D1093" s="7" t="s">
        <v>74</v>
      </c>
      <c r="E1093" s="7" t="s">
        <v>33</v>
      </c>
      <c r="F1093" s="7" t="s">
        <v>34</v>
      </c>
      <c r="G1093" s="7">
        <v>6</v>
      </c>
      <c r="H1093" s="18">
        <v>5039.68</v>
      </c>
      <c r="I1093" s="22">
        <v>0.15</v>
      </c>
      <c r="J1093" s="18">
        <v>25702.37</v>
      </c>
      <c r="K1093" s="18">
        <v>21201.24</v>
      </c>
      <c r="L1093" s="18">
        <v>4501.13</v>
      </c>
      <c r="M1093" s="7" t="s">
        <v>57</v>
      </c>
      <c r="N1093" s="7" t="s">
        <v>63</v>
      </c>
      <c r="O1093" s="7" t="s">
        <v>44</v>
      </c>
      <c r="P1093" s="7" t="str">
        <f t="shared" si="51"/>
        <v>Jun</v>
      </c>
      <c r="Q1093" s="7">
        <f t="shared" si="52"/>
        <v>2025</v>
      </c>
      <c r="R1093" s="23">
        <f t="shared" si="53"/>
        <v>0.17512509546784985</v>
      </c>
    </row>
    <row r="1094" spans="1:18">
      <c r="A1094" s="7" t="s">
        <v>831</v>
      </c>
      <c r="B1094" s="8">
        <v>45798</v>
      </c>
      <c r="C1094" s="7" t="s">
        <v>59</v>
      </c>
      <c r="D1094" s="7" t="s">
        <v>134</v>
      </c>
      <c r="E1094" s="7" t="s">
        <v>61</v>
      </c>
      <c r="F1094" s="7" t="s">
        <v>89</v>
      </c>
      <c r="G1094" s="7">
        <v>2</v>
      </c>
      <c r="H1094" s="18">
        <v>5041.83</v>
      </c>
      <c r="I1094" s="22">
        <v>0</v>
      </c>
      <c r="J1094" s="18">
        <v>10083.66</v>
      </c>
      <c r="K1094" s="18">
        <v>7268.73</v>
      </c>
      <c r="L1094" s="18">
        <v>2814.93</v>
      </c>
      <c r="M1094" s="7" t="s">
        <v>35</v>
      </c>
      <c r="N1094" s="7" t="s">
        <v>63</v>
      </c>
      <c r="O1094" s="7" t="s">
        <v>37</v>
      </c>
      <c r="P1094" s="7" t="str">
        <f t="shared" si="51"/>
        <v>May</v>
      </c>
      <c r="Q1094" s="7">
        <f t="shared" si="52"/>
        <v>2025</v>
      </c>
      <c r="R1094" s="23">
        <f t="shared" si="53"/>
        <v>0.27915756778788653</v>
      </c>
    </row>
    <row r="1095" spans="1:18">
      <c r="A1095" s="7" t="s">
        <v>1740</v>
      </c>
      <c r="B1095" s="8">
        <v>46028</v>
      </c>
      <c r="C1095" s="7" t="s">
        <v>1741</v>
      </c>
      <c r="D1095" s="7" t="s">
        <v>52</v>
      </c>
      <c r="E1095" s="7" t="s">
        <v>61</v>
      </c>
      <c r="F1095" s="7" t="s">
        <v>129</v>
      </c>
      <c r="G1095" s="7">
        <v>6</v>
      </c>
      <c r="H1095" s="18">
        <v>5043.12</v>
      </c>
      <c r="I1095" s="22">
        <v>0</v>
      </c>
      <c r="J1095" s="18">
        <v>30258.720000000001</v>
      </c>
      <c r="K1095" s="18">
        <v>24382.42</v>
      </c>
      <c r="L1095" s="18">
        <v>5876.3</v>
      </c>
      <c r="M1095" s="7" t="s">
        <v>57</v>
      </c>
      <c r="N1095" s="7" t="s">
        <v>63</v>
      </c>
      <c r="O1095" s="7" t="s">
        <v>44</v>
      </c>
      <c r="P1095" s="7" t="str">
        <f t="shared" si="51"/>
        <v>Jan</v>
      </c>
      <c r="Q1095" s="7">
        <f t="shared" si="52"/>
        <v>2026</v>
      </c>
      <c r="R1095" s="23">
        <f t="shared" si="53"/>
        <v>0.19420186974201156</v>
      </c>
    </row>
    <row r="1096" spans="1:18">
      <c r="A1096" s="7" t="s">
        <v>747</v>
      </c>
      <c r="B1096" s="8">
        <v>45964</v>
      </c>
      <c r="C1096" s="7" t="s">
        <v>748</v>
      </c>
      <c r="D1096" s="7" t="s">
        <v>74</v>
      </c>
      <c r="E1096" s="7" t="s">
        <v>33</v>
      </c>
      <c r="F1096" s="7" t="s">
        <v>67</v>
      </c>
      <c r="G1096" s="7">
        <v>4</v>
      </c>
      <c r="H1096" s="18">
        <v>5046.12</v>
      </c>
      <c r="I1096" s="22">
        <v>0.2</v>
      </c>
      <c r="J1096" s="18">
        <v>16147.58</v>
      </c>
      <c r="K1096" s="18">
        <v>13144.13</v>
      </c>
      <c r="L1096" s="18">
        <v>3003.45</v>
      </c>
      <c r="M1096" s="7" t="s">
        <v>35</v>
      </c>
      <c r="N1096" s="7" t="s">
        <v>71</v>
      </c>
      <c r="O1096" s="7" t="s">
        <v>44</v>
      </c>
      <c r="P1096" s="7" t="str">
        <f t="shared" si="51"/>
        <v>Nov</v>
      </c>
      <c r="Q1096" s="7">
        <f t="shared" si="52"/>
        <v>2025</v>
      </c>
      <c r="R1096" s="23">
        <f t="shared" si="53"/>
        <v>0.18600000743145412</v>
      </c>
    </row>
    <row r="1097" spans="1:18">
      <c r="A1097" s="7" t="s">
        <v>277</v>
      </c>
      <c r="B1097" s="8">
        <v>45665</v>
      </c>
      <c r="C1097" s="7" t="s">
        <v>159</v>
      </c>
      <c r="D1097" s="7" t="s">
        <v>52</v>
      </c>
      <c r="E1097" s="7" t="s">
        <v>48</v>
      </c>
      <c r="F1097" s="7" t="s">
        <v>70</v>
      </c>
      <c r="G1097" s="7">
        <v>4</v>
      </c>
      <c r="H1097" s="18">
        <v>5048.96</v>
      </c>
      <c r="I1097" s="22">
        <v>0.15</v>
      </c>
      <c r="J1097" s="18">
        <v>17166.46</v>
      </c>
      <c r="K1097" s="18">
        <v>12576.42</v>
      </c>
      <c r="L1097" s="18">
        <v>4590.04</v>
      </c>
      <c r="M1097" s="7" t="s">
        <v>35</v>
      </c>
      <c r="N1097" s="7" t="s">
        <v>63</v>
      </c>
      <c r="O1097" s="7" t="s">
        <v>37</v>
      </c>
      <c r="P1097" s="7" t="str">
        <f t="shared" si="51"/>
        <v>Jan</v>
      </c>
      <c r="Q1097" s="7">
        <f t="shared" si="52"/>
        <v>2025</v>
      </c>
      <c r="R1097" s="23">
        <f t="shared" si="53"/>
        <v>0.26738418986791684</v>
      </c>
    </row>
    <row r="1098" spans="1:18">
      <c r="A1098" s="7" t="s">
        <v>921</v>
      </c>
      <c r="B1098" s="8">
        <v>45977</v>
      </c>
      <c r="C1098" s="7" t="s">
        <v>901</v>
      </c>
      <c r="D1098" s="7" t="s">
        <v>52</v>
      </c>
      <c r="E1098" s="7" t="s">
        <v>33</v>
      </c>
      <c r="F1098" s="7" t="s">
        <v>67</v>
      </c>
      <c r="G1098" s="7">
        <v>6</v>
      </c>
      <c r="H1098" s="18">
        <v>5050.8</v>
      </c>
      <c r="I1098" s="22">
        <v>0.05</v>
      </c>
      <c r="J1098" s="18">
        <v>28789.56</v>
      </c>
      <c r="K1098" s="18">
        <v>22297.31</v>
      </c>
      <c r="L1098" s="18">
        <v>6492.25</v>
      </c>
      <c r="M1098" s="7" t="s">
        <v>35</v>
      </c>
      <c r="N1098" s="7" t="s">
        <v>43</v>
      </c>
      <c r="O1098" s="7" t="s">
        <v>44</v>
      </c>
      <c r="P1098" s="7" t="str">
        <f t="shared" si="51"/>
        <v>Nov</v>
      </c>
      <c r="Q1098" s="7">
        <f t="shared" si="52"/>
        <v>2025</v>
      </c>
      <c r="R1098" s="23">
        <f t="shared" si="53"/>
        <v>0.22550709354363177</v>
      </c>
    </row>
    <row r="1099" spans="1:18">
      <c r="A1099" s="7" t="s">
        <v>1639</v>
      </c>
      <c r="B1099" s="8">
        <v>45780</v>
      </c>
      <c r="C1099" s="7" t="s">
        <v>621</v>
      </c>
      <c r="D1099" s="7" t="s">
        <v>47</v>
      </c>
      <c r="E1099" s="7" t="s">
        <v>61</v>
      </c>
      <c r="F1099" s="7" t="s">
        <v>62</v>
      </c>
      <c r="G1099" s="7">
        <v>3</v>
      </c>
      <c r="H1099" s="18">
        <v>5053.79</v>
      </c>
      <c r="I1099" s="22">
        <v>0.05</v>
      </c>
      <c r="J1099" s="18">
        <v>14403.3</v>
      </c>
      <c r="K1099" s="18">
        <v>9129.01</v>
      </c>
      <c r="L1099" s="18">
        <v>5274.29</v>
      </c>
      <c r="M1099" s="7" t="s">
        <v>35</v>
      </c>
      <c r="N1099" s="7" t="s">
        <v>36</v>
      </c>
      <c r="O1099" s="7" t="s">
        <v>44</v>
      </c>
      <c r="P1099" s="7" t="str">
        <f t="shared" si="51"/>
        <v>May</v>
      </c>
      <c r="Q1099" s="7">
        <f t="shared" si="52"/>
        <v>2025</v>
      </c>
      <c r="R1099" s="23">
        <f t="shared" si="53"/>
        <v>0.36618622121319422</v>
      </c>
    </row>
    <row r="1100" spans="1:18">
      <c r="A1100" s="7" t="s">
        <v>890</v>
      </c>
      <c r="B1100" s="8">
        <v>46243</v>
      </c>
      <c r="C1100" s="7" t="s">
        <v>725</v>
      </c>
      <c r="D1100" s="7" t="s">
        <v>60</v>
      </c>
      <c r="E1100" s="7" t="s">
        <v>61</v>
      </c>
      <c r="F1100" s="7" t="s">
        <v>129</v>
      </c>
      <c r="G1100" s="7">
        <v>5</v>
      </c>
      <c r="H1100" s="18">
        <v>5058.66</v>
      </c>
      <c r="I1100" s="22">
        <v>0</v>
      </c>
      <c r="J1100" s="18">
        <v>25293.3</v>
      </c>
      <c r="K1100" s="18">
        <v>19413.650000000001</v>
      </c>
      <c r="L1100" s="18">
        <v>5879.65</v>
      </c>
      <c r="M1100" s="7" t="s">
        <v>35</v>
      </c>
      <c r="N1100" s="7" t="s">
        <v>36</v>
      </c>
      <c r="O1100" s="7" t="s">
        <v>37</v>
      </c>
      <c r="P1100" s="7" t="str">
        <f t="shared" si="51"/>
        <v>Aug</v>
      </c>
      <c r="Q1100" s="7">
        <f t="shared" si="52"/>
        <v>2026</v>
      </c>
      <c r="R1100" s="23">
        <f t="shared" si="53"/>
        <v>0.2324587934354157</v>
      </c>
    </row>
    <row r="1101" spans="1:18">
      <c r="A1101" s="7" t="s">
        <v>1104</v>
      </c>
      <c r="B1101" s="8">
        <v>45673</v>
      </c>
      <c r="C1101" s="7" t="s">
        <v>88</v>
      </c>
      <c r="D1101" s="7" t="s">
        <v>47</v>
      </c>
      <c r="E1101" s="7" t="s">
        <v>41</v>
      </c>
      <c r="F1101" s="7" t="s">
        <v>153</v>
      </c>
      <c r="G1101" s="7">
        <v>2</v>
      </c>
      <c r="H1101" s="18">
        <v>5061.57</v>
      </c>
      <c r="I1101" s="22">
        <v>0.1</v>
      </c>
      <c r="J1101" s="18">
        <v>9110.83</v>
      </c>
      <c r="K1101" s="18">
        <v>7460.72</v>
      </c>
      <c r="L1101" s="18">
        <v>1650.11</v>
      </c>
      <c r="M1101" s="7" t="s">
        <v>57</v>
      </c>
      <c r="N1101" s="7" t="s">
        <v>43</v>
      </c>
      <c r="O1101" s="7" t="s">
        <v>44</v>
      </c>
      <c r="P1101" s="7" t="str">
        <f t="shared" si="51"/>
        <v>Jan</v>
      </c>
      <c r="Q1101" s="7">
        <f t="shared" si="52"/>
        <v>2025</v>
      </c>
      <c r="R1101" s="23">
        <f t="shared" si="53"/>
        <v>0.18111522221356341</v>
      </c>
    </row>
    <row r="1102" spans="1:18">
      <c r="A1102" s="7" t="s">
        <v>1305</v>
      </c>
      <c r="B1102" s="8">
        <v>45980</v>
      </c>
      <c r="C1102" s="7" t="s">
        <v>1052</v>
      </c>
      <c r="D1102" s="7" t="s">
        <v>66</v>
      </c>
      <c r="E1102" s="7" t="s">
        <v>33</v>
      </c>
      <c r="F1102" s="7" t="s">
        <v>92</v>
      </c>
      <c r="G1102" s="7">
        <v>2</v>
      </c>
      <c r="H1102" s="18">
        <v>5064.4399999999996</v>
      </c>
      <c r="I1102" s="22">
        <v>0.05</v>
      </c>
      <c r="J1102" s="18">
        <v>9622.44</v>
      </c>
      <c r="K1102" s="18">
        <v>6353.78</v>
      </c>
      <c r="L1102" s="18">
        <v>3268.66</v>
      </c>
      <c r="M1102" s="7" t="s">
        <v>57</v>
      </c>
      <c r="N1102" s="7" t="s">
        <v>43</v>
      </c>
      <c r="O1102" s="7" t="s">
        <v>44</v>
      </c>
      <c r="P1102" s="7" t="str">
        <f t="shared" si="51"/>
        <v>Nov</v>
      </c>
      <c r="Q1102" s="7">
        <f t="shared" si="52"/>
        <v>2025</v>
      </c>
      <c r="R1102" s="23">
        <f t="shared" si="53"/>
        <v>0.33969138804710652</v>
      </c>
    </row>
    <row r="1103" spans="1:18">
      <c r="A1103" s="7" t="s">
        <v>1666</v>
      </c>
      <c r="B1103" s="8">
        <v>45888</v>
      </c>
      <c r="C1103" s="7" t="s">
        <v>708</v>
      </c>
      <c r="D1103" s="7" t="s">
        <v>60</v>
      </c>
      <c r="E1103" s="7" t="s">
        <v>41</v>
      </c>
      <c r="F1103" s="7" t="s">
        <v>119</v>
      </c>
      <c r="G1103" s="7">
        <v>3</v>
      </c>
      <c r="H1103" s="18">
        <v>5066.07</v>
      </c>
      <c r="I1103" s="22">
        <v>0.1</v>
      </c>
      <c r="J1103" s="18">
        <v>13678.39</v>
      </c>
      <c r="K1103" s="18">
        <v>11304.19</v>
      </c>
      <c r="L1103" s="18">
        <v>2374.1999999999998</v>
      </c>
      <c r="M1103" s="7" t="s">
        <v>57</v>
      </c>
      <c r="N1103" s="7" t="s">
        <v>36</v>
      </c>
      <c r="O1103" s="7" t="s">
        <v>44</v>
      </c>
      <c r="P1103" s="7" t="str">
        <f t="shared" si="51"/>
        <v>Aug</v>
      </c>
      <c r="Q1103" s="7">
        <f t="shared" si="52"/>
        <v>2025</v>
      </c>
      <c r="R1103" s="23">
        <f t="shared" si="53"/>
        <v>0.1735730594024589</v>
      </c>
    </row>
    <row r="1104" spans="1:18">
      <c r="A1104" s="7" t="s">
        <v>740</v>
      </c>
      <c r="B1104" s="8">
        <v>45711</v>
      </c>
      <c r="C1104" s="7" t="s">
        <v>741</v>
      </c>
      <c r="D1104" s="7" t="s">
        <v>66</v>
      </c>
      <c r="E1104" s="7" t="s">
        <v>33</v>
      </c>
      <c r="F1104" s="7" t="s">
        <v>96</v>
      </c>
      <c r="G1104" s="7">
        <v>6</v>
      </c>
      <c r="H1104" s="18">
        <v>5067.0200000000004</v>
      </c>
      <c r="I1104" s="22">
        <v>0.15</v>
      </c>
      <c r="J1104" s="18">
        <v>25841.8</v>
      </c>
      <c r="K1104" s="18">
        <v>21115.94</v>
      </c>
      <c r="L1104" s="18">
        <v>4725.8599999999997</v>
      </c>
      <c r="M1104" s="7" t="s">
        <v>35</v>
      </c>
      <c r="N1104" s="7" t="s">
        <v>36</v>
      </c>
      <c r="O1104" s="7" t="s">
        <v>44</v>
      </c>
      <c r="P1104" s="7" t="str">
        <f t="shared" si="51"/>
        <v>Feb</v>
      </c>
      <c r="Q1104" s="7">
        <f t="shared" si="52"/>
        <v>2025</v>
      </c>
      <c r="R1104" s="23">
        <f t="shared" si="53"/>
        <v>0.18287657980481234</v>
      </c>
    </row>
    <row r="1105" spans="1:18">
      <c r="A1105" s="7" t="s">
        <v>145</v>
      </c>
      <c r="B1105" s="8">
        <v>46150</v>
      </c>
      <c r="C1105" s="7" t="s">
        <v>146</v>
      </c>
      <c r="D1105" s="7" t="s">
        <v>56</v>
      </c>
      <c r="E1105" s="7" t="s">
        <v>61</v>
      </c>
      <c r="F1105" s="7" t="s">
        <v>89</v>
      </c>
      <c r="G1105" s="7">
        <v>1</v>
      </c>
      <c r="H1105" s="18">
        <v>5068.78</v>
      </c>
      <c r="I1105" s="22">
        <v>0</v>
      </c>
      <c r="J1105" s="18">
        <v>5068.78</v>
      </c>
      <c r="K1105" s="18">
        <v>3003.69</v>
      </c>
      <c r="L1105" s="18">
        <v>2065.09</v>
      </c>
      <c r="M1105" s="7" t="s">
        <v>57</v>
      </c>
      <c r="N1105" s="7" t="s">
        <v>71</v>
      </c>
      <c r="O1105" s="7" t="s">
        <v>44</v>
      </c>
      <c r="P1105" s="7" t="str">
        <f t="shared" si="51"/>
        <v>May</v>
      </c>
      <c r="Q1105" s="7">
        <f t="shared" si="52"/>
        <v>2026</v>
      </c>
      <c r="R1105" s="23">
        <f t="shared" si="53"/>
        <v>0.40741361826711758</v>
      </c>
    </row>
    <row r="1106" spans="1:18">
      <c r="A1106" s="7" t="s">
        <v>471</v>
      </c>
      <c r="B1106" s="8">
        <v>46071</v>
      </c>
      <c r="C1106" s="7" t="s">
        <v>472</v>
      </c>
      <c r="D1106" s="7" t="s">
        <v>32</v>
      </c>
      <c r="E1106" s="7" t="s">
        <v>61</v>
      </c>
      <c r="F1106" s="7" t="s">
        <v>81</v>
      </c>
      <c r="G1106" s="7">
        <v>2</v>
      </c>
      <c r="H1106" s="18">
        <v>5068.87</v>
      </c>
      <c r="I1106" s="22">
        <v>0</v>
      </c>
      <c r="J1106" s="18">
        <v>10137.74</v>
      </c>
      <c r="K1106" s="18">
        <v>6000.74</v>
      </c>
      <c r="L1106" s="18">
        <v>4137</v>
      </c>
      <c r="M1106" s="7" t="s">
        <v>35</v>
      </c>
      <c r="N1106" s="7" t="s">
        <v>36</v>
      </c>
      <c r="O1106" s="7" t="s">
        <v>37</v>
      </c>
      <c r="P1106" s="7" t="str">
        <f t="shared" si="51"/>
        <v>Feb</v>
      </c>
      <c r="Q1106" s="7">
        <f t="shared" si="52"/>
        <v>2026</v>
      </c>
      <c r="R1106" s="23">
        <f t="shared" si="53"/>
        <v>0.40807911822556114</v>
      </c>
    </row>
    <row r="1107" spans="1:18">
      <c r="A1107" s="7" t="s">
        <v>473</v>
      </c>
      <c r="B1107" s="8">
        <v>45915</v>
      </c>
      <c r="C1107" s="7" t="s">
        <v>474</v>
      </c>
      <c r="D1107" s="7" t="s">
        <v>52</v>
      </c>
      <c r="E1107" s="7" t="s">
        <v>61</v>
      </c>
      <c r="F1107" s="7" t="s">
        <v>84</v>
      </c>
      <c r="G1107" s="7">
        <v>4</v>
      </c>
      <c r="H1107" s="18">
        <v>5069.2700000000004</v>
      </c>
      <c r="I1107" s="22">
        <v>0.05</v>
      </c>
      <c r="J1107" s="18">
        <v>19263.23</v>
      </c>
      <c r="K1107" s="18">
        <v>11750.03</v>
      </c>
      <c r="L1107" s="18">
        <v>7513.2</v>
      </c>
      <c r="M1107" s="7" t="s">
        <v>57</v>
      </c>
      <c r="N1107" s="7" t="s">
        <v>63</v>
      </c>
      <c r="O1107" s="7" t="s">
        <v>44</v>
      </c>
      <c r="P1107" s="7" t="str">
        <f t="shared" si="51"/>
        <v>Sep</v>
      </c>
      <c r="Q1107" s="7">
        <f t="shared" si="52"/>
        <v>2025</v>
      </c>
      <c r="R1107" s="23">
        <f t="shared" si="53"/>
        <v>0.39002804825566634</v>
      </c>
    </row>
    <row r="1108" spans="1:18">
      <c r="A1108" s="7" t="s">
        <v>832</v>
      </c>
      <c r="B1108" s="8">
        <v>46049</v>
      </c>
      <c r="C1108" s="7" t="s">
        <v>833</v>
      </c>
      <c r="D1108" s="7" t="s">
        <v>32</v>
      </c>
      <c r="E1108" s="7" t="s">
        <v>61</v>
      </c>
      <c r="F1108" s="7" t="s">
        <v>89</v>
      </c>
      <c r="G1108" s="7">
        <v>3</v>
      </c>
      <c r="H1108" s="18">
        <v>5075.24</v>
      </c>
      <c r="I1108" s="22">
        <v>0</v>
      </c>
      <c r="J1108" s="18">
        <v>15225.72</v>
      </c>
      <c r="K1108" s="18">
        <v>10765.61</v>
      </c>
      <c r="L1108" s="18">
        <v>4460.1099999999997</v>
      </c>
      <c r="M1108" s="7" t="s">
        <v>57</v>
      </c>
      <c r="N1108" s="7" t="s">
        <v>63</v>
      </c>
      <c r="O1108" s="7" t="s">
        <v>44</v>
      </c>
      <c r="P1108" s="7" t="str">
        <f t="shared" si="51"/>
        <v>Jan</v>
      </c>
      <c r="Q1108" s="7">
        <f t="shared" si="52"/>
        <v>2026</v>
      </c>
      <c r="R1108" s="23">
        <f t="shared" si="53"/>
        <v>0.29293261665129794</v>
      </c>
    </row>
    <row r="1109" spans="1:18">
      <c r="A1109" s="7" t="s">
        <v>1277</v>
      </c>
      <c r="B1109" s="8">
        <v>46105</v>
      </c>
      <c r="C1109" s="7" t="s">
        <v>78</v>
      </c>
      <c r="D1109" s="7" t="s">
        <v>60</v>
      </c>
      <c r="E1109" s="7" t="s">
        <v>61</v>
      </c>
      <c r="F1109" s="7" t="s">
        <v>89</v>
      </c>
      <c r="G1109" s="7">
        <v>6</v>
      </c>
      <c r="H1109" s="18">
        <v>5077.38</v>
      </c>
      <c r="I1109" s="22">
        <v>0.2</v>
      </c>
      <c r="J1109" s="18">
        <v>24371.42</v>
      </c>
      <c r="K1109" s="18">
        <v>19820.78</v>
      </c>
      <c r="L1109" s="18">
        <v>4550.6400000000003</v>
      </c>
      <c r="M1109" s="7" t="s">
        <v>57</v>
      </c>
      <c r="N1109" s="7" t="s">
        <v>43</v>
      </c>
      <c r="O1109" s="7" t="s">
        <v>37</v>
      </c>
      <c r="P1109" s="7" t="str">
        <f t="shared" si="51"/>
        <v>Mar</v>
      </c>
      <c r="Q1109" s="7">
        <f t="shared" si="52"/>
        <v>2026</v>
      </c>
      <c r="R1109" s="23">
        <f t="shared" si="53"/>
        <v>0.18672034702943041</v>
      </c>
    </row>
    <row r="1110" spans="1:18">
      <c r="A1110" s="7" t="s">
        <v>38</v>
      </c>
      <c r="B1110" s="8">
        <v>45835</v>
      </c>
      <c r="C1110" s="7" t="s">
        <v>39</v>
      </c>
      <c r="D1110" s="7" t="s">
        <v>40</v>
      </c>
      <c r="E1110" s="7" t="s">
        <v>41</v>
      </c>
      <c r="F1110" s="7" t="s">
        <v>42</v>
      </c>
      <c r="G1110" s="7">
        <v>2</v>
      </c>
      <c r="H1110" s="18">
        <v>5082.03</v>
      </c>
      <c r="I1110" s="22">
        <v>0.15</v>
      </c>
      <c r="J1110" s="18">
        <v>8639.4500000000007</v>
      </c>
      <c r="K1110" s="18">
        <v>4816.51</v>
      </c>
      <c r="L1110" s="18">
        <v>3822.94</v>
      </c>
      <c r="M1110" s="7" t="s">
        <v>35</v>
      </c>
      <c r="N1110" s="7" t="s">
        <v>43</v>
      </c>
      <c r="O1110" s="7" t="s">
        <v>44</v>
      </c>
      <c r="P1110" s="7" t="str">
        <f t="shared" si="51"/>
        <v>Jun</v>
      </c>
      <c r="Q1110" s="7">
        <f t="shared" si="52"/>
        <v>2025</v>
      </c>
      <c r="R1110" s="23">
        <f t="shared" si="53"/>
        <v>0.4424980756876884</v>
      </c>
    </row>
    <row r="1111" spans="1:18">
      <c r="A1111" s="7" t="s">
        <v>823</v>
      </c>
      <c r="B1111" s="8">
        <v>46056</v>
      </c>
      <c r="C1111" s="7" t="s">
        <v>824</v>
      </c>
      <c r="D1111" s="7" t="s">
        <v>60</v>
      </c>
      <c r="E1111" s="7" t="s">
        <v>48</v>
      </c>
      <c r="F1111" s="7" t="s">
        <v>102</v>
      </c>
      <c r="G1111" s="7">
        <v>2</v>
      </c>
      <c r="H1111" s="18">
        <v>5082.4799999999996</v>
      </c>
      <c r="I1111" s="22">
        <v>0.2</v>
      </c>
      <c r="J1111" s="18">
        <v>8131.97</v>
      </c>
      <c r="K1111" s="18">
        <v>6494.25</v>
      </c>
      <c r="L1111" s="18">
        <v>1637.72</v>
      </c>
      <c r="M1111" s="7" t="s">
        <v>35</v>
      </c>
      <c r="N1111" s="7" t="s">
        <v>43</v>
      </c>
      <c r="O1111" s="7" t="s">
        <v>37</v>
      </c>
      <c r="P1111" s="7" t="str">
        <f t="shared" si="51"/>
        <v>Feb</v>
      </c>
      <c r="Q1111" s="7">
        <f t="shared" si="52"/>
        <v>2026</v>
      </c>
      <c r="R1111" s="23">
        <f t="shared" si="53"/>
        <v>0.20139277444456877</v>
      </c>
    </row>
    <row r="1112" spans="1:18">
      <c r="A1112" s="7" t="s">
        <v>1087</v>
      </c>
      <c r="B1112" s="8">
        <v>45864</v>
      </c>
      <c r="C1112" s="7" t="s">
        <v>1088</v>
      </c>
      <c r="D1112" s="7" t="s">
        <v>66</v>
      </c>
      <c r="E1112" s="7" t="s">
        <v>33</v>
      </c>
      <c r="F1112" s="7" t="s">
        <v>67</v>
      </c>
      <c r="G1112" s="7">
        <v>2</v>
      </c>
      <c r="H1112" s="18">
        <v>5083.17</v>
      </c>
      <c r="I1112" s="22">
        <v>0</v>
      </c>
      <c r="J1112" s="18">
        <v>10166.34</v>
      </c>
      <c r="K1112" s="18">
        <v>8333.5300000000007</v>
      </c>
      <c r="L1112" s="18">
        <v>1832.81</v>
      </c>
      <c r="M1112" s="7" t="s">
        <v>57</v>
      </c>
      <c r="N1112" s="7" t="s">
        <v>43</v>
      </c>
      <c r="O1112" s="7" t="s">
        <v>37</v>
      </c>
      <c r="P1112" s="7" t="str">
        <f t="shared" si="51"/>
        <v>Jul</v>
      </c>
      <c r="Q1112" s="7">
        <f t="shared" si="52"/>
        <v>2025</v>
      </c>
      <c r="R1112" s="23">
        <f t="shared" si="53"/>
        <v>0.18028218611614405</v>
      </c>
    </row>
    <row r="1113" spans="1:18">
      <c r="A1113" s="7" t="s">
        <v>591</v>
      </c>
      <c r="B1113" s="8">
        <v>46131</v>
      </c>
      <c r="C1113" s="7" t="s">
        <v>461</v>
      </c>
      <c r="D1113" s="7" t="s">
        <v>66</v>
      </c>
      <c r="E1113" s="7" t="s">
        <v>41</v>
      </c>
      <c r="F1113" s="7" t="s">
        <v>53</v>
      </c>
      <c r="G1113" s="7">
        <v>3</v>
      </c>
      <c r="H1113" s="18">
        <v>5083.22</v>
      </c>
      <c r="I1113" s="22">
        <v>0</v>
      </c>
      <c r="J1113" s="18">
        <v>15249.66</v>
      </c>
      <c r="K1113" s="18">
        <v>9706.52</v>
      </c>
      <c r="L1113" s="18">
        <v>5543.14</v>
      </c>
      <c r="M1113" s="7" t="s">
        <v>35</v>
      </c>
      <c r="N1113" s="7" t="s">
        <v>71</v>
      </c>
      <c r="O1113" s="7" t="s">
        <v>44</v>
      </c>
      <c r="P1113" s="7" t="str">
        <f t="shared" si="51"/>
        <v>Apr</v>
      </c>
      <c r="Q1113" s="7">
        <f t="shared" si="52"/>
        <v>2026</v>
      </c>
      <c r="R1113" s="23">
        <f t="shared" si="53"/>
        <v>0.36349269426334752</v>
      </c>
    </row>
    <row r="1114" spans="1:18">
      <c r="A1114" s="7" t="s">
        <v>1642</v>
      </c>
      <c r="B1114" s="8">
        <v>45691</v>
      </c>
      <c r="C1114" s="7" t="s">
        <v>1338</v>
      </c>
      <c r="D1114" s="7" t="s">
        <v>56</v>
      </c>
      <c r="E1114" s="7" t="s">
        <v>41</v>
      </c>
      <c r="F1114" s="7" t="s">
        <v>53</v>
      </c>
      <c r="G1114" s="7">
        <v>5</v>
      </c>
      <c r="H1114" s="18">
        <v>5084.74</v>
      </c>
      <c r="I1114" s="22">
        <v>0.05</v>
      </c>
      <c r="J1114" s="18">
        <v>24152.51</v>
      </c>
      <c r="K1114" s="18">
        <v>18575.02</v>
      </c>
      <c r="L1114" s="18">
        <v>5577.49</v>
      </c>
      <c r="M1114" s="7" t="s">
        <v>57</v>
      </c>
      <c r="N1114" s="7" t="s">
        <v>43</v>
      </c>
      <c r="O1114" s="7" t="s">
        <v>44</v>
      </c>
      <c r="P1114" s="7" t="str">
        <f t="shared" si="51"/>
        <v>Feb</v>
      </c>
      <c r="Q1114" s="7">
        <f t="shared" si="52"/>
        <v>2025</v>
      </c>
      <c r="R1114" s="23">
        <f t="shared" si="53"/>
        <v>0.23092796566485224</v>
      </c>
    </row>
    <row r="1115" spans="1:18">
      <c r="A1115" s="7" t="s">
        <v>436</v>
      </c>
      <c r="B1115" s="8">
        <v>45863</v>
      </c>
      <c r="C1115" s="7" t="s">
        <v>437</v>
      </c>
      <c r="D1115" s="7" t="s">
        <v>74</v>
      </c>
      <c r="E1115" s="7" t="s">
        <v>33</v>
      </c>
      <c r="F1115" s="7" t="s">
        <v>34</v>
      </c>
      <c r="G1115" s="7">
        <v>3</v>
      </c>
      <c r="H1115" s="18">
        <v>5086.8599999999997</v>
      </c>
      <c r="I1115" s="22">
        <v>0.2</v>
      </c>
      <c r="J1115" s="18">
        <v>12208.46</v>
      </c>
      <c r="K1115" s="18">
        <v>9203.1</v>
      </c>
      <c r="L1115" s="18">
        <v>3005.36</v>
      </c>
      <c r="M1115" s="7" t="s">
        <v>35</v>
      </c>
      <c r="N1115" s="7" t="s">
        <v>36</v>
      </c>
      <c r="O1115" s="7" t="s">
        <v>44</v>
      </c>
      <c r="P1115" s="7" t="str">
        <f t="shared" si="51"/>
        <v>Jul</v>
      </c>
      <c r="Q1115" s="7">
        <f t="shared" si="52"/>
        <v>2025</v>
      </c>
      <c r="R1115" s="23">
        <f t="shared" si="53"/>
        <v>0.24617027864284277</v>
      </c>
    </row>
    <row r="1116" spans="1:18">
      <c r="A1116" s="7" t="s">
        <v>1661</v>
      </c>
      <c r="B1116" s="8">
        <v>45692</v>
      </c>
      <c r="C1116" s="7" t="s">
        <v>115</v>
      </c>
      <c r="D1116" s="7" t="s">
        <v>32</v>
      </c>
      <c r="E1116" s="7" t="s">
        <v>48</v>
      </c>
      <c r="F1116" s="7" t="s">
        <v>70</v>
      </c>
      <c r="G1116" s="7">
        <v>2</v>
      </c>
      <c r="H1116" s="18">
        <v>5087.72</v>
      </c>
      <c r="I1116" s="22">
        <v>0.15</v>
      </c>
      <c r="J1116" s="18">
        <v>8649.1200000000008</v>
      </c>
      <c r="K1116" s="18">
        <v>6196.44</v>
      </c>
      <c r="L1116" s="18">
        <v>2452.6799999999998</v>
      </c>
      <c r="M1116" s="7" t="s">
        <v>35</v>
      </c>
      <c r="N1116" s="7" t="s">
        <v>36</v>
      </c>
      <c r="O1116" s="7" t="s">
        <v>37</v>
      </c>
      <c r="P1116" s="7" t="str">
        <f t="shared" si="51"/>
        <v>Feb</v>
      </c>
      <c r="Q1116" s="7">
        <f t="shared" si="52"/>
        <v>2025</v>
      </c>
      <c r="R1116" s="23">
        <f t="shared" si="53"/>
        <v>0.28357567012597806</v>
      </c>
    </row>
    <row r="1117" spans="1:18">
      <c r="A1117" s="7" t="s">
        <v>410</v>
      </c>
      <c r="B1117" s="8">
        <v>45864</v>
      </c>
      <c r="C1117" s="7" t="s">
        <v>51</v>
      </c>
      <c r="D1117" s="7" t="s">
        <v>56</v>
      </c>
      <c r="E1117" s="7" t="s">
        <v>41</v>
      </c>
      <c r="F1117" s="7" t="s">
        <v>42</v>
      </c>
      <c r="G1117" s="7">
        <v>3</v>
      </c>
      <c r="H1117" s="18">
        <v>5093.0600000000004</v>
      </c>
      <c r="I1117" s="22">
        <v>0</v>
      </c>
      <c r="J1117" s="18">
        <v>15279.18</v>
      </c>
      <c r="K1117" s="18">
        <v>12215.22</v>
      </c>
      <c r="L1117" s="18">
        <v>3063.96</v>
      </c>
      <c r="M1117" s="7" t="s">
        <v>35</v>
      </c>
      <c r="N1117" s="7" t="s">
        <v>71</v>
      </c>
      <c r="O1117" s="7" t="s">
        <v>44</v>
      </c>
      <c r="P1117" s="7" t="str">
        <f t="shared" si="51"/>
        <v>Jul</v>
      </c>
      <c r="Q1117" s="7">
        <f t="shared" si="52"/>
        <v>2025</v>
      </c>
      <c r="R1117" s="23">
        <f t="shared" si="53"/>
        <v>0.20053170392651962</v>
      </c>
    </row>
    <row r="1118" spans="1:18">
      <c r="A1118" s="7" t="s">
        <v>1547</v>
      </c>
      <c r="B1118" s="8">
        <v>45842</v>
      </c>
      <c r="C1118" s="7" t="s">
        <v>1093</v>
      </c>
      <c r="D1118" s="7" t="s">
        <v>74</v>
      </c>
      <c r="E1118" s="7" t="s">
        <v>48</v>
      </c>
      <c r="F1118" s="7" t="s">
        <v>49</v>
      </c>
      <c r="G1118" s="7">
        <v>6</v>
      </c>
      <c r="H1118" s="18">
        <v>5094.55</v>
      </c>
      <c r="I1118" s="22">
        <v>0.05</v>
      </c>
      <c r="J1118" s="18">
        <v>29038.94</v>
      </c>
      <c r="K1118" s="18">
        <v>20984.7</v>
      </c>
      <c r="L1118" s="18">
        <v>8054.24</v>
      </c>
      <c r="M1118" s="7" t="s">
        <v>35</v>
      </c>
      <c r="N1118" s="7" t="s">
        <v>63</v>
      </c>
      <c r="O1118" s="7" t="s">
        <v>44</v>
      </c>
      <c r="P1118" s="7" t="str">
        <f t="shared" si="51"/>
        <v>Jul</v>
      </c>
      <c r="Q1118" s="7">
        <f t="shared" si="52"/>
        <v>2025</v>
      </c>
      <c r="R1118" s="23">
        <f t="shared" si="53"/>
        <v>0.27735998628049097</v>
      </c>
    </row>
    <row r="1119" spans="1:18">
      <c r="A1119" s="7" t="s">
        <v>289</v>
      </c>
      <c r="B1119" s="8">
        <v>45848</v>
      </c>
      <c r="C1119" s="7" t="s">
        <v>290</v>
      </c>
      <c r="D1119" s="7" t="s">
        <v>74</v>
      </c>
      <c r="E1119" s="7" t="s">
        <v>48</v>
      </c>
      <c r="F1119" s="7" t="s">
        <v>99</v>
      </c>
      <c r="G1119" s="7">
        <v>3</v>
      </c>
      <c r="H1119" s="18">
        <v>5094.63</v>
      </c>
      <c r="I1119" s="22">
        <v>0.05</v>
      </c>
      <c r="J1119" s="18">
        <v>14519.7</v>
      </c>
      <c r="K1119" s="18">
        <v>8484.61</v>
      </c>
      <c r="L1119" s="18">
        <v>6035.09</v>
      </c>
      <c r="M1119" s="7" t="s">
        <v>35</v>
      </c>
      <c r="N1119" s="7" t="s">
        <v>36</v>
      </c>
      <c r="O1119" s="7" t="s">
        <v>44</v>
      </c>
      <c r="P1119" s="7" t="str">
        <f t="shared" si="51"/>
        <v>Jul</v>
      </c>
      <c r="Q1119" s="7">
        <f t="shared" si="52"/>
        <v>2025</v>
      </c>
      <c r="R1119" s="23">
        <f t="shared" si="53"/>
        <v>0.41564839493928935</v>
      </c>
    </row>
    <row r="1120" spans="1:18">
      <c r="A1120" s="7" t="s">
        <v>631</v>
      </c>
      <c r="B1120" s="8">
        <v>45708</v>
      </c>
      <c r="C1120" s="7" t="s">
        <v>632</v>
      </c>
      <c r="D1120" s="7" t="s">
        <v>40</v>
      </c>
      <c r="E1120" s="7" t="s">
        <v>48</v>
      </c>
      <c r="F1120" s="7" t="s">
        <v>113</v>
      </c>
      <c r="G1120" s="7">
        <v>5</v>
      </c>
      <c r="H1120" s="18">
        <v>5095.13</v>
      </c>
      <c r="I1120" s="22">
        <v>0.2</v>
      </c>
      <c r="J1120" s="18">
        <v>20380.52</v>
      </c>
      <c r="K1120" s="18">
        <v>11795</v>
      </c>
      <c r="L1120" s="18">
        <v>8585.52</v>
      </c>
      <c r="M1120" s="7" t="s">
        <v>35</v>
      </c>
      <c r="N1120" s="7" t="s">
        <v>71</v>
      </c>
      <c r="O1120" s="7" t="s">
        <v>44</v>
      </c>
      <c r="P1120" s="7" t="str">
        <f t="shared" si="51"/>
        <v>Feb</v>
      </c>
      <c r="Q1120" s="7">
        <f t="shared" si="52"/>
        <v>2025</v>
      </c>
      <c r="R1120" s="23">
        <f t="shared" si="53"/>
        <v>0.42126108656697669</v>
      </c>
    </row>
    <row r="1121" spans="1:18">
      <c r="A1121" s="7" t="s">
        <v>622</v>
      </c>
      <c r="B1121" s="8">
        <v>46040</v>
      </c>
      <c r="C1121" s="7" t="s">
        <v>623</v>
      </c>
      <c r="D1121" s="7" t="s">
        <v>52</v>
      </c>
      <c r="E1121" s="7" t="s">
        <v>61</v>
      </c>
      <c r="F1121" s="7" t="s">
        <v>129</v>
      </c>
      <c r="G1121" s="7">
        <v>1</v>
      </c>
      <c r="H1121" s="18">
        <v>5099.8500000000004</v>
      </c>
      <c r="I1121" s="22">
        <v>0</v>
      </c>
      <c r="J1121" s="18">
        <v>5099.8500000000004</v>
      </c>
      <c r="K1121" s="18">
        <v>3226.86</v>
      </c>
      <c r="L1121" s="18">
        <v>1872.99</v>
      </c>
      <c r="M1121" s="7" t="s">
        <v>57</v>
      </c>
      <c r="N1121" s="7" t="s">
        <v>63</v>
      </c>
      <c r="O1121" s="7" t="s">
        <v>37</v>
      </c>
      <c r="P1121" s="7" t="str">
        <f t="shared" si="51"/>
        <v>Jan</v>
      </c>
      <c r="Q1121" s="7">
        <f t="shared" si="52"/>
        <v>2026</v>
      </c>
      <c r="R1121" s="23">
        <f t="shared" si="53"/>
        <v>0.36726374305126619</v>
      </c>
    </row>
    <row r="1122" spans="1:18">
      <c r="A1122" s="7" t="s">
        <v>72</v>
      </c>
      <c r="B1122" s="8">
        <v>45962</v>
      </c>
      <c r="C1122" s="7" t="s">
        <v>73</v>
      </c>
      <c r="D1122" s="7" t="s">
        <v>74</v>
      </c>
      <c r="E1122" s="7" t="s">
        <v>61</v>
      </c>
      <c r="F1122" s="7" t="s">
        <v>62</v>
      </c>
      <c r="G1122" s="7">
        <v>4</v>
      </c>
      <c r="H1122" s="18">
        <v>5105.62</v>
      </c>
      <c r="I1122" s="22">
        <v>0.1</v>
      </c>
      <c r="J1122" s="18">
        <v>18380.23</v>
      </c>
      <c r="K1122" s="18">
        <v>11088.51</v>
      </c>
      <c r="L1122" s="18">
        <v>7291.72</v>
      </c>
      <c r="M1122" s="7" t="s">
        <v>35</v>
      </c>
      <c r="N1122" s="7" t="s">
        <v>63</v>
      </c>
      <c r="O1122" s="7" t="s">
        <v>44</v>
      </c>
      <c r="P1122" s="7" t="str">
        <f t="shared" si="51"/>
        <v>Nov</v>
      </c>
      <c r="Q1122" s="7">
        <f t="shared" si="52"/>
        <v>2025</v>
      </c>
      <c r="R1122" s="23">
        <f t="shared" si="53"/>
        <v>0.39671538386625199</v>
      </c>
    </row>
    <row r="1123" spans="1:18">
      <c r="A1123" s="7" t="s">
        <v>1554</v>
      </c>
      <c r="B1123" s="8">
        <v>45865</v>
      </c>
      <c r="C1123" s="7" t="s">
        <v>811</v>
      </c>
      <c r="D1123" s="7" t="s">
        <v>134</v>
      </c>
      <c r="E1123" s="7" t="s">
        <v>41</v>
      </c>
      <c r="F1123" s="7" t="s">
        <v>42</v>
      </c>
      <c r="G1123" s="7">
        <v>2</v>
      </c>
      <c r="H1123" s="18">
        <v>5125.8500000000004</v>
      </c>
      <c r="I1123" s="22">
        <v>0.15</v>
      </c>
      <c r="J1123" s="18">
        <v>8713.94</v>
      </c>
      <c r="K1123" s="18">
        <v>5207.6499999999996</v>
      </c>
      <c r="L1123" s="18">
        <v>3506.29</v>
      </c>
      <c r="M1123" s="7" t="s">
        <v>35</v>
      </c>
      <c r="N1123" s="7" t="s">
        <v>43</v>
      </c>
      <c r="O1123" s="7" t="s">
        <v>44</v>
      </c>
      <c r="P1123" s="7" t="str">
        <f t="shared" si="51"/>
        <v>Jul</v>
      </c>
      <c r="Q1123" s="7">
        <f t="shared" si="52"/>
        <v>2025</v>
      </c>
      <c r="R1123" s="23">
        <f t="shared" si="53"/>
        <v>0.40237711069848997</v>
      </c>
    </row>
    <row r="1124" spans="1:18">
      <c r="A1124" s="7" t="s">
        <v>1193</v>
      </c>
      <c r="B1124" s="8">
        <v>45913</v>
      </c>
      <c r="C1124" s="7" t="s">
        <v>859</v>
      </c>
      <c r="D1124" s="7" t="s">
        <v>52</v>
      </c>
      <c r="E1124" s="7" t="s">
        <v>48</v>
      </c>
      <c r="F1124" s="7" t="s">
        <v>102</v>
      </c>
      <c r="G1124" s="7">
        <v>2</v>
      </c>
      <c r="H1124" s="18">
        <v>5133.07</v>
      </c>
      <c r="I1124" s="22">
        <v>0.15</v>
      </c>
      <c r="J1124" s="18">
        <v>8726.2199999999993</v>
      </c>
      <c r="K1124" s="18">
        <v>6657.36</v>
      </c>
      <c r="L1124" s="18">
        <v>2068.86</v>
      </c>
      <c r="M1124" s="7" t="s">
        <v>35</v>
      </c>
      <c r="N1124" s="7" t="s">
        <v>71</v>
      </c>
      <c r="O1124" s="7" t="s">
        <v>44</v>
      </c>
      <c r="P1124" s="7" t="str">
        <f t="shared" si="51"/>
        <v>Sep</v>
      </c>
      <c r="Q1124" s="7">
        <f t="shared" si="52"/>
        <v>2025</v>
      </c>
      <c r="R1124" s="23">
        <f t="shared" si="53"/>
        <v>0.23708547343523315</v>
      </c>
    </row>
    <row r="1125" spans="1:18">
      <c r="A1125" s="7" t="s">
        <v>650</v>
      </c>
      <c r="B1125" s="8">
        <v>45862</v>
      </c>
      <c r="C1125" s="7" t="s">
        <v>651</v>
      </c>
      <c r="D1125" s="7" t="s">
        <v>74</v>
      </c>
      <c r="E1125" s="7" t="s">
        <v>48</v>
      </c>
      <c r="F1125" s="7" t="s">
        <v>113</v>
      </c>
      <c r="G1125" s="7">
        <v>4</v>
      </c>
      <c r="H1125" s="18">
        <v>5133.28</v>
      </c>
      <c r="I1125" s="22">
        <v>0.05</v>
      </c>
      <c r="J1125" s="18">
        <v>19506.46</v>
      </c>
      <c r="K1125" s="18">
        <v>14596.14</v>
      </c>
      <c r="L1125" s="18">
        <v>4910.32</v>
      </c>
      <c r="M1125" s="7" t="s">
        <v>35</v>
      </c>
      <c r="N1125" s="7" t="s">
        <v>43</v>
      </c>
      <c r="O1125" s="7" t="s">
        <v>44</v>
      </c>
      <c r="P1125" s="7" t="str">
        <f t="shared" si="51"/>
        <v>Jul</v>
      </c>
      <c r="Q1125" s="7">
        <f t="shared" si="52"/>
        <v>2025</v>
      </c>
      <c r="R1125" s="23">
        <f t="shared" si="53"/>
        <v>0.25172788911980953</v>
      </c>
    </row>
    <row r="1126" spans="1:18">
      <c r="A1126" s="7" t="s">
        <v>141</v>
      </c>
      <c r="B1126" s="8">
        <v>46133</v>
      </c>
      <c r="C1126" s="7" t="s">
        <v>142</v>
      </c>
      <c r="D1126" s="7" t="s">
        <v>40</v>
      </c>
      <c r="E1126" s="7" t="s">
        <v>41</v>
      </c>
      <c r="F1126" s="7" t="s">
        <v>119</v>
      </c>
      <c r="G1126" s="7">
        <v>6</v>
      </c>
      <c r="H1126" s="18">
        <v>5136.76</v>
      </c>
      <c r="I1126" s="22">
        <v>0</v>
      </c>
      <c r="J1126" s="18">
        <v>30820.560000000001</v>
      </c>
      <c r="K1126" s="18">
        <v>18067.060000000001</v>
      </c>
      <c r="L1126" s="18">
        <v>12753.5</v>
      </c>
      <c r="M1126" s="7" t="s">
        <v>35</v>
      </c>
      <c r="N1126" s="7" t="s">
        <v>63</v>
      </c>
      <c r="O1126" s="7" t="s">
        <v>44</v>
      </c>
      <c r="P1126" s="7" t="str">
        <f t="shared" si="51"/>
        <v>Apr</v>
      </c>
      <c r="Q1126" s="7">
        <f t="shared" si="52"/>
        <v>2026</v>
      </c>
      <c r="R1126" s="23">
        <f t="shared" si="53"/>
        <v>0.4137984514233356</v>
      </c>
    </row>
    <row r="1127" spans="1:18">
      <c r="A1127" s="7" t="s">
        <v>278</v>
      </c>
      <c r="B1127" s="8">
        <v>45922</v>
      </c>
      <c r="C1127" s="7" t="s">
        <v>279</v>
      </c>
      <c r="D1127" s="7" t="s">
        <v>66</v>
      </c>
      <c r="E1127" s="7" t="s">
        <v>48</v>
      </c>
      <c r="F1127" s="7" t="s">
        <v>113</v>
      </c>
      <c r="G1127" s="7">
        <v>6</v>
      </c>
      <c r="H1127" s="18">
        <v>5138.99</v>
      </c>
      <c r="I1127" s="22">
        <v>0.15</v>
      </c>
      <c r="J1127" s="18">
        <v>26208.85</v>
      </c>
      <c r="K1127" s="18">
        <v>14891.25</v>
      </c>
      <c r="L1127" s="18">
        <v>11317.6</v>
      </c>
      <c r="M1127" s="7" t="s">
        <v>57</v>
      </c>
      <c r="N1127" s="7" t="s">
        <v>36</v>
      </c>
      <c r="O1127" s="7" t="s">
        <v>37</v>
      </c>
      <c r="P1127" s="7" t="str">
        <f t="shared" si="51"/>
        <v>Sep</v>
      </c>
      <c r="Q1127" s="7">
        <f t="shared" si="52"/>
        <v>2025</v>
      </c>
      <c r="R1127" s="23">
        <f t="shared" si="53"/>
        <v>0.43182360156969885</v>
      </c>
    </row>
    <row r="1128" spans="1:18">
      <c r="A1128" s="7" t="s">
        <v>821</v>
      </c>
      <c r="B1128" s="8">
        <v>46159</v>
      </c>
      <c r="C1128" s="7" t="s">
        <v>822</v>
      </c>
      <c r="D1128" s="7" t="s">
        <v>40</v>
      </c>
      <c r="E1128" s="7" t="s">
        <v>41</v>
      </c>
      <c r="F1128" s="7" t="s">
        <v>153</v>
      </c>
      <c r="G1128" s="7">
        <v>4</v>
      </c>
      <c r="H1128" s="18">
        <v>5141.04</v>
      </c>
      <c r="I1128" s="22">
        <v>0.1</v>
      </c>
      <c r="J1128" s="18">
        <v>18507.740000000002</v>
      </c>
      <c r="K1128" s="18">
        <v>12030.29</v>
      </c>
      <c r="L1128" s="18">
        <v>6477.45</v>
      </c>
      <c r="M1128" s="7" t="s">
        <v>57</v>
      </c>
      <c r="N1128" s="7" t="s">
        <v>71</v>
      </c>
      <c r="O1128" s="7" t="s">
        <v>44</v>
      </c>
      <c r="P1128" s="7" t="str">
        <f t="shared" si="51"/>
        <v>May</v>
      </c>
      <c r="Q1128" s="7">
        <f t="shared" si="52"/>
        <v>2026</v>
      </c>
      <c r="R1128" s="23">
        <f t="shared" si="53"/>
        <v>0.34998600585484774</v>
      </c>
    </row>
    <row r="1129" spans="1:18">
      <c r="A1129" s="7" t="s">
        <v>1151</v>
      </c>
      <c r="B1129" s="8">
        <v>45705</v>
      </c>
      <c r="C1129" s="7" t="s">
        <v>843</v>
      </c>
      <c r="D1129" s="7" t="s">
        <v>47</v>
      </c>
      <c r="E1129" s="7" t="s">
        <v>48</v>
      </c>
      <c r="F1129" s="7" t="s">
        <v>113</v>
      </c>
      <c r="G1129" s="7">
        <v>3</v>
      </c>
      <c r="H1129" s="18">
        <v>5153.95</v>
      </c>
      <c r="I1129" s="22">
        <v>0</v>
      </c>
      <c r="J1129" s="18">
        <v>15461.85</v>
      </c>
      <c r="K1129" s="18">
        <v>8524.9699999999993</v>
      </c>
      <c r="L1129" s="18">
        <v>6936.88</v>
      </c>
      <c r="M1129" s="7" t="s">
        <v>57</v>
      </c>
      <c r="N1129" s="7" t="s">
        <v>63</v>
      </c>
      <c r="O1129" s="7" t="s">
        <v>44</v>
      </c>
      <c r="P1129" s="7" t="str">
        <f t="shared" si="51"/>
        <v>Feb</v>
      </c>
      <c r="Q1129" s="7">
        <f t="shared" si="52"/>
        <v>2025</v>
      </c>
      <c r="R1129" s="23">
        <f t="shared" si="53"/>
        <v>0.44864489048852496</v>
      </c>
    </row>
    <row r="1130" spans="1:18">
      <c r="A1130" s="7" t="s">
        <v>1750</v>
      </c>
      <c r="B1130" s="8">
        <v>46159</v>
      </c>
      <c r="C1130" s="7" t="s">
        <v>150</v>
      </c>
      <c r="D1130" s="7" t="s">
        <v>1758</v>
      </c>
      <c r="E1130" s="7" t="s">
        <v>61</v>
      </c>
      <c r="F1130" s="7" t="s">
        <v>62</v>
      </c>
      <c r="G1130" s="7">
        <v>4</v>
      </c>
      <c r="H1130" s="18">
        <v>5156.7299999999996</v>
      </c>
      <c r="I1130" s="22">
        <v>0.05</v>
      </c>
      <c r="J1130" s="18">
        <v>19595.57</v>
      </c>
      <c r="K1130" s="18">
        <v>14879.11</v>
      </c>
      <c r="L1130" s="18">
        <v>4716.46</v>
      </c>
      <c r="M1130" s="7" t="s">
        <v>57</v>
      </c>
      <c r="N1130" s="7" t="s">
        <v>63</v>
      </c>
      <c r="O1130" s="7" t="s">
        <v>44</v>
      </c>
      <c r="P1130" s="7" t="str">
        <f t="shared" si="51"/>
        <v>May</v>
      </c>
      <c r="Q1130" s="7">
        <f t="shared" si="52"/>
        <v>2026</v>
      </c>
      <c r="R1130" s="23">
        <f t="shared" si="53"/>
        <v>0.24069011516378447</v>
      </c>
    </row>
    <row r="1131" spans="1:18">
      <c r="A1131" s="7" t="s">
        <v>973</v>
      </c>
      <c r="B1131" s="8">
        <v>45735</v>
      </c>
      <c r="C1131" s="7" t="s">
        <v>974</v>
      </c>
      <c r="D1131" s="7" t="s">
        <v>66</v>
      </c>
      <c r="E1131" s="7" t="s">
        <v>41</v>
      </c>
      <c r="F1131" s="7" t="s">
        <v>153</v>
      </c>
      <c r="G1131" s="7">
        <v>2</v>
      </c>
      <c r="H1131" s="18">
        <v>5161.1400000000003</v>
      </c>
      <c r="I1131" s="22">
        <v>0.1</v>
      </c>
      <c r="J1131" s="18">
        <v>9290.0499999999993</v>
      </c>
      <c r="K1131" s="18">
        <v>7435.34</v>
      </c>
      <c r="L1131" s="18">
        <v>1854.71</v>
      </c>
      <c r="M1131" s="7" t="s">
        <v>57</v>
      </c>
      <c r="N1131" s="7" t="s">
        <v>71</v>
      </c>
      <c r="O1131" s="7" t="s">
        <v>37</v>
      </c>
      <c r="P1131" s="7" t="str">
        <f t="shared" si="51"/>
        <v>Mar</v>
      </c>
      <c r="Q1131" s="7">
        <f t="shared" si="52"/>
        <v>2025</v>
      </c>
      <c r="R1131" s="23">
        <f t="shared" si="53"/>
        <v>0.19964478124444973</v>
      </c>
    </row>
    <row r="1132" spans="1:18">
      <c r="A1132" s="7" t="s">
        <v>1275</v>
      </c>
      <c r="B1132" s="8">
        <v>46141</v>
      </c>
      <c r="C1132" s="7" t="s">
        <v>1069</v>
      </c>
      <c r="D1132" s="7" t="s">
        <v>52</v>
      </c>
      <c r="E1132" s="7" t="s">
        <v>41</v>
      </c>
      <c r="F1132" s="7" t="s">
        <v>153</v>
      </c>
      <c r="G1132" s="7">
        <v>4</v>
      </c>
      <c r="H1132" s="18">
        <v>5164.2700000000004</v>
      </c>
      <c r="I1132" s="22">
        <v>0</v>
      </c>
      <c r="J1132" s="18">
        <v>20657.080000000002</v>
      </c>
      <c r="K1132" s="18">
        <v>16989.07</v>
      </c>
      <c r="L1132" s="18">
        <v>3668.01</v>
      </c>
      <c r="M1132" s="7" t="s">
        <v>57</v>
      </c>
      <c r="N1132" s="7" t="s">
        <v>63</v>
      </c>
      <c r="O1132" s="7" t="s">
        <v>37</v>
      </c>
      <c r="P1132" s="7" t="str">
        <f t="shared" si="51"/>
        <v>Apr</v>
      </c>
      <c r="Q1132" s="7">
        <f t="shared" si="52"/>
        <v>2026</v>
      </c>
      <c r="R1132" s="23">
        <f t="shared" si="53"/>
        <v>0.17756672288629372</v>
      </c>
    </row>
    <row r="1133" spans="1:18">
      <c r="A1133" s="7" t="s">
        <v>1678</v>
      </c>
      <c r="B1133" s="8">
        <v>46227</v>
      </c>
      <c r="C1133" s="7" t="s">
        <v>533</v>
      </c>
      <c r="D1133" s="7" t="s">
        <v>56</v>
      </c>
      <c r="E1133" s="7" t="s">
        <v>61</v>
      </c>
      <c r="F1133" s="7" t="s">
        <v>89</v>
      </c>
      <c r="G1133" s="7">
        <v>2</v>
      </c>
      <c r="H1133" s="18">
        <v>5185.42</v>
      </c>
      <c r="I1133" s="22">
        <v>0.1</v>
      </c>
      <c r="J1133" s="18">
        <v>9333.76</v>
      </c>
      <c r="K1133" s="18">
        <v>7478.61</v>
      </c>
      <c r="L1133" s="18">
        <v>1855.15</v>
      </c>
      <c r="M1133" s="7" t="s">
        <v>35</v>
      </c>
      <c r="N1133" s="7" t="s">
        <v>43</v>
      </c>
      <c r="O1133" s="7" t="s">
        <v>44</v>
      </c>
      <c r="P1133" s="7" t="str">
        <f t="shared" si="51"/>
        <v>Jul</v>
      </c>
      <c r="Q1133" s="7">
        <f t="shared" si="52"/>
        <v>2026</v>
      </c>
      <c r="R1133" s="23">
        <f t="shared" si="53"/>
        <v>0.19875698539495337</v>
      </c>
    </row>
    <row r="1134" spans="1:18">
      <c r="A1134" s="7" t="s">
        <v>891</v>
      </c>
      <c r="B1134" s="8">
        <v>45785</v>
      </c>
      <c r="C1134" s="7" t="s">
        <v>150</v>
      </c>
      <c r="D1134" s="7" t="s">
        <v>60</v>
      </c>
      <c r="E1134" s="7" t="s">
        <v>33</v>
      </c>
      <c r="F1134" s="7" t="s">
        <v>176</v>
      </c>
      <c r="G1134" s="7">
        <v>2</v>
      </c>
      <c r="H1134" s="18">
        <v>5190.76</v>
      </c>
      <c r="I1134" s="22">
        <v>0.15</v>
      </c>
      <c r="J1134" s="18">
        <v>8824.2900000000009</v>
      </c>
      <c r="K1134" s="18">
        <v>4946.45</v>
      </c>
      <c r="L1134" s="18">
        <v>3877.84</v>
      </c>
      <c r="M1134" s="7" t="s">
        <v>35</v>
      </c>
      <c r="N1134" s="7" t="s">
        <v>36</v>
      </c>
      <c r="O1134" s="7" t="s">
        <v>37</v>
      </c>
      <c r="P1134" s="7" t="str">
        <f t="shared" si="51"/>
        <v>May</v>
      </c>
      <c r="Q1134" s="7">
        <f t="shared" si="52"/>
        <v>2025</v>
      </c>
      <c r="R1134" s="23">
        <f t="shared" si="53"/>
        <v>0.43945065268707167</v>
      </c>
    </row>
    <row r="1135" spans="1:18">
      <c r="A1135" s="7" t="s">
        <v>362</v>
      </c>
      <c r="B1135" s="8">
        <v>45778</v>
      </c>
      <c r="C1135" s="7" t="s">
        <v>363</v>
      </c>
      <c r="D1135" s="7" t="s">
        <v>60</v>
      </c>
      <c r="E1135" s="7" t="s">
        <v>33</v>
      </c>
      <c r="F1135" s="7" t="s">
        <v>34</v>
      </c>
      <c r="G1135" s="7">
        <v>4</v>
      </c>
      <c r="H1135" s="18">
        <v>5193.74</v>
      </c>
      <c r="I1135" s="22">
        <v>0.05</v>
      </c>
      <c r="J1135" s="18">
        <v>19736.21</v>
      </c>
      <c r="K1135" s="18">
        <v>14152.79</v>
      </c>
      <c r="L1135" s="18">
        <v>5583.42</v>
      </c>
      <c r="M1135" s="7" t="s">
        <v>35</v>
      </c>
      <c r="N1135" s="7" t="s">
        <v>36</v>
      </c>
      <c r="O1135" s="7" t="s">
        <v>44</v>
      </c>
      <c r="P1135" s="7" t="str">
        <f t="shared" si="51"/>
        <v>May</v>
      </c>
      <c r="Q1135" s="7">
        <f t="shared" si="52"/>
        <v>2025</v>
      </c>
      <c r="R1135" s="23">
        <f t="shared" si="53"/>
        <v>0.28290234041895584</v>
      </c>
    </row>
    <row r="1136" spans="1:18">
      <c r="A1136" s="7" t="s">
        <v>554</v>
      </c>
      <c r="B1136" s="8">
        <v>45678</v>
      </c>
      <c r="C1136" s="7" t="s">
        <v>555</v>
      </c>
      <c r="D1136" s="7" t="s">
        <v>56</v>
      </c>
      <c r="E1136" s="7" t="s">
        <v>61</v>
      </c>
      <c r="F1136" s="7" t="s">
        <v>81</v>
      </c>
      <c r="G1136" s="7">
        <v>5</v>
      </c>
      <c r="H1136" s="18">
        <v>5202.7</v>
      </c>
      <c r="I1136" s="22">
        <v>0.2</v>
      </c>
      <c r="J1136" s="18">
        <v>20810.8</v>
      </c>
      <c r="K1136" s="18">
        <v>15205.34</v>
      </c>
      <c r="L1136" s="18">
        <v>5605.46</v>
      </c>
      <c r="M1136" s="7" t="s">
        <v>57</v>
      </c>
      <c r="N1136" s="7" t="s">
        <v>71</v>
      </c>
      <c r="O1136" s="7" t="s">
        <v>44</v>
      </c>
      <c r="P1136" s="7" t="str">
        <f t="shared" si="51"/>
        <v>Jan</v>
      </c>
      <c r="Q1136" s="7">
        <f t="shared" si="52"/>
        <v>2025</v>
      </c>
      <c r="R1136" s="23">
        <f t="shared" si="53"/>
        <v>0.26935341265112345</v>
      </c>
    </row>
    <row r="1137" spans="1:18">
      <c r="A1137" s="7" t="s">
        <v>1620</v>
      </c>
      <c r="B1137" s="8">
        <v>45733</v>
      </c>
      <c r="C1137" s="7" t="s">
        <v>131</v>
      </c>
      <c r="D1137" s="7" t="s">
        <v>47</v>
      </c>
      <c r="E1137" s="7" t="s">
        <v>33</v>
      </c>
      <c r="F1137" s="7" t="s">
        <v>176</v>
      </c>
      <c r="G1137" s="7">
        <v>6</v>
      </c>
      <c r="H1137" s="18">
        <v>5209.2700000000004</v>
      </c>
      <c r="I1137" s="22">
        <v>0</v>
      </c>
      <c r="J1137" s="18">
        <v>31255.62</v>
      </c>
      <c r="K1137" s="18">
        <v>26370.54</v>
      </c>
      <c r="L1137" s="18">
        <v>4885.08</v>
      </c>
      <c r="M1137" s="7" t="s">
        <v>57</v>
      </c>
      <c r="N1137" s="7" t="s">
        <v>36</v>
      </c>
      <c r="O1137" s="7" t="s">
        <v>44</v>
      </c>
      <c r="P1137" s="7" t="str">
        <f t="shared" si="51"/>
        <v>Mar</v>
      </c>
      <c r="Q1137" s="7">
        <f t="shared" si="52"/>
        <v>2025</v>
      </c>
      <c r="R1137" s="23">
        <f t="shared" si="53"/>
        <v>0.15629445200575129</v>
      </c>
    </row>
    <row r="1138" spans="1:18">
      <c r="A1138" s="7" t="s">
        <v>769</v>
      </c>
      <c r="B1138" s="8">
        <v>46026</v>
      </c>
      <c r="C1138" s="7" t="s">
        <v>725</v>
      </c>
      <c r="D1138" s="7" t="s">
        <v>66</v>
      </c>
      <c r="E1138" s="7" t="s">
        <v>33</v>
      </c>
      <c r="F1138" s="7" t="s">
        <v>96</v>
      </c>
      <c r="G1138" s="7">
        <v>1</v>
      </c>
      <c r="H1138" s="18">
        <v>5214.88</v>
      </c>
      <c r="I1138" s="22">
        <v>0.1</v>
      </c>
      <c r="J1138" s="18">
        <v>4693.3900000000003</v>
      </c>
      <c r="K1138" s="18">
        <v>2777.95</v>
      </c>
      <c r="L1138" s="18">
        <v>1915.44</v>
      </c>
      <c r="M1138" s="7" t="s">
        <v>35</v>
      </c>
      <c r="N1138" s="7" t="s">
        <v>63</v>
      </c>
      <c r="O1138" s="7" t="s">
        <v>37</v>
      </c>
      <c r="P1138" s="7" t="str">
        <f t="shared" si="51"/>
        <v>Jan</v>
      </c>
      <c r="Q1138" s="7">
        <f t="shared" si="52"/>
        <v>2026</v>
      </c>
      <c r="R1138" s="23">
        <f t="shared" si="53"/>
        <v>0.40811439066431726</v>
      </c>
    </row>
    <row r="1139" spans="1:18">
      <c r="A1139" s="7" t="s">
        <v>1269</v>
      </c>
      <c r="B1139" s="8">
        <v>46240</v>
      </c>
      <c r="C1139" s="7" t="s">
        <v>1270</v>
      </c>
      <c r="D1139" s="7" t="s">
        <v>74</v>
      </c>
      <c r="E1139" s="7" t="s">
        <v>41</v>
      </c>
      <c r="F1139" s="7" t="s">
        <v>53</v>
      </c>
      <c r="G1139" s="7">
        <v>4</v>
      </c>
      <c r="H1139" s="18">
        <v>5216.83</v>
      </c>
      <c r="I1139" s="22">
        <v>0.2</v>
      </c>
      <c r="J1139" s="18">
        <v>16693.86</v>
      </c>
      <c r="K1139" s="18">
        <v>9437.2000000000007</v>
      </c>
      <c r="L1139" s="18">
        <v>7256.66</v>
      </c>
      <c r="M1139" s="7" t="s">
        <v>57</v>
      </c>
      <c r="N1139" s="7" t="s">
        <v>43</v>
      </c>
      <c r="O1139" s="7" t="s">
        <v>44</v>
      </c>
      <c r="P1139" s="7" t="str">
        <f t="shared" si="51"/>
        <v>Aug</v>
      </c>
      <c r="Q1139" s="7">
        <f t="shared" si="52"/>
        <v>2026</v>
      </c>
      <c r="R1139" s="23">
        <f t="shared" si="53"/>
        <v>0.43469035920991306</v>
      </c>
    </row>
    <row r="1140" spans="1:18">
      <c r="A1140" s="7" t="s">
        <v>30</v>
      </c>
      <c r="B1140" s="8">
        <v>45690</v>
      </c>
      <c r="C1140" s="7" t="s">
        <v>31</v>
      </c>
      <c r="D1140" s="7" t="s">
        <v>32</v>
      </c>
      <c r="E1140" s="7" t="s">
        <v>33</v>
      </c>
      <c r="F1140" s="7" t="s">
        <v>34</v>
      </c>
      <c r="G1140" s="7">
        <v>2</v>
      </c>
      <c r="H1140" s="18">
        <v>5217.8599999999997</v>
      </c>
      <c r="I1140" s="22">
        <v>0.1</v>
      </c>
      <c r="J1140" s="18">
        <v>9392.15</v>
      </c>
      <c r="K1140" s="18">
        <v>7880.02</v>
      </c>
      <c r="L1140" s="18">
        <v>1512.13</v>
      </c>
      <c r="M1140" s="7" t="s">
        <v>35</v>
      </c>
      <c r="N1140" s="7" t="s">
        <v>36</v>
      </c>
      <c r="O1140" s="7" t="s">
        <v>37</v>
      </c>
      <c r="P1140" s="7" t="str">
        <f t="shared" si="51"/>
        <v>Feb</v>
      </c>
      <c r="Q1140" s="7">
        <f t="shared" si="52"/>
        <v>2025</v>
      </c>
      <c r="R1140" s="23">
        <f t="shared" si="53"/>
        <v>0.16099934519785142</v>
      </c>
    </row>
    <row r="1141" spans="1:18">
      <c r="A1141" s="7" t="s">
        <v>1553</v>
      </c>
      <c r="B1141" s="8">
        <v>46039</v>
      </c>
      <c r="C1141" s="7" t="s">
        <v>970</v>
      </c>
      <c r="D1141" s="7" t="s">
        <v>134</v>
      </c>
      <c r="E1141" s="7" t="s">
        <v>41</v>
      </c>
      <c r="F1141" s="7" t="s">
        <v>153</v>
      </c>
      <c r="G1141" s="7">
        <v>3</v>
      </c>
      <c r="H1141" s="18">
        <v>5222.53</v>
      </c>
      <c r="I1141" s="22">
        <v>0</v>
      </c>
      <c r="J1141" s="18">
        <v>15667.59</v>
      </c>
      <c r="K1141" s="18">
        <v>10137.91</v>
      </c>
      <c r="L1141" s="18">
        <v>5529.68</v>
      </c>
      <c r="M1141" s="7" t="s">
        <v>57</v>
      </c>
      <c r="N1141" s="7" t="s">
        <v>71</v>
      </c>
      <c r="O1141" s="7" t="s">
        <v>37</v>
      </c>
      <c r="P1141" s="7" t="str">
        <f t="shared" si="51"/>
        <v>Jan</v>
      </c>
      <c r="Q1141" s="7">
        <f t="shared" si="52"/>
        <v>2026</v>
      </c>
      <c r="R1141" s="23">
        <f t="shared" si="53"/>
        <v>0.35293749708793759</v>
      </c>
    </row>
    <row r="1142" spans="1:18">
      <c r="A1142" s="7" t="s">
        <v>415</v>
      </c>
      <c r="B1142" s="8">
        <v>46101</v>
      </c>
      <c r="C1142" s="7" t="s">
        <v>199</v>
      </c>
      <c r="D1142" s="7" t="s">
        <v>416</v>
      </c>
      <c r="E1142" s="7" t="s">
        <v>48</v>
      </c>
      <c r="F1142" s="7" t="s">
        <v>113</v>
      </c>
      <c r="G1142" s="7">
        <v>1</v>
      </c>
      <c r="H1142" s="18">
        <v>5224.6000000000004</v>
      </c>
      <c r="I1142" s="22">
        <v>0.05</v>
      </c>
      <c r="J1142" s="18">
        <v>4963.37</v>
      </c>
      <c r="K1142" s="18">
        <v>2751.32</v>
      </c>
      <c r="L1142" s="18">
        <v>2212.0500000000002</v>
      </c>
      <c r="M1142" s="7" t="s">
        <v>35</v>
      </c>
      <c r="N1142" s="7" t="s">
        <v>71</v>
      </c>
      <c r="O1142" s="7" t="s">
        <v>44</v>
      </c>
      <c r="P1142" s="7" t="str">
        <f t="shared" si="51"/>
        <v>Mar</v>
      </c>
      <c r="Q1142" s="7">
        <f t="shared" si="52"/>
        <v>2026</v>
      </c>
      <c r="R1142" s="23">
        <f t="shared" si="53"/>
        <v>0.44567501516107005</v>
      </c>
    </row>
    <row r="1143" spans="1:18">
      <c r="A1143" s="7" t="s">
        <v>649</v>
      </c>
      <c r="B1143" s="8">
        <v>45679</v>
      </c>
      <c r="C1143" s="7" t="s">
        <v>344</v>
      </c>
      <c r="D1143" s="7" t="s">
        <v>60</v>
      </c>
      <c r="E1143" s="7" t="s">
        <v>48</v>
      </c>
      <c r="F1143" s="7" t="s">
        <v>70</v>
      </c>
      <c r="G1143" s="7">
        <v>3</v>
      </c>
      <c r="H1143" s="18">
        <v>5231.55</v>
      </c>
      <c r="I1143" s="22">
        <v>0</v>
      </c>
      <c r="J1143" s="18">
        <v>15694.65</v>
      </c>
      <c r="K1143" s="18">
        <v>8782.6299999999992</v>
      </c>
      <c r="L1143" s="18">
        <v>6912.02</v>
      </c>
      <c r="M1143" s="7" t="s">
        <v>57</v>
      </c>
      <c r="N1143" s="7" t="s">
        <v>43</v>
      </c>
      <c r="O1143" s="7" t="s">
        <v>44</v>
      </c>
      <c r="P1143" s="7" t="str">
        <f t="shared" si="51"/>
        <v>Jan</v>
      </c>
      <c r="Q1143" s="7">
        <f t="shared" si="52"/>
        <v>2025</v>
      </c>
      <c r="R1143" s="23">
        <f t="shared" si="53"/>
        <v>0.4404061256542835</v>
      </c>
    </row>
    <row r="1144" spans="1:18">
      <c r="A1144" s="7" t="s">
        <v>908</v>
      </c>
      <c r="B1144" s="8">
        <v>45661</v>
      </c>
      <c r="C1144" s="7" t="s">
        <v>909</v>
      </c>
      <c r="D1144" s="7" t="s">
        <v>66</v>
      </c>
      <c r="E1144" s="7" t="s">
        <v>48</v>
      </c>
      <c r="F1144" s="7" t="s">
        <v>113</v>
      </c>
      <c r="G1144" s="7">
        <v>2</v>
      </c>
      <c r="H1144" s="18">
        <v>5232.8500000000004</v>
      </c>
      <c r="I1144" s="22">
        <v>0.2</v>
      </c>
      <c r="J1144" s="18">
        <v>8372.56</v>
      </c>
      <c r="K1144" s="18">
        <v>6490.14</v>
      </c>
      <c r="L1144" s="18">
        <v>1882.42</v>
      </c>
      <c r="M1144" s="7" t="s">
        <v>35</v>
      </c>
      <c r="N1144" s="7" t="s">
        <v>43</v>
      </c>
      <c r="O1144" s="7" t="s">
        <v>44</v>
      </c>
      <c r="P1144" s="7" t="str">
        <f t="shared" si="51"/>
        <v>Jan</v>
      </c>
      <c r="Q1144" s="7">
        <f t="shared" si="52"/>
        <v>2025</v>
      </c>
      <c r="R1144" s="23">
        <f t="shared" si="53"/>
        <v>0.2248320704778467</v>
      </c>
    </row>
    <row r="1145" spans="1:18">
      <c r="A1145" s="7" t="s">
        <v>960</v>
      </c>
      <c r="B1145" s="8">
        <v>45872</v>
      </c>
      <c r="C1145" s="7" t="s">
        <v>422</v>
      </c>
      <c r="D1145" s="7" t="s">
        <v>52</v>
      </c>
      <c r="E1145" s="7" t="s">
        <v>41</v>
      </c>
      <c r="F1145" s="7" t="s">
        <v>119</v>
      </c>
      <c r="G1145" s="7">
        <v>3</v>
      </c>
      <c r="H1145" s="18">
        <v>5233.4799999999996</v>
      </c>
      <c r="I1145" s="22">
        <v>0.15</v>
      </c>
      <c r="J1145" s="18">
        <v>13345.37</v>
      </c>
      <c r="K1145" s="18">
        <v>8009.47</v>
      </c>
      <c r="L1145" s="18">
        <v>5335.9</v>
      </c>
      <c r="M1145" s="7" t="s">
        <v>35</v>
      </c>
      <c r="N1145" s="7" t="s">
        <v>43</v>
      </c>
      <c r="O1145" s="7" t="s">
        <v>37</v>
      </c>
      <c r="P1145" s="7" t="str">
        <f t="shared" si="51"/>
        <v>Aug</v>
      </c>
      <c r="Q1145" s="7">
        <f t="shared" si="52"/>
        <v>2025</v>
      </c>
      <c r="R1145" s="23">
        <f t="shared" si="53"/>
        <v>0.39983155206637205</v>
      </c>
    </row>
    <row r="1146" spans="1:18">
      <c r="A1146" s="7" t="s">
        <v>1092</v>
      </c>
      <c r="B1146" s="8">
        <v>46079</v>
      </c>
      <c r="C1146" s="7" t="s">
        <v>1093</v>
      </c>
      <c r="D1146" s="7" t="s">
        <v>134</v>
      </c>
      <c r="E1146" s="7" t="s">
        <v>33</v>
      </c>
      <c r="F1146" s="7" t="s">
        <v>96</v>
      </c>
      <c r="G1146" s="7">
        <v>5</v>
      </c>
      <c r="H1146" s="18">
        <v>5234.7</v>
      </c>
      <c r="I1146" s="22">
        <v>0.1</v>
      </c>
      <c r="J1146" s="18">
        <v>23556.15</v>
      </c>
      <c r="K1146" s="18">
        <v>17059.7</v>
      </c>
      <c r="L1146" s="18">
        <v>6496.45</v>
      </c>
      <c r="M1146" s="7" t="s">
        <v>57</v>
      </c>
      <c r="N1146" s="7" t="s">
        <v>71</v>
      </c>
      <c r="O1146" s="7" t="s">
        <v>44</v>
      </c>
      <c r="P1146" s="7" t="str">
        <f t="shared" si="51"/>
        <v>Feb</v>
      </c>
      <c r="Q1146" s="7">
        <f t="shared" si="52"/>
        <v>2026</v>
      </c>
      <c r="R1146" s="23">
        <f t="shared" si="53"/>
        <v>0.27578572899221643</v>
      </c>
    </row>
    <row r="1147" spans="1:18">
      <c r="A1147" s="7" t="s">
        <v>1528</v>
      </c>
      <c r="B1147" s="8">
        <v>45776</v>
      </c>
      <c r="C1147" s="7" t="s">
        <v>934</v>
      </c>
      <c r="D1147" s="7" t="s">
        <v>60</v>
      </c>
      <c r="E1147" s="7" t="s">
        <v>48</v>
      </c>
      <c r="F1147" s="7" t="s">
        <v>99</v>
      </c>
      <c r="G1147" s="7">
        <v>1</v>
      </c>
      <c r="H1147" s="18">
        <v>5236.91</v>
      </c>
      <c r="I1147" s="22">
        <v>0.05</v>
      </c>
      <c r="J1147" s="18">
        <v>4975.0600000000004</v>
      </c>
      <c r="K1147" s="18">
        <v>3013.97</v>
      </c>
      <c r="L1147" s="18">
        <v>1961.09</v>
      </c>
      <c r="M1147" s="7" t="s">
        <v>35</v>
      </c>
      <c r="N1147" s="7" t="s">
        <v>43</v>
      </c>
      <c r="O1147" s="7" t="s">
        <v>44</v>
      </c>
      <c r="P1147" s="7" t="str">
        <f t="shared" si="51"/>
        <v>Apr</v>
      </c>
      <c r="Q1147" s="7">
        <f t="shared" si="52"/>
        <v>2025</v>
      </c>
      <c r="R1147" s="23">
        <f t="shared" si="53"/>
        <v>0.3941841907434282</v>
      </c>
    </row>
    <row r="1148" spans="1:18">
      <c r="A1148" s="7" t="s">
        <v>1529</v>
      </c>
      <c r="B1148" s="8">
        <v>46137</v>
      </c>
      <c r="C1148" s="7" t="s">
        <v>640</v>
      </c>
      <c r="D1148" s="7" t="s">
        <v>134</v>
      </c>
      <c r="E1148" s="7" t="s">
        <v>61</v>
      </c>
      <c r="F1148" s="7" t="s">
        <v>62</v>
      </c>
      <c r="G1148" s="7">
        <v>3</v>
      </c>
      <c r="H1148" s="18">
        <v>5239.33</v>
      </c>
      <c r="I1148" s="22">
        <v>0</v>
      </c>
      <c r="J1148" s="18">
        <v>15717.99</v>
      </c>
      <c r="K1148" s="18">
        <v>10998.08</v>
      </c>
      <c r="L1148" s="18">
        <v>4719.91</v>
      </c>
      <c r="M1148" s="7" t="s">
        <v>35</v>
      </c>
      <c r="N1148" s="7" t="s">
        <v>63</v>
      </c>
      <c r="O1148" s="7" t="s">
        <v>44</v>
      </c>
      <c r="P1148" s="7" t="str">
        <f t="shared" si="51"/>
        <v>Apr</v>
      </c>
      <c r="Q1148" s="7">
        <f t="shared" si="52"/>
        <v>2026</v>
      </c>
      <c r="R1148" s="23">
        <f t="shared" si="53"/>
        <v>0.30028712322631584</v>
      </c>
    </row>
    <row r="1149" spans="1:18">
      <c r="A1149" s="7" t="s">
        <v>364</v>
      </c>
      <c r="B1149" s="8">
        <v>46005</v>
      </c>
      <c r="C1149" s="7" t="s">
        <v>121</v>
      </c>
      <c r="D1149" s="7" t="s">
        <v>66</v>
      </c>
      <c r="E1149" s="7" t="s">
        <v>61</v>
      </c>
      <c r="F1149" s="7" t="s">
        <v>129</v>
      </c>
      <c r="G1149" s="7">
        <v>5</v>
      </c>
      <c r="H1149" s="18">
        <v>5244.6</v>
      </c>
      <c r="I1149" s="22">
        <v>0</v>
      </c>
      <c r="J1149" s="18">
        <v>26223</v>
      </c>
      <c r="K1149" s="18">
        <v>15849.58</v>
      </c>
      <c r="L1149" s="18">
        <v>10373.42</v>
      </c>
      <c r="M1149" s="7" t="s">
        <v>35</v>
      </c>
      <c r="N1149" s="7" t="s">
        <v>36</v>
      </c>
      <c r="O1149" s="7" t="s">
        <v>44</v>
      </c>
      <c r="P1149" s="7" t="str">
        <f t="shared" si="51"/>
        <v>Dec</v>
      </c>
      <c r="Q1149" s="7">
        <f t="shared" si="52"/>
        <v>2025</v>
      </c>
      <c r="R1149" s="23">
        <f t="shared" si="53"/>
        <v>0.3955847919765092</v>
      </c>
    </row>
    <row r="1150" spans="1:18">
      <c r="A1150" s="7" t="s">
        <v>798</v>
      </c>
      <c r="B1150" s="8">
        <v>45952</v>
      </c>
      <c r="C1150" s="7" t="s">
        <v>799</v>
      </c>
      <c r="D1150" s="7" t="s">
        <v>95</v>
      </c>
      <c r="E1150" s="7" t="s">
        <v>48</v>
      </c>
      <c r="F1150" s="7" t="s">
        <v>49</v>
      </c>
      <c r="G1150" s="7">
        <v>6</v>
      </c>
      <c r="H1150" s="18">
        <v>5246.55</v>
      </c>
      <c r="I1150" s="22">
        <v>0</v>
      </c>
      <c r="J1150" s="18">
        <v>31479.3</v>
      </c>
      <c r="K1150" s="18">
        <v>17716.900000000001</v>
      </c>
      <c r="L1150" s="18">
        <v>13762.4</v>
      </c>
      <c r="M1150" s="7" t="s">
        <v>35</v>
      </c>
      <c r="N1150" s="7" t="s">
        <v>71</v>
      </c>
      <c r="O1150" s="7" t="s">
        <v>37</v>
      </c>
      <c r="P1150" s="7" t="str">
        <f t="shared" si="51"/>
        <v>Oct</v>
      </c>
      <c r="Q1150" s="7">
        <f t="shared" si="52"/>
        <v>2025</v>
      </c>
      <c r="R1150" s="23">
        <f t="shared" si="53"/>
        <v>0.43718888285317653</v>
      </c>
    </row>
    <row r="1151" spans="1:18">
      <c r="A1151" s="7" t="s">
        <v>1722</v>
      </c>
      <c r="B1151" s="8">
        <v>45870</v>
      </c>
      <c r="C1151" s="7" t="s">
        <v>741</v>
      </c>
      <c r="D1151" s="7" t="s">
        <v>95</v>
      </c>
      <c r="E1151" s="7" t="s">
        <v>33</v>
      </c>
      <c r="F1151" s="7" t="s">
        <v>92</v>
      </c>
      <c r="G1151" s="7">
        <v>6</v>
      </c>
      <c r="H1151" s="18">
        <v>5246.86</v>
      </c>
      <c r="I1151" s="22">
        <v>0.2</v>
      </c>
      <c r="J1151" s="18">
        <v>25184.93</v>
      </c>
      <c r="K1151" s="18">
        <v>13875.34</v>
      </c>
      <c r="L1151" s="18">
        <v>11309.59</v>
      </c>
      <c r="M1151" s="7" t="s">
        <v>57</v>
      </c>
      <c r="N1151" s="7" t="s">
        <v>43</v>
      </c>
      <c r="O1151" s="7" t="s">
        <v>44</v>
      </c>
      <c r="P1151" s="7" t="str">
        <f t="shared" si="51"/>
        <v>Aug</v>
      </c>
      <c r="Q1151" s="7">
        <f t="shared" si="52"/>
        <v>2025</v>
      </c>
      <c r="R1151" s="23">
        <f t="shared" si="53"/>
        <v>0.44906180005265056</v>
      </c>
    </row>
    <row r="1152" spans="1:18">
      <c r="A1152" s="7" t="s">
        <v>1386</v>
      </c>
      <c r="B1152" s="8">
        <v>45892</v>
      </c>
      <c r="C1152" s="7" t="s">
        <v>273</v>
      </c>
      <c r="D1152" s="7" t="s">
        <v>60</v>
      </c>
      <c r="E1152" s="7" t="s">
        <v>48</v>
      </c>
      <c r="F1152" s="7" t="s">
        <v>102</v>
      </c>
      <c r="G1152" s="7">
        <v>2</v>
      </c>
      <c r="H1152" s="18">
        <v>5251.24</v>
      </c>
      <c r="I1152" s="22">
        <v>0</v>
      </c>
      <c r="J1152" s="18">
        <v>10502.48</v>
      </c>
      <c r="K1152" s="18">
        <v>7806.87</v>
      </c>
      <c r="L1152" s="18">
        <v>2695.61</v>
      </c>
      <c r="M1152" s="7" t="s">
        <v>35</v>
      </c>
      <c r="N1152" s="7" t="s">
        <v>63</v>
      </c>
      <c r="O1152" s="7" t="s">
        <v>44</v>
      </c>
      <c r="P1152" s="7" t="str">
        <f t="shared" si="51"/>
        <v>Aug</v>
      </c>
      <c r="Q1152" s="7">
        <f t="shared" si="52"/>
        <v>2025</v>
      </c>
      <c r="R1152" s="23">
        <f t="shared" si="53"/>
        <v>0.25666414027924833</v>
      </c>
    </row>
    <row r="1153" spans="1:18">
      <c r="A1153" s="7" t="s">
        <v>810</v>
      </c>
      <c r="B1153" s="8">
        <v>46214</v>
      </c>
      <c r="C1153" s="7" t="s">
        <v>811</v>
      </c>
      <c r="D1153" s="7" t="s">
        <v>32</v>
      </c>
      <c r="E1153" s="7" t="s">
        <v>33</v>
      </c>
      <c r="F1153" s="7" t="s">
        <v>67</v>
      </c>
      <c r="G1153" s="7">
        <v>6</v>
      </c>
      <c r="H1153" s="18">
        <v>5254.2</v>
      </c>
      <c r="I1153" s="22">
        <v>0</v>
      </c>
      <c r="J1153" s="18">
        <v>31525.200000000001</v>
      </c>
      <c r="K1153" s="18">
        <v>21334.09</v>
      </c>
      <c r="L1153" s="18">
        <v>10191.11</v>
      </c>
      <c r="M1153" s="7" t="s">
        <v>35</v>
      </c>
      <c r="N1153" s="7" t="s">
        <v>43</v>
      </c>
      <c r="O1153" s="7" t="s">
        <v>44</v>
      </c>
      <c r="P1153" s="7" t="str">
        <f t="shared" si="51"/>
        <v>Jul</v>
      </c>
      <c r="Q1153" s="7">
        <f t="shared" si="52"/>
        <v>2026</v>
      </c>
      <c r="R1153" s="23">
        <f t="shared" si="53"/>
        <v>0.32326868663799119</v>
      </c>
    </row>
    <row r="1154" spans="1:18">
      <c r="A1154" s="7" t="s">
        <v>1090</v>
      </c>
      <c r="B1154" s="8">
        <v>46080</v>
      </c>
      <c r="C1154" s="7" t="s">
        <v>337</v>
      </c>
      <c r="D1154" s="7" t="s">
        <v>56</v>
      </c>
      <c r="E1154" s="7" t="s">
        <v>61</v>
      </c>
      <c r="F1154" s="7" t="s">
        <v>89</v>
      </c>
      <c r="G1154" s="7">
        <v>2</v>
      </c>
      <c r="H1154" s="18">
        <v>5259.75</v>
      </c>
      <c r="I1154" s="22">
        <v>0</v>
      </c>
      <c r="J1154" s="18">
        <v>10519.5</v>
      </c>
      <c r="K1154" s="18">
        <v>6113.12</v>
      </c>
      <c r="L1154" s="18">
        <v>4406.38</v>
      </c>
      <c r="M1154" s="7" t="s">
        <v>35</v>
      </c>
      <c r="N1154" s="7" t="s">
        <v>36</v>
      </c>
      <c r="O1154" s="7" t="s">
        <v>44</v>
      </c>
      <c r="P1154" s="7" t="str">
        <f t="shared" ref="P1154:P1201" si="54">TEXT(B1154,"mmm")</f>
        <v>Feb</v>
      </c>
      <c r="Q1154" s="7">
        <f t="shared" ref="Q1154:Q1201" si="55">YEAR(B1154)</f>
        <v>2026</v>
      </c>
      <c r="R1154" s="23">
        <f t="shared" ref="R1154:R1201" si="56">IFERROR(L1154/J1154,0)</f>
        <v>0.41887732306668568</v>
      </c>
    </row>
    <row r="1155" spans="1:18">
      <c r="A1155" s="7" t="s">
        <v>1059</v>
      </c>
      <c r="B1155" s="8">
        <v>45676</v>
      </c>
      <c r="C1155" s="7" t="s">
        <v>1060</v>
      </c>
      <c r="D1155" s="7" t="s">
        <v>74</v>
      </c>
      <c r="E1155" s="7" t="s">
        <v>41</v>
      </c>
      <c r="F1155" s="7" t="s">
        <v>42</v>
      </c>
      <c r="G1155" s="7">
        <v>6</v>
      </c>
      <c r="H1155" s="18">
        <v>5263.44</v>
      </c>
      <c r="I1155" s="22">
        <v>0.2</v>
      </c>
      <c r="J1155" s="18">
        <v>25264.51</v>
      </c>
      <c r="K1155" s="18">
        <v>16095.24</v>
      </c>
      <c r="L1155" s="18">
        <v>9169.27</v>
      </c>
      <c r="M1155" s="7" t="s">
        <v>57</v>
      </c>
      <c r="N1155" s="7" t="s">
        <v>36</v>
      </c>
      <c r="O1155" s="7" t="s">
        <v>37</v>
      </c>
      <c r="P1155" s="7" t="str">
        <f t="shared" si="54"/>
        <v>Jan</v>
      </c>
      <c r="Q1155" s="7">
        <f t="shared" si="55"/>
        <v>2025</v>
      </c>
      <c r="R1155" s="23">
        <f t="shared" si="56"/>
        <v>0.36293084647198781</v>
      </c>
    </row>
    <row r="1156" spans="1:18">
      <c r="A1156" s="7" t="s">
        <v>1482</v>
      </c>
      <c r="B1156" s="8">
        <v>45848</v>
      </c>
      <c r="C1156" s="7" t="s">
        <v>267</v>
      </c>
      <c r="D1156" s="7" t="s">
        <v>134</v>
      </c>
      <c r="E1156" s="7" t="s">
        <v>41</v>
      </c>
      <c r="F1156" s="7" t="s">
        <v>124</v>
      </c>
      <c r="G1156" s="7">
        <v>1</v>
      </c>
      <c r="H1156" s="18">
        <v>5272.82</v>
      </c>
      <c r="I1156" s="22">
        <v>0</v>
      </c>
      <c r="J1156" s="18">
        <v>5272.82</v>
      </c>
      <c r="K1156" s="18">
        <v>3665.82</v>
      </c>
      <c r="L1156" s="18">
        <v>1607</v>
      </c>
      <c r="M1156" s="7" t="s">
        <v>35</v>
      </c>
      <c r="N1156" s="7" t="s">
        <v>63</v>
      </c>
      <c r="O1156" s="7" t="s">
        <v>44</v>
      </c>
      <c r="P1156" s="7" t="str">
        <f t="shared" si="54"/>
        <v>Jul</v>
      </c>
      <c r="Q1156" s="7">
        <f t="shared" si="55"/>
        <v>2025</v>
      </c>
      <c r="R1156" s="23">
        <f t="shared" si="56"/>
        <v>0.30477050231185593</v>
      </c>
    </row>
    <row r="1157" spans="1:18">
      <c r="A1157" s="7" t="s">
        <v>1433</v>
      </c>
      <c r="B1157" s="8">
        <v>46002</v>
      </c>
      <c r="C1157" s="7" t="s">
        <v>1000</v>
      </c>
      <c r="D1157" s="7" t="s">
        <v>60</v>
      </c>
      <c r="E1157" s="7" t="s">
        <v>41</v>
      </c>
      <c r="F1157" s="7" t="s">
        <v>119</v>
      </c>
      <c r="G1157" s="7">
        <v>2</v>
      </c>
      <c r="H1157" s="18">
        <v>5274.48</v>
      </c>
      <c r="I1157" s="22">
        <v>0.05</v>
      </c>
      <c r="J1157" s="18">
        <v>10021.51</v>
      </c>
      <c r="K1157" s="18">
        <v>5653.24</v>
      </c>
      <c r="L1157" s="18">
        <v>4368.2700000000004</v>
      </c>
      <c r="M1157" s="7" t="s">
        <v>35</v>
      </c>
      <c r="N1157" s="7" t="s">
        <v>71</v>
      </c>
      <c r="O1157" s="7" t="s">
        <v>44</v>
      </c>
      <c r="P1157" s="7" t="str">
        <f t="shared" si="54"/>
        <v>Dec</v>
      </c>
      <c r="Q1157" s="7">
        <f t="shared" si="55"/>
        <v>2025</v>
      </c>
      <c r="R1157" s="23">
        <f t="shared" si="56"/>
        <v>0.43588940189652065</v>
      </c>
    </row>
    <row r="1158" spans="1:18">
      <c r="A1158" s="7" t="s">
        <v>796</v>
      </c>
      <c r="B1158" s="8">
        <v>46250</v>
      </c>
      <c r="C1158" s="7" t="s">
        <v>320</v>
      </c>
      <c r="D1158" s="7" t="s">
        <v>66</v>
      </c>
      <c r="E1158" s="7" t="s">
        <v>33</v>
      </c>
      <c r="F1158" s="7" t="s">
        <v>96</v>
      </c>
      <c r="G1158" s="7">
        <v>1</v>
      </c>
      <c r="H1158" s="18">
        <v>5276.99</v>
      </c>
      <c r="I1158" s="22">
        <v>0.2</v>
      </c>
      <c r="J1158" s="18">
        <v>4221.59</v>
      </c>
      <c r="K1158" s="18">
        <v>2423.65</v>
      </c>
      <c r="L1158" s="18">
        <v>1797.94</v>
      </c>
      <c r="M1158" s="7" t="s">
        <v>35</v>
      </c>
      <c r="N1158" s="7" t="s">
        <v>43</v>
      </c>
      <c r="O1158" s="7" t="s">
        <v>44</v>
      </c>
      <c r="P1158" s="7" t="str">
        <f t="shared" si="54"/>
        <v>Aug</v>
      </c>
      <c r="Q1158" s="7">
        <f t="shared" si="55"/>
        <v>2026</v>
      </c>
      <c r="R1158" s="23">
        <f t="shared" si="56"/>
        <v>0.42589166641004927</v>
      </c>
    </row>
    <row r="1159" spans="1:18">
      <c r="A1159" s="7" t="s">
        <v>530</v>
      </c>
      <c r="B1159" s="8">
        <v>46008</v>
      </c>
      <c r="C1159" s="7" t="s">
        <v>531</v>
      </c>
      <c r="D1159" s="7" t="s">
        <v>47</v>
      </c>
      <c r="E1159" s="7" t="s">
        <v>41</v>
      </c>
      <c r="F1159" s="7" t="s">
        <v>153</v>
      </c>
      <c r="G1159" s="7">
        <v>5</v>
      </c>
      <c r="H1159" s="18">
        <v>5291.64</v>
      </c>
      <c r="I1159" s="22">
        <v>0.1</v>
      </c>
      <c r="J1159" s="18">
        <v>23812.38</v>
      </c>
      <c r="K1159" s="18">
        <v>13153.62</v>
      </c>
      <c r="L1159" s="18">
        <v>10658.76</v>
      </c>
      <c r="M1159" s="7" t="s">
        <v>35</v>
      </c>
      <c r="N1159" s="7" t="s">
        <v>71</v>
      </c>
      <c r="O1159" s="7" t="s">
        <v>44</v>
      </c>
      <c r="P1159" s="7" t="str">
        <f t="shared" si="54"/>
        <v>Dec</v>
      </c>
      <c r="Q1159" s="7">
        <f t="shared" si="55"/>
        <v>2025</v>
      </c>
      <c r="R1159" s="23">
        <f t="shared" si="56"/>
        <v>0.44761422419766522</v>
      </c>
    </row>
    <row r="1160" spans="1:18">
      <c r="A1160" s="7" t="s">
        <v>1732</v>
      </c>
      <c r="B1160" s="8">
        <v>45849</v>
      </c>
      <c r="C1160" s="7" t="s">
        <v>762</v>
      </c>
      <c r="D1160" s="7" t="s">
        <v>74</v>
      </c>
      <c r="E1160" s="7" t="s">
        <v>41</v>
      </c>
      <c r="F1160" s="7" t="s">
        <v>119</v>
      </c>
      <c r="G1160" s="7">
        <v>4</v>
      </c>
      <c r="H1160" s="18">
        <v>5292.23</v>
      </c>
      <c r="I1160" s="22">
        <v>0.1</v>
      </c>
      <c r="J1160" s="18">
        <v>19052.03</v>
      </c>
      <c r="K1160" s="18">
        <v>12600.98</v>
      </c>
      <c r="L1160" s="18">
        <v>6451.05</v>
      </c>
      <c r="M1160" s="7" t="s">
        <v>57</v>
      </c>
      <c r="N1160" s="7" t="s">
        <v>71</v>
      </c>
      <c r="O1160" s="7" t="s">
        <v>44</v>
      </c>
      <c r="P1160" s="7" t="str">
        <f t="shared" si="54"/>
        <v>Jul</v>
      </c>
      <c r="Q1160" s="7">
        <f t="shared" si="55"/>
        <v>2025</v>
      </c>
      <c r="R1160" s="23">
        <f t="shared" si="56"/>
        <v>0.33860171330824068</v>
      </c>
    </row>
    <row r="1161" spans="1:18">
      <c r="A1161" s="7" t="s">
        <v>641</v>
      </c>
      <c r="B1161" s="8">
        <v>46092</v>
      </c>
      <c r="C1161" s="7" t="s">
        <v>642</v>
      </c>
      <c r="D1161" s="7" t="s">
        <v>74</v>
      </c>
      <c r="E1161" s="7" t="s">
        <v>61</v>
      </c>
      <c r="F1161" s="7" t="s">
        <v>81</v>
      </c>
      <c r="G1161" s="7">
        <v>1</v>
      </c>
      <c r="H1161" s="18">
        <v>5293.46</v>
      </c>
      <c r="I1161" s="22">
        <v>0.05</v>
      </c>
      <c r="J1161" s="18">
        <v>5028.79</v>
      </c>
      <c r="K1161" s="18">
        <v>2982.1</v>
      </c>
      <c r="L1161" s="18">
        <v>2046.69</v>
      </c>
      <c r="M1161" s="7" t="s">
        <v>57</v>
      </c>
      <c r="N1161" s="7" t="s">
        <v>71</v>
      </c>
      <c r="O1161" s="7" t="s">
        <v>44</v>
      </c>
      <c r="P1161" s="7" t="str">
        <f t="shared" si="54"/>
        <v>Mar</v>
      </c>
      <c r="Q1161" s="7">
        <f t="shared" si="55"/>
        <v>2026</v>
      </c>
      <c r="R1161" s="23">
        <f t="shared" si="56"/>
        <v>0.40699452552204407</v>
      </c>
    </row>
    <row r="1162" spans="1:18">
      <c r="A1162" s="7" t="s">
        <v>293</v>
      </c>
      <c r="B1162" s="8">
        <v>45755</v>
      </c>
      <c r="C1162" s="7" t="s">
        <v>294</v>
      </c>
      <c r="D1162" s="7" t="s">
        <v>60</v>
      </c>
      <c r="E1162" s="7" t="s">
        <v>33</v>
      </c>
      <c r="F1162" s="7" t="s">
        <v>92</v>
      </c>
      <c r="G1162" s="7">
        <v>3</v>
      </c>
      <c r="H1162" s="18">
        <v>5297.78</v>
      </c>
      <c r="I1162" s="22">
        <v>0.1</v>
      </c>
      <c r="J1162" s="18">
        <v>14304.01</v>
      </c>
      <c r="K1162" s="18">
        <v>11024.7</v>
      </c>
      <c r="L1162" s="18">
        <v>3279.31</v>
      </c>
      <c r="M1162" s="7" t="s">
        <v>57</v>
      </c>
      <c r="N1162" s="7" t="s">
        <v>36</v>
      </c>
      <c r="O1162" s="7" t="s">
        <v>44</v>
      </c>
      <c r="P1162" s="7" t="str">
        <f t="shared" si="54"/>
        <v>Apr</v>
      </c>
      <c r="Q1162" s="7">
        <f t="shared" si="55"/>
        <v>2025</v>
      </c>
      <c r="R1162" s="23">
        <f t="shared" si="56"/>
        <v>0.22925808916520612</v>
      </c>
    </row>
    <row r="1163" spans="1:18">
      <c r="A1163" s="7" t="s">
        <v>1647</v>
      </c>
      <c r="B1163" s="8">
        <v>45918</v>
      </c>
      <c r="C1163" s="7" t="s">
        <v>859</v>
      </c>
      <c r="D1163" s="7" t="s">
        <v>74</v>
      </c>
      <c r="E1163" s="7" t="s">
        <v>33</v>
      </c>
      <c r="F1163" s="7" t="s">
        <v>96</v>
      </c>
      <c r="G1163" s="7">
        <v>3</v>
      </c>
      <c r="H1163" s="18">
        <v>5297.83</v>
      </c>
      <c r="I1163" s="22">
        <v>0.1</v>
      </c>
      <c r="J1163" s="18">
        <v>14304.14</v>
      </c>
      <c r="K1163" s="18">
        <v>11298.75</v>
      </c>
      <c r="L1163" s="18">
        <v>3005.39</v>
      </c>
      <c r="M1163" s="7" t="s">
        <v>57</v>
      </c>
      <c r="N1163" s="7" t="s">
        <v>36</v>
      </c>
      <c r="O1163" s="7" t="s">
        <v>44</v>
      </c>
      <c r="P1163" s="7" t="str">
        <f t="shared" si="54"/>
        <v>Sep</v>
      </c>
      <c r="Q1163" s="7">
        <f t="shared" si="55"/>
        <v>2025</v>
      </c>
      <c r="R1163" s="23">
        <f t="shared" si="56"/>
        <v>0.21010630488795551</v>
      </c>
    </row>
    <row r="1164" spans="1:18">
      <c r="A1164" s="7" t="s">
        <v>377</v>
      </c>
      <c r="B1164" s="8">
        <v>45858</v>
      </c>
      <c r="C1164" s="7" t="s">
        <v>378</v>
      </c>
      <c r="D1164" s="7" t="s">
        <v>47</v>
      </c>
      <c r="E1164" s="7" t="s">
        <v>41</v>
      </c>
      <c r="F1164" s="7" t="s">
        <v>153</v>
      </c>
      <c r="G1164" s="7">
        <v>2</v>
      </c>
      <c r="H1164" s="18">
        <v>5300.96</v>
      </c>
      <c r="I1164" s="22">
        <v>0.1</v>
      </c>
      <c r="J1164" s="18">
        <v>9541.73</v>
      </c>
      <c r="K1164" s="18">
        <v>7744.51</v>
      </c>
      <c r="L1164" s="18">
        <v>1797.22</v>
      </c>
      <c r="M1164" s="7" t="s">
        <v>57</v>
      </c>
      <c r="N1164" s="7" t="s">
        <v>43</v>
      </c>
      <c r="O1164" s="7" t="s">
        <v>37</v>
      </c>
      <c r="P1164" s="7" t="str">
        <f t="shared" si="54"/>
        <v>Jul</v>
      </c>
      <c r="Q1164" s="7">
        <f t="shared" si="55"/>
        <v>2025</v>
      </c>
      <c r="R1164" s="23">
        <f t="shared" si="56"/>
        <v>0.1883536842899558</v>
      </c>
    </row>
    <row r="1165" spans="1:18">
      <c r="A1165" s="7" t="s">
        <v>668</v>
      </c>
      <c r="B1165" s="8">
        <v>46051</v>
      </c>
      <c r="C1165" s="7" t="s">
        <v>523</v>
      </c>
      <c r="D1165" s="7" t="s">
        <v>95</v>
      </c>
      <c r="E1165" s="7" t="s">
        <v>48</v>
      </c>
      <c r="F1165" s="7" t="s">
        <v>99</v>
      </c>
      <c r="G1165" s="7">
        <v>2</v>
      </c>
      <c r="H1165" s="18">
        <v>5306.21</v>
      </c>
      <c r="I1165" s="22">
        <v>0</v>
      </c>
      <c r="J1165" s="18">
        <v>10612.42</v>
      </c>
      <c r="K1165" s="18">
        <v>7799.83</v>
      </c>
      <c r="L1165" s="18">
        <v>2812.59</v>
      </c>
      <c r="M1165" s="7" t="s">
        <v>35</v>
      </c>
      <c r="N1165" s="7" t="s">
        <v>43</v>
      </c>
      <c r="O1165" s="7" t="s">
        <v>44</v>
      </c>
      <c r="P1165" s="7" t="str">
        <f t="shared" si="54"/>
        <v>Jan</v>
      </c>
      <c r="Q1165" s="7">
        <f t="shared" si="55"/>
        <v>2026</v>
      </c>
      <c r="R1165" s="23">
        <f t="shared" si="56"/>
        <v>0.26502814626635585</v>
      </c>
    </row>
    <row r="1166" spans="1:18">
      <c r="A1166" s="7" t="s">
        <v>951</v>
      </c>
      <c r="B1166" s="8">
        <v>45945</v>
      </c>
      <c r="C1166" s="7" t="s">
        <v>374</v>
      </c>
      <c r="D1166" s="7" t="s">
        <v>56</v>
      </c>
      <c r="E1166" s="7" t="s">
        <v>33</v>
      </c>
      <c r="F1166" s="7" t="s">
        <v>34</v>
      </c>
      <c r="G1166" s="7">
        <v>1</v>
      </c>
      <c r="H1166" s="18">
        <v>5308.49</v>
      </c>
      <c r="I1166" s="22">
        <v>0</v>
      </c>
      <c r="J1166" s="18">
        <v>5308.49</v>
      </c>
      <c r="K1166" s="18">
        <v>4269.13</v>
      </c>
      <c r="L1166" s="18">
        <v>1039.3599999999999</v>
      </c>
      <c r="M1166" s="7" t="s">
        <v>57</v>
      </c>
      <c r="N1166" s="7" t="s">
        <v>36</v>
      </c>
      <c r="O1166" s="7" t="s">
        <v>44</v>
      </c>
      <c r="P1166" s="7" t="str">
        <f t="shared" si="54"/>
        <v>Oct</v>
      </c>
      <c r="Q1166" s="7">
        <f t="shared" si="55"/>
        <v>2025</v>
      </c>
      <c r="R1166" s="23">
        <f t="shared" si="56"/>
        <v>0.19579202372049301</v>
      </c>
    </row>
    <row r="1167" spans="1:18">
      <c r="A1167" s="7" t="s">
        <v>958</v>
      </c>
      <c r="B1167" s="8">
        <v>45864</v>
      </c>
      <c r="C1167" s="7" t="s">
        <v>155</v>
      </c>
      <c r="D1167" s="7" t="s">
        <v>47</v>
      </c>
      <c r="E1167" s="7" t="s">
        <v>33</v>
      </c>
      <c r="F1167" s="7" t="s">
        <v>67</v>
      </c>
      <c r="G1167" s="7">
        <v>2</v>
      </c>
      <c r="H1167" s="18">
        <v>5309.36</v>
      </c>
      <c r="I1167" s="22">
        <v>0.2</v>
      </c>
      <c r="J1167" s="18">
        <v>8494.98</v>
      </c>
      <c r="K1167" s="18">
        <v>6452.94</v>
      </c>
      <c r="L1167" s="18">
        <v>2042.04</v>
      </c>
      <c r="M1167" s="7" t="s">
        <v>57</v>
      </c>
      <c r="N1167" s="7" t="s">
        <v>43</v>
      </c>
      <c r="O1167" s="7" t="s">
        <v>44</v>
      </c>
      <c r="P1167" s="7" t="str">
        <f t="shared" si="54"/>
        <v>Jul</v>
      </c>
      <c r="Q1167" s="7">
        <f t="shared" si="55"/>
        <v>2025</v>
      </c>
      <c r="R1167" s="23">
        <f t="shared" si="56"/>
        <v>0.24038196676154625</v>
      </c>
    </row>
    <row r="1168" spans="1:18">
      <c r="A1168" s="7" t="s">
        <v>1292</v>
      </c>
      <c r="B1168" s="8">
        <v>45872</v>
      </c>
      <c r="C1168" s="7" t="s">
        <v>454</v>
      </c>
      <c r="D1168" s="7" t="s">
        <v>52</v>
      </c>
      <c r="E1168" s="7" t="s">
        <v>61</v>
      </c>
      <c r="F1168" s="7" t="s">
        <v>89</v>
      </c>
      <c r="G1168" s="7">
        <v>2</v>
      </c>
      <c r="H1168" s="18">
        <v>5312.09</v>
      </c>
      <c r="I1168" s="22">
        <v>0.1</v>
      </c>
      <c r="J1168" s="18">
        <v>9561.76</v>
      </c>
      <c r="K1168" s="18">
        <v>7452.92</v>
      </c>
      <c r="L1168" s="18">
        <v>2108.84</v>
      </c>
      <c r="M1168" s="7" t="s">
        <v>35</v>
      </c>
      <c r="N1168" s="7" t="s">
        <v>63</v>
      </c>
      <c r="O1168" s="7" t="s">
        <v>44</v>
      </c>
      <c r="P1168" s="7" t="str">
        <f t="shared" si="54"/>
        <v>Aug</v>
      </c>
      <c r="Q1168" s="7">
        <f t="shared" si="55"/>
        <v>2025</v>
      </c>
      <c r="R1168" s="23">
        <f t="shared" si="56"/>
        <v>0.22054935493047306</v>
      </c>
    </row>
    <row r="1169" spans="1:18">
      <c r="A1169" s="7" t="s">
        <v>993</v>
      </c>
      <c r="B1169" s="8">
        <v>45765</v>
      </c>
      <c r="C1169" s="7" t="s">
        <v>762</v>
      </c>
      <c r="D1169" s="7" t="s">
        <v>40</v>
      </c>
      <c r="E1169" s="7" t="s">
        <v>33</v>
      </c>
      <c r="F1169" s="7" t="s">
        <v>34</v>
      </c>
      <c r="G1169" s="7">
        <v>3</v>
      </c>
      <c r="H1169" s="18">
        <v>5312.65</v>
      </c>
      <c r="I1169" s="22">
        <v>0.05</v>
      </c>
      <c r="J1169" s="18">
        <v>15141.05</v>
      </c>
      <c r="K1169" s="18">
        <v>10083.450000000001</v>
      </c>
      <c r="L1169" s="18">
        <v>5057.6000000000004</v>
      </c>
      <c r="M1169" s="7" t="s">
        <v>35</v>
      </c>
      <c r="N1169" s="7" t="s">
        <v>36</v>
      </c>
      <c r="O1169" s="7" t="s">
        <v>44</v>
      </c>
      <c r="P1169" s="7" t="str">
        <f t="shared" si="54"/>
        <v>Apr</v>
      </c>
      <c r="Q1169" s="7">
        <f t="shared" si="55"/>
        <v>2025</v>
      </c>
      <c r="R1169" s="23">
        <f t="shared" si="56"/>
        <v>0.33403231612074463</v>
      </c>
    </row>
    <row r="1170" spans="1:18">
      <c r="A1170" s="7" t="s">
        <v>315</v>
      </c>
      <c r="B1170" s="8">
        <v>46009</v>
      </c>
      <c r="C1170" s="7" t="s">
        <v>316</v>
      </c>
      <c r="D1170" s="7" t="s">
        <v>56</v>
      </c>
      <c r="E1170" s="7" t="s">
        <v>61</v>
      </c>
      <c r="F1170" s="7" t="s">
        <v>129</v>
      </c>
      <c r="G1170" s="7">
        <v>6</v>
      </c>
      <c r="H1170" s="18">
        <v>5316.19</v>
      </c>
      <c r="I1170" s="22">
        <v>0.2</v>
      </c>
      <c r="J1170" s="18">
        <v>25517.71</v>
      </c>
      <c r="K1170" s="18">
        <v>21106.79</v>
      </c>
      <c r="L1170" s="18">
        <v>4410.92</v>
      </c>
      <c r="M1170" s="7" t="s">
        <v>57</v>
      </c>
      <c r="N1170" s="7" t="s">
        <v>71</v>
      </c>
      <c r="O1170" s="7" t="s">
        <v>44</v>
      </c>
      <c r="P1170" s="7" t="str">
        <f t="shared" si="54"/>
        <v>Dec</v>
      </c>
      <c r="Q1170" s="7">
        <f t="shared" si="55"/>
        <v>2025</v>
      </c>
      <c r="R1170" s="23">
        <f t="shared" si="56"/>
        <v>0.17285720387918824</v>
      </c>
    </row>
    <row r="1171" spans="1:18">
      <c r="A1171" s="7" t="s">
        <v>481</v>
      </c>
      <c r="B1171" s="8">
        <v>45679</v>
      </c>
      <c r="C1171" s="7" t="s">
        <v>482</v>
      </c>
      <c r="D1171" s="7" t="s">
        <v>416</v>
      </c>
      <c r="E1171" s="7" t="s">
        <v>41</v>
      </c>
      <c r="F1171" s="7" t="s">
        <v>42</v>
      </c>
      <c r="G1171" s="7">
        <v>5</v>
      </c>
      <c r="H1171" s="18">
        <v>5318.09</v>
      </c>
      <c r="I1171" s="22">
        <v>0.2</v>
      </c>
      <c r="J1171" s="18">
        <v>21272.36</v>
      </c>
      <c r="K1171" s="18">
        <v>15004.63</v>
      </c>
      <c r="L1171" s="18">
        <v>6267.73</v>
      </c>
      <c r="M1171" s="7" t="s">
        <v>35</v>
      </c>
      <c r="N1171" s="7" t="s">
        <v>71</v>
      </c>
      <c r="O1171" s="7" t="s">
        <v>44</v>
      </c>
      <c r="P1171" s="7" t="str">
        <f t="shared" si="54"/>
        <v>Jan</v>
      </c>
      <c r="Q1171" s="7">
        <f t="shared" si="55"/>
        <v>2025</v>
      </c>
      <c r="R1171" s="23">
        <f t="shared" si="56"/>
        <v>0.29464196732285458</v>
      </c>
    </row>
    <row r="1172" spans="1:18">
      <c r="A1172" s="7" t="s">
        <v>1257</v>
      </c>
      <c r="B1172" s="8">
        <v>46111</v>
      </c>
      <c r="C1172" s="7" t="s">
        <v>341</v>
      </c>
      <c r="D1172" s="7" t="s">
        <v>74</v>
      </c>
      <c r="E1172" s="7" t="s">
        <v>41</v>
      </c>
      <c r="F1172" s="7" t="s">
        <v>153</v>
      </c>
      <c r="G1172" s="7">
        <v>2</v>
      </c>
      <c r="H1172" s="18">
        <v>5321.52</v>
      </c>
      <c r="I1172" s="22">
        <v>0.15</v>
      </c>
      <c r="J1172" s="18">
        <v>9046.58</v>
      </c>
      <c r="K1172" s="18">
        <v>5780.23</v>
      </c>
      <c r="L1172" s="18">
        <v>3266.35</v>
      </c>
      <c r="M1172" s="7" t="s">
        <v>57</v>
      </c>
      <c r="N1172" s="7" t="s">
        <v>71</v>
      </c>
      <c r="O1172" s="7" t="s">
        <v>44</v>
      </c>
      <c r="P1172" s="7" t="str">
        <f t="shared" si="54"/>
        <v>Mar</v>
      </c>
      <c r="Q1172" s="7">
        <f t="shared" si="55"/>
        <v>2026</v>
      </c>
      <c r="R1172" s="23">
        <f t="shared" si="56"/>
        <v>0.36105909636569838</v>
      </c>
    </row>
    <row r="1173" spans="1:18">
      <c r="A1173" s="7" t="s">
        <v>253</v>
      </c>
      <c r="B1173" s="8">
        <v>45707</v>
      </c>
      <c r="C1173" s="7" t="s">
        <v>254</v>
      </c>
      <c r="D1173" s="7" t="s">
        <v>134</v>
      </c>
      <c r="E1173" s="7" t="s">
        <v>61</v>
      </c>
      <c r="F1173" s="7" t="s">
        <v>129</v>
      </c>
      <c r="G1173" s="7">
        <v>3</v>
      </c>
      <c r="H1173" s="18">
        <v>5328.02</v>
      </c>
      <c r="I1173" s="22">
        <v>0.1</v>
      </c>
      <c r="J1173" s="18">
        <v>14385.65</v>
      </c>
      <c r="K1173" s="18">
        <v>8386.9599999999991</v>
      </c>
      <c r="L1173" s="18">
        <v>5998.69</v>
      </c>
      <c r="M1173" s="7" t="s">
        <v>57</v>
      </c>
      <c r="N1173" s="7" t="s">
        <v>43</v>
      </c>
      <c r="O1173" s="7" t="s">
        <v>37</v>
      </c>
      <c r="P1173" s="7" t="str">
        <f t="shared" si="54"/>
        <v>Feb</v>
      </c>
      <c r="Q1173" s="7">
        <f t="shared" si="55"/>
        <v>2025</v>
      </c>
      <c r="R1173" s="23">
        <f t="shared" si="56"/>
        <v>0.41699123779599806</v>
      </c>
    </row>
    <row r="1174" spans="1:18">
      <c r="A1174" s="7" t="s">
        <v>838</v>
      </c>
      <c r="B1174" s="8">
        <v>45806</v>
      </c>
      <c r="C1174" s="7" t="s">
        <v>839</v>
      </c>
      <c r="D1174" s="7" t="s">
        <v>74</v>
      </c>
      <c r="E1174" s="7" t="s">
        <v>48</v>
      </c>
      <c r="F1174" s="7" t="s">
        <v>113</v>
      </c>
      <c r="G1174" s="7">
        <v>1</v>
      </c>
      <c r="H1174" s="18">
        <v>5333.76</v>
      </c>
      <c r="I1174" s="22">
        <v>0.1</v>
      </c>
      <c r="J1174" s="18">
        <v>4800.38</v>
      </c>
      <c r="K1174" s="18">
        <v>3780.65</v>
      </c>
      <c r="L1174" s="18">
        <v>1019.73</v>
      </c>
      <c r="M1174" s="7" t="s">
        <v>57</v>
      </c>
      <c r="N1174" s="7" t="s">
        <v>43</v>
      </c>
      <c r="O1174" s="7" t="s">
        <v>37</v>
      </c>
      <c r="P1174" s="7" t="str">
        <f t="shared" si="54"/>
        <v>May</v>
      </c>
      <c r="Q1174" s="7">
        <f t="shared" si="55"/>
        <v>2025</v>
      </c>
      <c r="R1174" s="23">
        <f t="shared" si="56"/>
        <v>0.21242693286781464</v>
      </c>
    </row>
    <row r="1175" spans="1:18">
      <c r="A1175" s="7" t="s">
        <v>1512</v>
      </c>
      <c r="B1175" s="8">
        <v>45752</v>
      </c>
      <c r="C1175" s="7" t="s">
        <v>1513</v>
      </c>
      <c r="D1175" s="7" t="s">
        <v>74</v>
      </c>
      <c r="E1175" s="7" t="s">
        <v>48</v>
      </c>
      <c r="F1175" s="7" t="s">
        <v>113</v>
      </c>
      <c r="G1175" s="7">
        <v>6</v>
      </c>
      <c r="H1175" s="18">
        <v>5349.22</v>
      </c>
      <c r="I1175" s="22">
        <v>0.2</v>
      </c>
      <c r="J1175" s="18">
        <v>25676.26</v>
      </c>
      <c r="K1175" s="18">
        <v>14369.01</v>
      </c>
      <c r="L1175" s="18">
        <v>11307.25</v>
      </c>
      <c r="M1175" s="7" t="s">
        <v>35</v>
      </c>
      <c r="N1175" s="7" t="s">
        <v>71</v>
      </c>
      <c r="O1175" s="7" t="s">
        <v>44</v>
      </c>
      <c r="P1175" s="7" t="str">
        <f t="shared" si="54"/>
        <v>Apr</v>
      </c>
      <c r="Q1175" s="7">
        <f t="shared" si="55"/>
        <v>2025</v>
      </c>
      <c r="R1175" s="23">
        <f t="shared" si="56"/>
        <v>0.44037760951166566</v>
      </c>
    </row>
    <row r="1176" spans="1:18">
      <c r="A1176" s="7" t="s">
        <v>1555</v>
      </c>
      <c r="B1176" s="8">
        <v>45926</v>
      </c>
      <c r="C1176" s="7" t="s">
        <v>575</v>
      </c>
      <c r="D1176" s="7" t="s">
        <v>52</v>
      </c>
      <c r="E1176" s="7" t="s">
        <v>33</v>
      </c>
      <c r="F1176" s="7" t="s">
        <v>96</v>
      </c>
      <c r="G1176" s="7">
        <v>3</v>
      </c>
      <c r="H1176" s="18">
        <v>5351.14</v>
      </c>
      <c r="I1176" s="22">
        <v>0.2</v>
      </c>
      <c r="J1176" s="18">
        <v>12842.74</v>
      </c>
      <c r="K1176" s="18">
        <v>7148.34</v>
      </c>
      <c r="L1176" s="18">
        <v>5694.4</v>
      </c>
      <c r="M1176" s="7" t="s">
        <v>57</v>
      </c>
      <c r="N1176" s="7" t="s">
        <v>71</v>
      </c>
      <c r="O1176" s="7" t="s">
        <v>44</v>
      </c>
      <c r="P1176" s="7" t="str">
        <f t="shared" si="54"/>
        <v>Sep</v>
      </c>
      <c r="Q1176" s="7">
        <f t="shared" si="55"/>
        <v>2025</v>
      </c>
      <c r="R1176" s="23">
        <f t="shared" si="56"/>
        <v>0.44339447812538446</v>
      </c>
    </row>
    <row r="1177" spans="1:18">
      <c r="A1177" s="7" t="s">
        <v>1540</v>
      </c>
      <c r="B1177" s="8">
        <v>45781</v>
      </c>
      <c r="C1177" s="7" t="s">
        <v>199</v>
      </c>
      <c r="D1177" s="7" t="s">
        <v>52</v>
      </c>
      <c r="E1177" s="7" t="s">
        <v>41</v>
      </c>
      <c r="F1177" s="7" t="s">
        <v>53</v>
      </c>
      <c r="G1177" s="7">
        <v>3</v>
      </c>
      <c r="H1177" s="18">
        <v>5370.58</v>
      </c>
      <c r="I1177" s="22">
        <v>0</v>
      </c>
      <c r="J1177" s="18">
        <v>16111.74</v>
      </c>
      <c r="K1177" s="18">
        <v>10198.65</v>
      </c>
      <c r="L1177" s="18">
        <v>5913.09</v>
      </c>
      <c r="M1177" s="7" t="s">
        <v>35</v>
      </c>
      <c r="N1177" s="7" t="s">
        <v>43</v>
      </c>
      <c r="O1177" s="7" t="s">
        <v>44</v>
      </c>
      <c r="P1177" s="7" t="str">
        <f t="shared" si="54"/>
        <v>May</v>
      </c>
      <c r="Q1177" s="7">
        <f t="shared" si="55"/>
        <v>2025</v>
      </c>
      <c r="R1177" s="23">
        <f t="shared" si="56"/>
        <v>0.36700505345791329</v>
      </c>
    </row>
    <row r="1178" spans="1:18">
      <c r="A1178" s="7" t="s">
        <v>1488</v>
      </c>
      <c r="B1178" s="8">
        <v>45661</v>
      </c>
      <c r="C1178" s="7" t="s">
        <v>230</v>
      </c>
      <c r="D1178" s="7" t="s">
        <v>40</v>
      </c>
      <c r="E1178" s="7" t="s">
        <v>61</v>
      </c>
      <c r="F1178" s="7" t="s">
        <v>84</v>
      </c>
      <c r="G1178" s="7">
        <v>3</v>
      </c>
      <c r="H1178" s="18">
        <v>5373.47</v>
      </c>
      <c r="I1178" s="22">
        <v>0.1</v>
      </c>
      <c r="J1178" s="18">
        <v>14508.37</v>
      </c>
      <c r="K1178" s="18">
        <v>11399.47</v>
      </c>
      <c r="L1178" s="18">
        <v>3108.9</v>
      </c>
      <c r="M1178" s="7" t="s">
        <v>35</v>
      </c>
      <c r="N1178" s="7" t="s">
        <v>71</v>
      </c>
      <c r="O1178" s="7" t="s">
        <v>44</v>
      </c>
      <c r="P1178" s="7" t="str">
        <f t="shared" si="54"/>
        <v>Jan</v>
      </c>
      <c r="Q1178" s="7">
        <f t="shared" si="55"/>
        <v>2025</v>
      </c>
      <c r="R1178" s="23">
        <f t="shared" si="56"/>
        <v>0.21428320341981905</v>
      </c>
    </row>
    <row r="1179" spans="1:18">
      <c r="A1179" s="7" t="s">
        <v>395</v>
      </c>
      <c r="B1179" s="8">
        <v>46057</v>
      </c>
      <c r="C1179" s="7" t="s">
        <v>205</v>
      </c>
      <c r="D1179" s="7" t="s">
        <v>66</v>
      </c>
      <c r="E1179" s="7" t="s">
        <v>41</v>
      </c>
      <c r="F1179" s="7" t="s">
        <v>119</v>
      </c>
      <c r="G1179" s="7">
        <v>5</v>
      </c>
      <c r="H1179" s="18">
        <v>5379.14</v>
      </c>
      <c r="I1179" s="22">
        <v>0.1</v>
      </c>
      <c r="J1179" s="18">
        <v>24206.13</v>
      </c>
      <c r="K1179" s="18">
        <v>19338.13</v>
      </c>
      <c r="L1179" s="18">
        <v>4868</v>
      </c>
      <c r="M1179" s="7" t="s">
        <v>57</v>
      </c>
      <c r="N1179" s="7" t="s">
        <v>36</v>
      </c>
      <c r="O1179" s="7" t="s">
        <v>44</v>
      </c>
      <c r="P1179" s="7" t="str">
        <f t="shared" si="54"/>
        <v>Feb</v>
      </c>
      <c r="Q1179" s="7">
        <f t="shared" si="55"/>
        <v>2026</v>
      </c>
      <c r="R1179" s="23">
        <f t="shared" si="56"/>
        <v>0.20110608345902461</v>
      </c>
    </row>
    <row r="1180" spans="1:18">
      <c r="A1180" s="7" t="s">
        <v>1020</v>
      </c>
      <c r="B1180" s="8">
        <v>45906</v>
      </c>
      <c r="C1180" s="7" t="s">
        <v>811</v>
      </c>
      <c r="D1180" s="7" t="s">
        <v>66</v>
      </c>
      <c r="E1180" s="7" t="s">
        <v>33</v>
      </c>
      <c r="F1180" s="7" t="s">
        <v>96</v>
      </c>
      <c r="G1180" s="7">
        <v>5</v>
      </c>
      <c r="H1180" s="18">
        <v>5393.48</v>
      </c>
      <c r="I1180" s="22">
        <v>0.1</v>
      </c>
      <c r="J1180" s="18">
        <v>24270.66</v>
      </c>
      <c r="K1180" s="18">
        <v>13951.7</v>
      </c>
      <c r="L1180" s="18">
        <v>10318.959999999999</v>
      </c>
      <c r="M1180" s="7" t="s">
        <v>57</v>
      </c>
      <c r="N1180" s="7" t="s">
        <v>36</v>
      </c>
      <c r="O1180" s="7" t="s">
        <v>37</v>
      </c>
      <c r="P1180" s="7" t="str">
        <f t="shared" si="54"/>
        <v>Sep</v>
      </c>
      <c r="Q1180" s="7">
        <f t="shared" si="55"/>
        <v>2025</v>
      </c>
      <c r="R1180" s="23">
        <f t="shared" si="56"/>
        <v>0.42516190330217635</v>
      </c>
    </row>
    <row r="1181" spans="1:18">
      <c r="A1181" s="7" t="s">
        <v>1212</v>
      </c>
      <c r="B1181" s="8">
        <v>45819</v>
      </c>
      <c r="C1181" s="7" t="s">
        <v>484</v>
      </c>
      <c r="D1181" s="7" t="s">
        <v>1758</v>
      </c>
      <c r="E1181" s="7" t="s">
        <v>48</v>
      </c>
      <c r="F1181" s="7" t="s">
        <v>102</v>
      </c>
      <c r="G1181" s="7">
        <v>2</v>
      </c>
      <c r="H1181" s="18">
        <v>5397.99</v>
      </c>
      <c r="I1181" s="22">
        <v>0</v>
      </c>
      <c r="J1181" s="18">
        <v>10795.98</v>
      </c>
      <c r="K1181" s="18">
        <v>7840.79</v>
      </c>
      <c r="L1181" s="18">
        <v>2955.19</v>
      </c>
      <c r="M1181" s="7" t="s">
        <v>35</v>
      </c>
      <c r="N1181" s="7" t="s">
        <v>43</v>
      </c>
      <c r="O1181" s="7" t="s">
        <v>44</v>
      </c>
      <c r="P1181" s="7" t="str">
        <f t="shared" si="54"/>
        <v>Jun</v>
      </c>
      <c r="Q1181" s="7">
        <f t="shared" si="55"/>
        <v>2025</v>
      </c>
      <c r="R1181" s="23">
        <f t="shared" si="56"/>
        <v>0.27373059231306468</v>
      </c>
    </row>
    <row r="1182" spans="1:18">
      <c r="A1182" s="7" t="s">
        <v>1329</v>
      </c>
      <c r="B1182" s="8">
        <v>46152</v>
      </c>
      <c r="C1182" s="7" t="s">
        <v>679</v>
      </c>
      <c r="D1182" s="7" t="s">
        <v>66</v>
      </c>
      <c r="E1182" s="7" t="s">
        <v>61</v>
      </c>
      <c r="F1182" s="7" t="s">
        <v>129</v>
      </c>
      <c r="G1182" s="7">
        <v>2</v>
      </c>
      <c r="H1182" s="18">
        <v>5400.25</v>
      </c>
      <c r="I1182" s="22">
        <v>0.1</v>
      </c>
      <c r="J1182" s="18">
        <v>9720.4500000000007</v>
      </c>
      <c r="K1182" s="18">
        <v>7070.01</v>
      </c>
      <c r="L1182" s="18">
        <v>2650.44</v>
      </c>
      <c r="M1182" s="7" t="s">
        <v>57</v>
      </c>
      <c r="N1182" s="7" t="s">
        <v>71</v>
      </c>
      <c r="O1182" s="7" t="s">
        <v>37</v>
      </c>
      <c r="P1182" s="7" t="str">
        <f t="shared" si="54"/>
        <v>May</v>
      </c>
      <c r="Q1182" s="7">
        <f t="shared" si="55"/>
        <v>2026</v>
      </c>
      <c r="R1182" s="23">
        <f t="shared" si="56"/>
        <v>0.27266638890174838</v>
      </c>
    </row>
    <row r="1183" spans="1:18">
      <c r="A1183" s="7" t="s">
        <v>595</v>
      </c>
      <c r="B1183" s="8">
        <v>46050</v>
      </c>
      <c r="C1183" s="7" t="s">
        <v>596</v>
      </c>
      <c r="D1183" s="7" t="s">
        <v>47</v>
      </c>
      <c r="E1183" s="7" t="s">
        <v>33</v>
      </c>
      <c r="F1183" s="7" t="s">
        <v>176</v>
      </c>
      <c r="G1183" s="7">
        <v>1</v>
      </c>
      <c r="H1183" s="18">
        <v>5402.89</v>
      </c>
      <c r="I1183" s="22">
        <v>0.1</v>
      </c>
      <c r="J1183" s="18">
        <v>4862.6000000000004</v>
      </c>
      <c r="K1183" s="18">
        <v>2872.32</v>
      </c>
      <c r="L1183" s="18">
        <v>1990.28</v>
      </c>
      <c r="M1183" s="7" t="s">
        <v>35</v>
      </c>
      <c r="N1183" s="7" t="s">
        <v>63</v>
      </c>
      <c r="O1183" s="7" t="s">
        <v>44</v>
      </c>
      <c r="P1183" s="7" t="str">
        <f t="shared" si="54"/>
        <v>Jan</v>
      </c>
      <c r="Q1183" s="7">
        <f t="shared" si="55"/>
        <v>2026</v>
      </c>
      <c r="R1183" s="23">
        <f t="shared" si="56"/>
        <v>0.40930366470612428</v>
      </c>
    </row>
    <row r="1184" spans="1:18">
      <c r="A1184" s="7" t="s">
        <v>1570</v>
      </c>
      <c r="B1184" s="8">
        <v>45977</v>
      </c>
      <c r="C1184" s="7" t="s">
        <v>1376</v>
      </c>
      <c r="D1184" s="7" t="s">
        <v>52</v>
      </c>
      <c r="E1184" s="7" t="s">
        <v>41</v>
      </c>
      <c r="F1184" s="7" t="s">
        <v>53</v>
      </c>
      <c r="G1184" s="7">
        <v>2</v>
      </c>
      <c r="H1184" s="18">
        <v>5404.87</v>
      </c>
      <c r="I1184" s="22">
        <v>0.15</v>
      </c>
      <c r="J1184" s="18">
        <v>9188.2800000000007</v>
      </c>
      <c r="K1184" s="18">
        <v>6169.18</v>
      </c>
      <c r="L1184" s="18">
        <v>3019.1</v>
      </c>
      <c r="M1184" s="7" t="s">
        <v>57</v>
      </c>
      <c r="N1184" s="7" t="s">
        <v>63</v>
      </c>
      <c r="O1184" s="7" t="s">
        <v>44</v>
      </c>
      <c r="P1184" s="7" t="str">
        <f t="shared" si="54"/>
        <v>Nov</v>
      </c>
      <c r="Q1184" s="7">
        <f t="shared" si="55"/>
        <v>2025</v>
      </c>
      <c r="R1184" s="23">
        <f t="shared" si="56"/>
        <v>0.32858162789988982</v>
      </c>
    </row>
    <row r="1185" spans="1:18">
      <c r="A1185" s="7" t="s">
        <v>774</v>
      </c>
      <c r="B1185" s="8">
        <v>46072</v>
      </c>
      <c r="C1185" s="7" t="s">
        <v>775</v>
      </c>
      <c r="D1185" s="7" t="s">
        <v>56</v>
      </c>
      <c r="E1185" s="7" t="s">
        <v>41</v>
      </c>
      <c r="F1185" s="7" t="s">
        <v>53</v>
      </c>
      <c r="G1185" s="7">
        <v>4</v>
      </c>
      <c r="H1185" s="18">
        <v>5413.3</v>
      </c>
      <c r="I1185" s="22">
        <v>0.15</v>
      </c>
      <c r="J1185" s="18">
        <v>18405.22</v>
      </c>
      <c r="K1185" s="18">
        <v>15197.02</v>
      </c>
      <c r="L1185" s="18">
        <v>3208.2</v>
      </c>
      <c r="M1185" s="7" t="s">
        <v>35</v>
      </c>
      <c r="N1185" s="7" t="s">
        <v>71</v>
      </c>
      <c r="O1185" s="7" t="s">
        <v>37</v>
      </c>
      <c r="P1185" s="7" t="str">
        <f t="shared" si="54"/>
        <v>Feb</v>
      </c>
      <c r="Q1185" s="7">
        <f t="shared" si="55"/>
        <v>2026</v>
      </c>
      <c r="R1185" s="23">
        <f t="shared" si="56"/>
        <v>0.17430924487726848</v>
      </c>
    </row>
    <row r="1186" spans="1:18">
      <c r="A1186" s="7" t="s">
        <v>1011</v>
      </c>
      <c r="B1186" s="8">
        <v>45723</v>
      </c>
      <c r="C1186" s="7" t="s">
        <v>186</v>
      </c>
      <c r="D1186" s="7" t="s">
        <v>74</v>
      </c>
      <c r="E1186" s="7" t="s">
        <v>61</v>
      </c>
      <c r="F1186" s="7" t="s">
        <v>84</v>
      </c>
      <c r="G1186" s="7">
        <v>3</v>
      </c>
      <c r="H1186" s="18">
        <v>5416.94</v>
      </c>
      <c r="I1186" s="22">
        <v>0.1</v>
      </c>
      <c r="J1186" s="18">
        <v>14625.74</v>
      </c>
      <c r="K1186" s="18">
        <v>8546.68</v>
      </c>
      <c r="L1186" s="18">
        <v>6079.06</v>
      </c>
      <c r="M1186" s="7" t="s">
        <v>57</v>
      </c>
      <c r="N1186" s="7" t="s">
        <v>43</v>
      </c>
      <c r="O1186" s="7" t="s">
        <v>44</v>
      </c>
      <c r="P1186" s="7" t="str">
        <f t="shared" si="54"/>
        <v>Mar</v>
      </c>
      <c r="Q1186" s="7">
        <f t="shared" si="55"/>
        <v>2025</v>
      </c>
      <c r="R1186" s="23">
        <f t="shared" si="56"/>
        <v>0.41564119148843071</v>
      </c>
    </row>
    <row r="1187" spans="1:18">
      <c r="A1187" s="7" t="s">
        <v>139</v>
      </c>
      <c r="B1187" s="8">
        <v>45875</v>
      </c>
      <c r="C1187" s="7" t="s">
        <v>140</v>
      </c>
      <c r="D1187" s="7" t="s">
        <v>66</v>
      </c>
      <c r="E1187" s="7" t="s">
        <v>61</v>
      </c>
      <c r="F1187" s="7" t="s">
        <v>129</v>
      </c>
      <c r="G1187" s="7">
        <v>4</v>
      </c>
      <c r="H1187" s="18">
        <v>5418.72</v>
      </c>
      <c r="I1187" s="22">
        <v>0.15</v>
      </c>
      <c r="J1187" s="18">
        <v>18423.650000000001</v>
      </c>
      <c r="K1187" s="18">
        <v>10608.96</v>
      </c>
      <c r="L1187" s="18">
        <v>7814.69</v>
      </c>
      <c r="M1187" s="7" t="s">
        <v>35</v>
      </c>
      <c r="N1187" s="7" t="s">
        <v>71</v>
      </c>
      <c r="O1187" s="7" t="s">
        <v>44</v>
      </c>
      <c r="P1187" s="7" t="str">
        <f t="shared" si="54"/>
        <v>Aug</v>
      </c>
      <c r="Q1187" s="7">
        <f t="shared" si="55"/>
        <v>2025</v>
      </c>
      <c r="R1187" s="23">
        <f t="shared" si="56"/>
        <v>0.42416622113424857</v>
      </c>
    </row>
    <row r="1188" spans="1:18">
      <c r="A1188" s="7" t="s">
        <v>1230</v>
      </c>
      <c r="B1188" s="8">
        <v>45930</v>
      </c>
      <c r="C1188" s="7" t="s">
        <v>1231</v>
      </c>
      <c r="D1188" s="7" t="s">
        <v>134</v>
      </c>
      <c r="E1188" s="7" t="s">
        <v>48</v>
      </c>
      <c r="F1188" s="7" t="s">
        <v>49</v>
      </c>
      <c r="G1188" s="7">
        <v>5</v>
      </c>
      <c r="H1188" s="18">
        <v>5423.58</v>
      </c>
      <c r="I1188" s="22">
        <v>0</v>
      </c>
      <c r="J1188" s="18">
        <v>27117.9</v>
      </c>
      <c r="K1188" s="18">
        <v>20284.55</v>
      </c>
      <c r="L1188" s="18">
        <v>6833.35</v>
      </c>
      <c r="M1188" s="7" t="s">
        <v>35</v>
      </c>
      <c r="N1188" s="7" t="s">
        <v>43</v>
      </c>
      <c r="O1188" s="7" t="s">
        <v>44</v>
      </c>
      <c r="P1188" s="7" t="str">
        <f t="shared" si="54"/>
        <v>Sep</v>
      </c>
      <c r="Q1188" s="7">
        <f t="shared" si="55"/>
        <v>2025</v>
      </c>
      <c r="R1188" s="23">
        <f t="shared" si="56"/>
        <v>0.25198669513494776</v>
      </c>
    </row>
    <row r="1189" spans="1:18">
      <c r="A1189" s="7" t="s">
        <v>1713</v>
      </c>
      <c r="B1189" s="8">
        <v>45873</v>
      </c>
      <c r="C1189" s="7" t="s">
        <v>148</v>
      </c>
      <c r="D1189" s="7" t="s">
        <v>66</v>
      </c>
      <c r="E1189" s="7" t="s">
        <v>41</v>
      </c>
      <c r="F1189" s="7" t="s">
        <v>42</v>
      </c>
      <c r="G1189" s="7">
        <v>3</v>
      </c>
      <c r="H1189" s="18">
        <v>5429.23</v>
      </c>
      <c r="I1189" s="22">
        <v>0</v>
      </c>
      <c r="J1189" s="18">
        <v>16287.69</v>
      </c>
      <c r="K1189" s="18">
        <v>12819.83</v>
      </c>
      <c r="L1189" s="18">
        <v>3467.86</v>
      </c>
      <c r="M1189" s="7" t="s">
        <v>35</v>
      </c>
      <c r="N1189" s="7" t="s">
        <v>71</v>
      </c>
      <c r="O1189" s="7" t="s">
        <v>44</v>
      </c>
      <c r="P1189" s="7" t="str">
        <f t="shared" si="54"/>
        <v>Aug</v>
      </c>
      <c r="Q1189" s="7">
        <f t="shared" si="55"/>
        <v>2025</v>
      </c>
      <c r="R1189" s="23">
        <f t="shared" si="56"/>
        <v>0.21291294222814899</v>
      </c>
    </row>
    <row r="1190" spans="1:18">
      <c r="A1190" s="7" t="s">
        <v>879</v>
      </c>
      <c r="B1190" s="8">
        <v>45667</v>
      </c>
      <c r="C1190" s="7" t="s">
        <v>414</v>
      </c>
      <c r="D1190" s="7" t="s">
        <v>95</v>
      </c>
      <c r="E1190" s="7" t="s">
        <v>61</v>
      </c>
      <c r="F1190" s="7" t="s">
        <v>62</v>
      </c>
      <c r="G1190" s="7">
        <v>4</v>
      </c>
      <c r="H1190" s="18">
        <v>5432.19</v>
      </c>
      <c r="I1190" s="22">
        <v>0</v>
      </c>
      <c r="J1190" s="18">
        <v>21728.76</v>
      </c>
      <c r="K1190" s="18">
        <v>12325.45</v>
      </c>
      <c r="L1190" s="18">
        <v>9403.31</v>
      </c>
      <c r="M1190" s="7" t="s">
        <v>57</v>
      </c>
      <c r="N1190" s="7" t="s">
        <v>43</v>
      </c>
      <c r="O1190" s="7" t="s">
        <v>44</v>
      </c>
      <c r="P1190" s="7" t="str">
        <f t="shared" si="54"/>
        <v>Jan</v>
      </c>
      <c r="Q1190" s="7">
        <f t="shared" si="55"/>
        <v>2025</v>
      </c>
      <c r="R1190" s="23">
        <f t="shared" si="56"/>
        <v>0.43275870321178017</v>
      </c>
    </row>
    <row r="1191" spans="1:18">
      <c r="A1191" s="7" t="s">
        <v>1705</v>
      </c>
      <c r="B1191" s="8">
        <v>46215</v>
      </c>
      <c r="C1191" s="7" t="s">
        <v>824</v>
      </c>
      <c r="D1191" s="7" t="s">
        <v>47</v>
      </c>
      <c r="E1191" s="7" t="s">
        <v>61</v>
      </c>
      <c r="F1191" s="7" t="s">
        <v>81</v>
      </c>
      <c r="G1191" s="7">
        <v>2</v>
      </c>
      <c r="H1191" s="18">
        <v>5434.11</v>
      </c>
      <c r="I1191" s="22">
        <v>0.15</v>
      </c>
      <c r="J1191" s="18">
        <v>9237.99</v>
      </c>
      <c r="K1191" s="18">
        <v>6533.09</v>
      </c>
      <c r="L1191" s="18">
        <v>2704.9</v>
      </c>
      <c r="M1191" s="7" t="s">
        <v>57</v>
      </c>
      <c r="N1191" s="7" t="s">
        <v>71</v>
      </c>
      <c r="O1191" s="7" t="s">
        <v>44</v>
      </c>
      <c r="P1191" s="7" t="str">
        <f t="shared" si="54"/>
        <v>Jul</v>
      </c>
      <c r="Q1191" s="7">
        <f t="shared" si="55"/>
        <v>2026</v>
      </c>
      <c r="R1191" s="23">
        <f t="shared" si="56"/>
        <v>0.29280178913378346</v>
      </c>
    </row>
    <row r="1192" spans="1:18">
      <c r="A1192" s="7" t="s">
        <v>87</v>
      </c>
      <c r="B1192" s="8">
        <v>45888</v>
      </c>
      <c r="C1192" s="7" t="s">
        <v>88</v>
      </c>
      <c r="D1192" s="7" t="s">
        <v>40</v>
      </c>
      <c r="E1192" s="7" t="s">
        <v>61</v>
      </c>
      <c r="F1192" s="7" t="s">
        <v>89</v>
      </c>
      <c r="G1192" s="7">
        <v>1</v>
      </c>
      <c r="H1192" s="18">
        <v>5435.62</v>
      </c>
      <c r="I1192" s="22">
        <v>0</v>
      </c>
      <c r="J1192" s="18">
        <v>5435.62</v>
      </c>
      <c r="K1192" s="18">
        <v>3773.77</v>
      </c>
      <c r="L1192" s="18">
        <v>1661.85</v>
      </c>
      <c r="M1192" s="7" t="s">
        <v>35</v>
      </c>
      <c r="N1192" s="7" t="s">
        <v>43</v>
      </c>
      <c r="O1192" s="7" t="s">
        <v>37</v>
      </c>
      <c r="P1192" s="7" t="str">
        <f t="shared" si="54"/>
        <v>Aug</v>
      </c>
      <c r="Q1192" s="7">
        <f t="shared" si="55"/>
        <v>2025</v>
      </c>
      <c r="R1192" s="23">
        <f t="shared" si="56"/>
        <v>0.30573329261427395</v>
      </c>
    </row>
    <row r="1193" spans="1:18">
      <c r="A1193" s="7" t="s">
        <v>1426</v>
      </c>
      <c r="B1193" s="8">
        <v>45908</v>
      </c>
      <c r="C1193" s="7" t="s">
        <v>441</v>
      </c>
      <c r="D1193" s="7" t="s">
        <v>95</v>
      </c>
      <c r="E1193" s="7" t="s">
        <v>33</v>
      </c>
      <c r="F1193" s="7" t="s">
        <v>176</v>
      </c>
      <c r="G1193" s="7">
        <v>2</v>
      </c>
      <c r="H1193" s="18">
        <v>5436.15</v>
      </c>
      <c r="I1193" s="22">
        <v>0</v>
      </c>
      <c r="J1193" s="18">
        <v>10872.3</v>
      </c>
      <c r="K1193" s="18">
        <v>8672.7000000000007</v>
      </c>
      <c r="L1193" s="18">
        <v>2199.6</v>
      </c>
      <c r="M1193" s="7" t="s">
        <v>35</v>
      </c>
      <c r="N1193" s="7" t="s">
        <v>63</v>
      </c>
      <c r="O1193" s="7" t="s">
        <v>44</v>
      </c>
      <c r="P1193" s="7" t="str">
        <f t="shared" si="54"/>
        <v>Sep</v>
      </c>
      <c r="Q1193" s="7">
        <f t="shared" si="55"/>
        <v>2025</v>
      </c>
      <c r="R1193" s="23">
        <f t="shared" si="56"/>
        <v>0.20231229822576641</v>
      </c>
    </row>
    <row r="1194" spans="1:18">
      <c r="A1194" s="7" t="s">
        <v>805</v>
      </c>
      <c r="B1194" s="8">
        <v>46228</v>
      </c>
      <c r="C1194" s="7" t="s">
        <v>806</v>
      </c>
      <c r="D1194" s="7" t="s">
        <v>60</v>
      </c>
      <c r="E1194" s="7" t="s">
        <v>41</v>
      </c>
      <c r="F1194" s="7" t="s">
        <v>124</v>
      </c>
      <c r="G1194" s="7">
        <v>3</v>
      </c>
      <c r="H1194" s="18">
        <v>5438.29</v>
      </c>
      <c r="I1194" s="22">
        <v>0.15</v>
      </c>
      <c r="J1194" s="18">
        <v>13867.64</v>
      </c>
      <c r="K1194" s="18">
        <v>9000.6299999999992</v>
      </c>
      <c r="L1194" s="18">
        <v>4867.01</v>
      </c>
      <c r="M1194" s="7" t="s">
        <v>35</v>
      </c>
      <c r="N1194" s="7" t="s">
        <v>71</v>
      </c>
      <c r="O1194" s="7" t="s">
        <v>37</v>
      </c>
      <c r="P1194" s="7" t="str">
        <f t="shared" si="54"/>
        <v>Jul</v>
      </c>
      <c r="Q1194" s="7">
        <f t="shared" si="55"/>
        <v>2026</v>
      </c>
      <c r="R1194" s="23">
        <f t="shared" si="56"/>
        <v>0.35096166326786682</v>
      </c>
    </row>
    <row r="1195" spans="1:18">
      <c r="A1195" s="7" t="s">
        <v>1150</v>
      </c>
      <c r="B1195" s="8">
        <v>45858</v>
      </c>
      <c r="C1195" s="7" t="s">
        <v>547</v>
      </c>
      <c r="D1195" s="7" t="s">
        <v>56</v>
      </c>
      <c r="E1195" s="7" t="s">
        <v>61</v>
      </c>
      <c r="F1195" s="7" t="s">
        <v>81</v>
      </c>
      <c r="G1195" s="7">
        <v>6</v>
      </c>
      <c r="H1195" s="18">
        <v>5438.87</v>
      </c>
      <c r="I1195" s="22">
        <v>0.15</v>
      </c>
      <c r="J1195" s="18">
        <v>27738.240000000002</v>
      </c>
      <c r="K1195" s="18">
        <v>21331.37</v>
      </c>
      <c r="L1195" s="18">
        <v>6406.87</v>
      </c>
      <c r="M1195" s="7" t="s">
        <v>35</v>
      </c>
      <c r="N1195" s="7" t="s">
        <v>36</v>
      </c>
      <c r="O1195" s="7" t="s">
        <v>44</v>
      </c>
      <c r="P1195" s="7" t="str">
        <f t="shared" si="54"/>
        <v>Jul</v>
      </c>
      <c r="Q1195" s="7">
        <f t="shared" si="55"/>
        <v>2025</v>
      </c>
      <c r="R1195" s="23">
        <f t="shared" si="56"/>
        <v>0.23097608211624096</v>
      </c>
    </row>
    <row r="1196" spans="1:18">
      <c r="A1196" s="7" t="s">
        <v>1008</v>
      </c>
      <c r="B1196" s="8">
        <v>45749</v>
      </c>
      <c r="C1196" s="7" t="s">
        <v>439</v>
      </c>
      <c r="D1196" s="7" t="s">
        <v>32</v>
      </c>
      <c r="E1196" s="7" t="s">
        <v>41</v>
      </c>
      <c r="F1196" s="7" t="s">
        <v>53</v>
      </c>
      <c r="G1196" s="7">
        <v>4</v>
      </c>
      <c r="H1196" s="18">
        <v>5440.62</v>
      </c>
      <c r="I1196" s="22">
        <v>0</v>
      </c>
      <c r="J1196" s="18">
        <v>21762.48</v>
      </c>
      <c r="K1196" s="18">
        <v>12599.03</v>
      </c>
      <c r="L1196" s="18">
        <v>9163.4500000000007</v>
      </c>
      <c r="M1196" s="7" t="s">
        <v>35</v>
      </c>
      <c r="N1196" s="7" t="s">
        <v>36</v>
      </c>
      <c r="O1196" s="7" t="s">
        <v>44</v>
      </c>
      <c r="P1196" s="7" t="str">
        <f t="shared" si="54"/>
        <v>Apr</v>
      </c>
      <c r="Q1196" s="7">
        <f t="shared" si="55"/>
        <v>2025</v>
      </c>
      <c r="R1196" s="23">
        <f t="shared" si="56"/>
        <v>0.42106644095709683</v>
      </c>
    </row>
    <row r="1197" spans="1:18">
      <c r="A1197" s="7" t="s">
        <v>726</v>
      </c>
      <c r="B1197" s="8">
        <v>45708</v>
      </c>
      <c r="C1197" s="7" t="s">
        <v>727</v>
      </c>
      <c r="D1197" s="7" t="s">
        <v>95</v>
      </c>
      <c r="E1197" s="7" t="s">
        <v>61</v>
      </c>
      <c r="F1197" s="7" t="s">
        <v>129</v>
      </c>
      <c r="G1197" s="7">
        <v>5</v>
      </c>
      <c r="H1197" s="18">
        <v>5454.8</v>
      </c>
      <c r="I1197" s="22">
        <v>0.15</v>
      </c>
      <c r="J1197" s="18">
        <v>23182.9</v>
      </c>
      <c r="K1197" s="18">
        <v>18788.45</v>
      </c>
      <c r="L1197" s="18">
        <v>4394.45</v>
      </c>
      <c r="M1197" s="7" t="s">
        <v>35</v>
      </c>
      <c r="N1197" s="7" t="s">
        <v>63</v>
      </c>
      <c r="O1197" s="7" t="s">
        <v>37</v>
      </c>
      <c r="P1197" s="7" t="str">
        <f t="shared" si="54"/>
        <v>Feb</v>
      </c>
      <c r="Q1197" s="7">
        <f t="shared" si="55"/>
        <v>2025</v>
      </c>
      <c r="R1197" s="23">
        <f t="shared" si="56"/>
        <v>0.18955566387294082</v>
      </c>
    </row>
    <row r="1198" spans="1:18">
      <c r="A1198" s="7" t="s">
        <v>887</v>
      </c>
      <c r="B1198" s="8">
        <v>45847</v>
      </c>
      <c r="C1198" s="7" t="s">
        <v>888</v>
      </c>
      <c r="D1198" s="7" t="s">
        <v>134</v>
      </c>
      <c r="E1198" s="7" t="s">
        <v>48</v>
      </c>
      <c r="F1198" s="7" t="s">
        <v>102</v>
      </c>
      <c r="G1198" s="7">
        <v>5</v>
      </c>
      <c r="H1198" s="18">
        <v>5469.13</v>
      </c>
      <c r="I1198" s="22">
        <v>0</v>
      </c>
      <c r="J1198" s="18">
        <v>27345.65</v>
      </c>
      <c r="K1198" s="18">
        <v>16749.45</v>
      </c>
      <c r="L1198" s="18">
        <v>10596.2</v>
      </c>
      <c r="M1198" s="7" t="s">
        <v>57</v>
      </c>
      <c r="N1198" s="7" t="s">
        <v>36</v>
      </c>
      <c r="O1198" s="7" t="s">
        <v>44</v>
      </c>
      <c r="P1198" s="7" t="str">
        <f t="shared" si="54"/>
        <v>Jul</v>
      </c>
      <c r="Q1198" s="7">
        <f t="shared" si="55"/>
        <v>2025</v>
      </c>
      <c r="R1198" s="23">
        <f t="shared" si="56"/>
        <v>0.38749124632254123</v>
      </c>
    </row>
    <row r="1199" spans="1:18">
      <c r="A1199" s="7" t="s">
        <v>1619</v>
      </c>
      <c r="B1199" s="8">
        <v>45666</v>
      </c>
      <c r="C1199" s="7" t="s">
        <v>1519</v>
      </c>
      <c r="D1199" s="7" t="s">
        <v>74</v>
      </c>
      <c r="E1199" s="7" t="s">
        <v>33</v>
      </c>
      <c r="F1199" s="7" t="s">
        <v>96</v>
      </c>
      <c r="G1199" s="7">
        <v>6</v>
      </c>
      <c r="H1199" s="18">
        <v>5474.47</v>
      </c>
      <c r="I1199" s="22">
        <v>0.1</v>
      </c>
      <c r="J1199" s="18">
        <v>29562.14</v>
      </c>
      <c r="K1199" s="18">
        <v>16800.759999999998</v>
      </c>
      <c r="L1199" s="18">
        <v>12761.38</v>
      </c>
      <c r="M1199" s="7" t="s">
        <v>35</v>
      </c>
      <c r="N1199" s="7" t="s">
        <v>36</v>
      </c>
      <c r="O1199" s="7" t="s">
        <v>44</v>
      </c>
      <c r="P1199" s="7" t="str">
        <f t="shared" si="54"/>
        <v>Jan</v>
      </c>
      <c r="Q1199" s="7">
        <f t="shared" si="55"/>
        <v>2025</v>
      </c>
      <c r="R1199" s="23">
        <f t="shared" si="56"/>
        <v>0.43167984455793795</v>
      </c>
    </row>
    <row r="1200" spans="1:18">
      <c r="A1200" s="7" t="s">
        <v>1662</v>
      </c>
      <c r="B1200" s="8">
        <v>45661</v>
      </c>
      <c r="C1200" s="7" t="s">
        <v>217</v>
      </c>
      <c r="D1200" s="7" t="s">
        <v>52</v>
      </c>
      <c r="E1200" s="7" t="s">
        <v>61</v>
      </c>
      <c r="F1200" s="7" t="s">
        <v>62</v>
      </c>
      <c r="G1200" s="7">
        <v>1</v>
      </c>
      <c r="H1200" s="18">
        <v>5486.85</v>
      </c>
      <c r="I1200" s="22">
        <v>0</v>
      </c>
      <c r="J1200" s="18">
        <v>5486.85</v>
      </c>
      <c r="K1200" s="18">
        <v>4371.5200000000004</v>
      </c>
      <c r="L1200" s="18">
        <v>1115.33</v>
      </c>
      <c r="M1200" s="7" t="s">
        <v>35</v>
      </c>
      <c r="N1200" s="7" t="s">
        <v>36</v>
      </c>
      <c r="O1200" s="7" t="s">
        <v>44</v>
      </c>
      <c r="P1200" s="7" t="str">
        <f t="shared" si="54"/>
        <v>Jan</v>
      </c>
      <c r="Q1200" s="7">
        <f t="shared" si="55"/>
        <v>2025</v>
      </c>
      <c r="R1200" s="23">
        <f t="shared" si="56"/>
        <v>0.20327328066194628</v>
      </c>
    </row>
    <row r="1201" spans="1:18">
      <c r="A1201" s="7" t="s">
        <v>788</v>
      </c>
      <c r="B1201" s="8">
        <v>45843</v>
      </c>
      <c r="C1201" s="7" t="s">
        <v>83</v>
      </c>
      <c r="D1201" s="7" t="s">
        <v>95</v>
      </c>
      <c r="E1201" s="7" t="s">
        <v>61</v>
      </c>
      <c r="F1201" s="7" t="s">
        <v>89</v>
      </c>
      <c r="G1201" s="7">
        <v>3</v>
      </c>
      <c r="H1201" s="18">
        <v>5487.44</v>
      </c>
      <c r="I1201" s="22">
        <v>0.15</v>
      </c>
      <c r="J1201" s="18">
        <v>13992.97</v>
      </c>
      <c r="K1201" s="18">
        <v>8709.7999999999993</v>
      </c>
      <c r="L1201" s="18">
        <v>5283.17</v>
      </c>
      <c r="M1201" s="7" t="s">
        <v>57</v>
      </c>
      <c r="N1201" s="7" t="s">
        <v>43</v>
      </c>
      <c r="O1201" s="7" t="s">
        <v>44</v>
      </c>
      <c r="P1201" s="7" t="str">
        <f t="shared" si="54"/>
        <v>Jul</v>
      </c>
      <c r="Q1201" s="7">
        <f t="shared" si="55"/>
        <v>2025</v>
      </c>
      <c r="R1201" s="23">
        <f t="shared" si="56"/>
        <v>0.37755887420611922</v>
      </c>
    </row>
  </sheetData>
  <sortState xmlns:xlrd2="http://schemas.microsoft.com/office/spreadsheetml/2017/richdata2" ref="A2:O1201">
    <sortCondition ref="H2:H1201"/>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0A9C-92CF-4514-96F7-5B3AA4B88E14}">
  <dimension ref="A1:XFD47"/>
  <sheetViews>
    <sheetView showGridLines="0" topLeftCell="A13" zoomScale="112" zoomScaleNormal="112" workbookViewId="0">
      <selection activeCell="M16" sqref="M1:XFD1048576"/>
    </sheetView>
  </sheetViews>
  <sheetFormatPr defaultColWidth="0" defaultRowHeight="14.25"/>
  <cols>
    <col min="1" max="1" width="17.625" style="21" bestFit="1" customWidth="1"/>
    <col min="2" max="2" width="14.5" style="14" bestFit="1" customWidth="1"/>
    <col min="3" max="3" width="13.5" style="14" bestFit="1" customWidth="1"/>
    <col min="4" max="12" width="9" style="14" customWidth="1"/>
    <col min="13" max="16383" width="9" style="14" hidden="1"/>
    <col min="16384" max="16384" width="83.5" style="14" hidden="1"/>
  </cols>
  <sheetData>
    <row r="1" spans="1:3">
      <c r="A1" s="16" t="s">
        <v>1762</v>
      </c>
      <c r="B1" s="7" t="s">
        <v>1763</v>
      </c>
      <c r="C1" s="7" t="s">
        <v>1816</v>
      </c>
    </row>
    <row r="2" spans="1:3">
      <c r="A2" s="16" t="s">
        <v>1764</v>
      </c>
      <c r="B2" s="18">
        <f>SUM(Clean_Data!J:J)</f>
        <v>10926608.330000022</v>
      </c>
      <c r="C2" s="16"/>
    </row>
    <row r="3" spans="1:3">
      <c r="A3" s="25" t="s">
        <v>1765</v>
      </c>
      <c r="B3" s="7">
        <f>COUNTA(Clean_Data!A:A)-1</f>
        <v>1200</v>
      </c>
      <c r="C3" s="12"/>
    </row>
    <row r="4" spans="1:3">
      <c r="A4" s="25" t="s">
        <v>1766</v>
      </c>
      <c r="B4" s="18">
        <f>B2/B3</f>
        <v>9105.5069416666847</v>
      </c>
      <c r="C4" s="16"/>
    </row>
    <row r="5" spans="1:3">
      <c r="A5" s="25" t="s">
        <v>1767</v>
      </c>
      <c r="B5" s="7">
        <f>COUNTA(_xlfn.UNIQUE(Clean_Data!C2:C1201))</f>
        <v>478</v>
      </c>
      <c r="C5" s="12"/>
    </row>
    <row r="6" spans="1:3">
      <c r="A6" s="25" t="s">
        <v>1768</v>
      </c>
      <c r="B6" s="7">
        <f>SUM(Clean_Data!G:G)</f>
        <v>4252</v>
      </c>
      <c r="C6" s="16"/>
    </row>
    <row r="7" spans="1:3">
      <c r="A7" s="25" t="s">
        <v>1769</v>
      </c>
      <c r="B7" s="18">
        <f>SUM(Clean_Data!L:L)</f>
        <v>3275893.3699999955</v>
      </c>
      <c r="C7" s="12"/>
    </row>
    <row r="8" spans="1:3">
      <c r="A8" s="25" t="s">
        <v>1770</v>
      </c>
      <c r="B8" s="26">
        <f>B7/B2</f>
        <v>0.29980880352466965</v>
      </c>
      <c r="C8" s="16"/>
    </row>
    <row r="9" spans="1:3">
      <c r="A9" s="25" t="s">
        <v>1773</v>
      </c>
      <c r="B9" s="9" t="s">
        <v>33</v>
      </c>
      <c r="C9" s="18">
        <v>2936782.5599999991</v>
      </c>
    </row>
    <row r="10" spans="1:3">
      <c r="A10" s="25" t="s">
        <v>1774</v>
      </c>
      <c r="B10" s="9" t="s">
        <v>96</v>
      </c>
      <c r="C10" s="18" t="s">
        <v>1775</v>
      </c>
    </row>
    <row r="11" spans="1:3">
      <c r="A11" s="25" t="s">
        <v>1776</v>
      </c>
      <c r="B11" s="12" t="s">
        <v>66</v>
      </c>
      <c r="C11" s="18">
        <v>1329580.5999999996</v>
      </c>
    </row>
    <row r="12" spans="1:3">
      <c r="A12" s="25" t="s">
        <v>1790</v>
      </c>
      <c r="B12" s="9" t="s">
        <v>96</v>
      </c>
      <c r="C12" s="18" t="s">
        <v>1791</v>
      </c>
    </row>
    <row r="13" spans="1:3">
      <c r="A13" s="25" t="s">
        <v>1792</v>
      </c>
      <c r="B13" s="12" t="s">
        <v>35</v>
      </c>
      <c r="C13" s="18">
        <v>5638053.0600000042</v>
      </c>
    </row>
    <row r="14" spans="1:3">
      <c r="A14" s="25" t="s">
        <v>1794</v>
      </c>
      <c r="B14" s="9">
        <v>317</v>
      </c>
      <c r="C14" s="9"/>
    </row>
    <row r="15" spans="1:3">
      <c r="A15" s="25" t="s">
        <v>1795</v>
      </c>
      <c r="B15" s="27">
        <f>317/1200</f>
        <v>0.26416666666666666</v>
      </c>
      <c r="C15" s="12"/>
    </row>
    <row r="16" spans="1:3">
      <c r="A16" s="25" t="s">
        <v>1796</v>
      </c>
      <c r="B16" s="9" t="s">
        <v>725</v>
      </c>
      <c r="C16" s="18" t="s">
        <v>1797</v>
      </c>
    </row>
    <row r="17" spans="1:3">
      <c r="A17" s="28" t="s">
        <v>1798</v>
      </c>
      <c r="B17" s="7" t="s">
        <v>43</v>
      </c>
      <c r="C17" s="18">
        <v>2830682.4299999983</v>
      </c>
    </row>
    <row r="18" spans="1:3">
      <c r="A18" s="28" t="s">
        <v>1799</v>
      </c>
      <c r="B18" s="7">
        <v>2025</v>
      </c>
      <c r="C18" s="18">
        <v>6769664.1900000051</v>
      </c>
    </row>
    <row r="20" spans="1:3" ht="15">
      <c r="A20" s="39" t="s">
        <v>1811</v>
      </c>
      <c r="B20" s="39"/>
      <c r="C20" s="39"/>
    </row>
    <row r="22" spans="1:3" ht="15">
      <c r="A22" s="43" t="s">
        <v>1812</v>
      </c>
      <c r="B22" s="43"/>
      <c r="C22" s="43"/>
    </row>
    <row r="23" spans="1:3" ht="15">
      <c r="A23" s="42" t="s">
        <v>1813</v>
      </c>
      <c r="B23" s="42"/>
      <c r="C23" s="42"/>
    </row>
    <row r="24" spans="1:3" s="41" customFormat="1" ht="15">
      <c r="A24" s="43" t="s">
        <v>1814</v>
      </c>
    </row>
    <row r="25" spans="1:3" ht="15">
      <c r="A25" s="40" t="s">
        <v>1815</v>
      </c>
    </row>
    <row r="27" spans="1:3" ht="15">
      <c r="A27" s="40" t="s">
        <v>1817</v>
      </c>
    </row>
    <row r="28" spans="1:3" ht="15">
      <c r="A28" s="40" t="s">
        <v>1818</v>
      </c>
    </row>
    <row r="29" spans="1:3" ht="15">
      <c r="A29" s="40" t="s">
        <v>1819</v>
      </c>
    </row>
    <row r="30" spans="1:3" ht="15">
      <c r="A30" s="40" t="s">
        <v>1820</v>
      </c>
    </row>
    <row r="32" spans="1:3" ht="15">
      <c r="A32" s="40" t="s">
        <v>1821</v>
      </c>
    </row>
    <row r="33" spans="1:1" ht="15">
      <c r="A33" s="40" t="s">
        <v>1822</v>
      </c>
    </row>
    <row r="34" spans="1:1" ht="15">
      <c r="A34" s="40" t="s">
        <v>1823</v>
      </c>
    </row>
    <row r="35" spans="1:1" ht="15">
      <c r="A35" s="40" t="s">
        <v>1824</v>
      </c>
    </row>
    <row r="37" spans="1:1" ht="15">
      <c r="A37" s="40" t="s">
        <v>1828</v>
      </c>
    </row>
    <row r="38" spans="1:1" ht="15">
      <c r="A38" s="40" t="s">
        <v>1825</v>
      </c>
    </row>
    <row r="39" spans="1:1" ht="15">
      <c r="A39" s="40" t="s">
        <v>1826</v>
      </c>
    </row>
    <row r="40" spans="1:1" ht="15">
      <c r="A40" s="40" t="s">
        <v>1827</v>
      </c>
    </row>
    <row r="42" spans="1:1" ht="15">
      <c r="A42" s="40" t="s">
        <v>1829</v>
      </c>
    </row>
    <row r="43" spans="1:1" ht="15">
      <c r="A43" s="40" t="s">
        <v>1830</v>
      </c>
    </row>
    <row r="44" spans="1:1" ht="15">
      <c r="A44" s="40" t="s">
        <v>1831</v>
      </c>
    </row>
    <row r="45" spans="1:1" ht="15">
      <c r="A45" s="40" t="s">
        <v>1832</v>
      </c>
    </row>
    <row r="46" spans="1:1">
      <c r="A46"/>
    </row>
    <row r="47" spans="1:1" ht="17.25">
      <c r="A47" s="44"/>
    </row>
  </sheetData>
  <mergeCells count="1">
    <mergeCell ref="A20:C20"/>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5E32-40D0-4BF5-A5D4-9EA8528B96C2}">
  <dimension ref="A1:AD481"/>
  <sheetViews>
    <sheetView showGridLines="0" topLeftCell="A459" zoomScale="85" zoomScaleNormal="85" workbookViewId="0">
      <selection activeCell="A482" sqref="A482:XFD1048576"/>
    </sheetView>
  </sheetViews>
  <sheetFormatPr defaultColWidth="0" defaultRowHeight="14.25" zeroHeight="1"/>
  <cols>
    <col min="1" max="1" width="11.375" bestFit="1" customWidth="1"/>
    <col min="2" max="2" width="14" style="20" bestFit="1" customWidth="1"/>
    <col min="3" max="3" width="9" customWidth="1"/>
    <col min="4" max="4" width="11.375" bestFit="1" customWidth="1"/>
    <col min="5" max="5" width="13" bestFit="1" customWidth="1"/>
    <col min="6" max="6" width="9" customWidth="1"/>
    <col min="7" max="7" width="11.375" bestFit="1" customWidth="1"/>
    <col min="8" max="8" width="14" bestFit="1" customWidth="1"/>
    <col min="9" max="9" width="9" customWidth="1"/>
    <col min="10" max="10" width="14.75" bestFit="1" customWidth="1"/>
    <col min="11" max="11" width="14" bestFit="1" customWidth="1"/>
    <col min="12" max="12" width="9" customWidth="1"/>
    <col min="13" max="13" width="11.375" bestFit="1" customWidth="1"/>
    <col min="14" max="14" width="13" bestFit="1" customWidth="1"/>
    <col min="15" max="15" width="9" customWidth="1"/>
    <col min="16" max="16" width="11.375" bestFit="1" customWidth="1"/>
    <col min="17" max="17" width="14" bestFit="1" customWidth="1"/>
    <col min="18" max="18" width="9" customWidth="1"/>
    <col min="19" max="19" width="11.375" bestFit="1" customWidth="1"/>
    <col min="20" max="20" width="17.375" bestFit="1" customWidth="1"/>
    <col min="21" max="21" width="9" customWidth="1"/>
    <col min="22" max="22" width="14.375" bestFit="1" customWidth="1"/>
    <col min="23" max="23" width="14" style="11" bestFit="1" customWidth="1"/>
    <col min="24" max="24" width="9" customWidth="1"/>
    <col min="25" max="25" width="16.5" bestFit="1" customWidth="1"/>
    <col min="26" max="26" width="14" bestFit="1" customWidth="1"/>
    <col min="27" max="27" width="9" customWidth="1"/>
    <col min="28" max="28" width="13.25" bestFit="1" customWidth="1"/>
    <col min="29" max="29" width="14" bestFit="1" customWidth="1"/>
    <col min="31" max="16384" width="9" hidden="1"/>
  </cols>
  <sheetData>
    <row r="1" spans="1:30" ht="15">
      <c r="A1" s="37" t="s">
        <v>1801</v>
      </c>
      <c r="B1" s="37"/>
      <c r="D1" s="36" t="s">
        <v>1802</v>
      </c>
      <c r="E1" s="36"/>
      <c r="G1" s="36" t="s">
        <v>1803</v>
      </c>
      <c r="H1" s="36"/>
      <c r="J1" s="36" t="s">
        <v>1804</v>
      </c>
      <c r="K1" s="36"/>
      <c r="M1" s="36" t="s">
        <v>1805</v>
      </c>
      <c r="N1" s="36"/>
      <c r="P1" s="36" t="s">
        <v>1806</v>
      </c>
      <c r="Q1" s="36"/>
      <c r="S1" s="36" t="s">
        <v>1807</v>
      </c>
      <c r="T1" s="36"/>
      <c r="V1" s="36" t="s">
        <v>1808</v>
      </c>
      <c r="W1" s="36"/>
      <c r="Y1" s="36" t="s">
        <v>1809</v>
      </c>
      <c r="Z1" s="36"/>
      <c r="AB1" s="36" t="s">
        <v>1810</v>
      </c>
      <c r="AC1" s="36"/>
    </row>
    <row r="2" spans="1:30">
      <c r="A2" s="15" t="s">
        <v>19</v>
      </c>
      <c r="B2" s="11" t="s">
        <v>1772</v>
      </c>
      <c r="D2" s="15" t="s">
        <v>20</v>
      </c>
      <c r="E2" t="s">
        <v>1772</v>
      </c>
      <c r="G2" s="15" t="s">
        <v>18</v>
      </c>
      <c r="H2" t="s">
        <v>1772</v>
      </c>
      <c r="J2" s="15" t="s">
        <v>1759</v>
      </c>
      <c r="K2" t="s">
        <v>1772</v>
      </c>
      <c r="M2" s="15" t="s">
        <v>19</v>
      </c>
      <c r="N2" t="s">
        <v>1789</v>
      </c>
      <c r="P2" s="15" t="s">
        <v>27</v>
      </c>
      <c r="Q2" s="24" t="s">
        <v>1772</v>
      </c>
      <c r="S2" s="15" t="s">
        <v>29</v>
      </c>
      <c r="T2" t="s">
        <v>1793</v>
      </c>
      <c r="V2" s="15" t="s">
        <v>17</v>
      </c>
      <c r="W2" s="11" t="s">
        <v>1772</v>
      </c>
      <c r="Y2" s="15" t="s">
        <v>28</v>
      </c>
      <c r="Z2" t="s">
        <v>1772</v>
      </c>
      <c r="AB2" s="15" t="s">
        <v>1760</v>
      </c>
      <c r="AC2" t="s">
        <v>1772</v>
      </c>
    </row>
    <row r="3" spans="1:30">
      <c r="A3" t="s">
        <v>33</v>
      </c>
      <c r="B3" s="11">
        <v>2936782.5599999991</v>
      </c>
      <c r="D3" t="s">
        <v>96</v>
      </c>
      <c r="E3" s="11">
        <v>705219.66000000015</v>
      </c>
      <c r="G3" t="s">
        <v>66</v>
      </c>
      <c r="H3" s="11">
        <v>1329580.5999999996</v>
      </c>
      <c r="J3" t="s">
        <v>1777</v>
      </c>
      <c r="K3" s="11">
        <v>1245910.9199999997</v>
      </c>
      <c r="M3" t="s">
        <v>33</v>
      </c>
      <c r="N3" s="11">
        <v>875025.58000000007</v>
      </c>
      <c r="P3" t="s">
        <v>35</v>
      </c>
      <c r="Q3" s="11">
        <v>5638053.0600000042</v>
      </c>
      <c r="S3" t="s">
        <v>44</v>
      </c>
      <c r="T3" s="34">
        <v>883</v>
      </c>
      <c r="V3" t="s">
        <v>725</v>
      </c>
      <c r="W3" s="11">
        <v>90247.39</v>
      </c>
      <c r="Y3" t="s">
        <v>43</v>
      </c>
      <c r="Z3" s="11">
        <v>2830682.4299999983</v>
      </c>
      <c r="AB3">
        <v>2025</v>
      </c>
      <c r="AC3" s="11">
        <v>6769664.1900000051</v>
      </c>
    </row>
    <row r="4" spans="1:30">
      <c r="A4" t="s">
        <v>48</v>
      </c>
      <c r="B4" s="11">
        <v>2743282.3499999978</v>
      </c>
      <c r="D4" t="s">
        <v>99</v>
      </c>
      <c r="E4" s="11">
        <v>656808.32000000007</v>
      </c>
      <c r="G4" t="s">
        <v>95</v>
      </c>
      <c r="H4" s="11">
        <v>1220391.4899999998</v>
      </c>
      <c r="J4" t="s">
        <v>1778</v>
      </c>
      <c r="K4" s="11">
        <v>1085010.9700000002</v>
      </c>
      <c r="M4" t="s">
        <v>41</v>
      </c>
      <c r="N4" s="11">
        <v>834892.70999999985</v>
      </c>
      <c r="P4" t="s">
        <v>57</v>
      </c>
      <c r="Q4" s="11">
        <v>5288555.2700000023</v>
      </c>
      <c r="S4" t="s">
        <v>37</v>
      </c>
      <c r="T4" s="34">
        <v>317</v>
      </c>
      <c r="V4" t="s">
        <v>474</v>
      </c>
      <c r="W4" s="11">
        <v>83457.09</v>
      </c>
      <c r="Y4" t="s">
        <v>63</v>
      </c>
      <c r="Z4" s="11">
        <v>2779600.0300000007</v>
      </c>
      <c r="AB4">
        <v>2026</v>
      </c>
      <c r="AC4" s="11">
        <v>4156944.140000002</v>
      </c>
    </row>
    <row r="5" spans="1:30">
      <c r="A5" t="s">
        <v>41</v>
      </c>
      <c r="B5" s="11">
        <v>2701550.68</v>
      </c>
      <c r="D5" t="s">
        <v>92</v>
      </c>
      <c r="E5" s="11">
        <v>638609.81999999995</v>
      </c>
      <c r="G5" t="s">
        <v>74</v>
      </c>
      <c r="H5" s="11">
        <v>1173305.7799999991</v>
      </c>
      <c r="J5" t="s">
        <v>1779</v>
      </c>
      <c r="K5" s="11">
        <v>1006006.2699999998</v>
      </c>
      <c r="M5" t="s">
        <v>48</v>
      </c>
      <c r="N5" s="11">
        <v>809342.12999999966</v>
      </c>
      <c r="P5" t="s">
        <v>1771</v>
      </c>
      <c r="Q5" s="11">
        <v>10926608.330000006</v>
      </c>
      <c r="S5" t="s">
        <v>1771</v>
      </c>
      <c r="T5" s="34">
        <v>1200</v>
      </c>
      <c r="V5" t="s">
        <v>59</v>
      </c>
      <c r="W5" s="11">
        <v>80973.279999999999</v>
      </c>
      <c r="Y5" t="s">
        <v>36</v>
      </c>
      <c r="Z5" s="11">
        <v>2772913.3999999994</v>
      </c>
      <c r="AB5" t="s">
        <v>1771</v>
      </c>
      <c r="AC5" s="11">
        <v>10926608.330000008</v>
      </c>
    </row>
    <row r="6" spans="1:30">
      <c r="A6" t="s">
        <v>61</v>
      </c>
      <c r="B6" s="11">
        <v>2544992.7400000002</v>
      </c>
      <c r="D6" t="s">
        <v>176</v>
      </c>
      <c r="E6" s="11">
        <v>630847.47000000032</v>
      </c>
      <c r="G6" t="s">
        <v>52</v>
      </c>
      <c r="H6" s="11">
        <v>1172164.7599999998</v>
      </c>
      <c r="J6" t="s">
        <v>1780</v>
      </c>
      <c r="K6" s="11">
        <v>1186986.5500000003</v>
      </c>
      <c r="M6" t="s">
        <v>61</v>
      </c>
      <c r="N6" s="11">
        <v>756632.95000000007</v>
      </c>
      <c r="V6" t="s">
        <v>131</v>
      </c>
      <c r="W6" s="11">
        <v>80446.409999999989</v>
      </c>
      <c r="Y6" t="s">
        <v>71</v>
      </c>
      <c r="Z6" s="11">
        <v>2543412.4699999988</v>
      </c>
    </row>
    <row r="7" spans="1:30">
      <c r="A7" t="s">
        <v>1771</v>
      </c>
      <c r="B7" s="11">
        <v>10926608.329999996</v>
      </c>
      <c r="D7" t="s">
        <v>53</v>
      </c>
      <c r="E7" s="11">
        <v>599169.71</v>
      </c>
      <c r="G7" t="s">
        <v>56</v>
      </c>
      <c r="H7" s="11">
        <v>1147705.2499999998</v>
      </c>
      <c r="J7" t="s">
        <v>1781</v>
      </c>
      <c r="K7" s="11">
        <v>1043253.7300000003</v>
      </c>
      <c r="M7" t="s">
        <v>1771</v>
      </c>
      <c r="N7" s="11">
        <v>3275893.37</v>
      </c>
      <c r="V7" t="s">
        <v>811</v>
      </c>
      <c r="W7" s="11">
        <v>74292.350000000006</v>
      </c>
      <c r="Y7" t="s">
        <v>1771</v>
      </c>
      <c r="Z7" s="11">
        <v>10926608.329999998</v>
      </c>
    </row>
    <row r="8" spans="1:30">
      <c r="D8" t="s">
        <v>129</v>
      </c>
      <c r="E8" s="11">
        <v>597672.58000000007</v>
      </c>
      <c r="G8" t="s">
        <v>60</v>
      </c>
      <c r="H8" s="11">
        <v>1109660.0799999998</v>
      </c>
      <c r="J8" t="s">
        <v>1782</v>
      </c>
      <c r="K8" s="11">
        <v>950508.12999999977</v>
      </c>
      <c r="V8" t="s">
        <v>211</v>
      </c>
      <c r="W8" s="11">
        <v>72484.28</v>
      </c>
    </row>
    <row r="9" spans="1:30">
      <c r="D9" t="s">
        <v>49</v>
      </c>
      <c r="E9" s="11">
        <v>592239.68000000005</v>
      </c>
      <c r="G9" t="s">
        <v>47</v>
      </c>
      <c r="H9" s="11">
        <v>1105537.6299999999</v>
      </c>
      <c r="J9" t="s">
        <v>1783</v>
      </c>
      <c r="K9" s="11">
        <v>1334992.419999999</v>
      </c>
      <c r="V9" t="s">
        <v>51</v>
      </c>
      <c r="W9" s="11">
        <v>72260.320000000007</v>
      </c>
    </row>
    <row r="10" spans="1:30">
      <c r="D10" t="s">
        <v>42</v>
      </c>
      <c r="E10" s="11">
        <v>587953.34</v>
      </c>
      <c r="G10" t="s">
        <v>32</v>
      </c>
      <c r="H10" s="11">
        <v>957209.65000000014</v>
      </c>
      <c r="J10" t="s">
        <v>1784</v>
      </c>
      <c r="K10" s="11">
        <v>923326.75000000012</v>
      </c>
      <c r="V10" t="s">
        <v>341</v>
      </c>
      <c r="W10" s="11">
        <v>71782.990000000005</v>
      </c>
    </row>
    <row r="11" spans="1:30">
      <c r="D11" t="s">
        <v>113</v>
      </c>
      <c r="E11" s="11">
        <v>584478.12000000023</v>
      </c>
      <c r="G11" t="s">
        <v>40</v>
      </c>
      <c r="H11" s="11">
        <v>859738.53</v>
      </c>
      <c r="J11" t="s">
        <v>1785</v>
      </c>
      <c r="K11" s="11">
        <v>663415.58000000019</v>
      </c>
      <c r="V11" t="s">
        <v>846</v>
      </c>
      <c r="W11" s="11">
        <v>71367.709999999992</v>
      </c>
      <c r="AC11" s="35"/>
      <c r="AD11" s="35"/>
    </row>
    <row r="12" spans="1:30">
      <c r="D12" t="s">
        <v>119</v>
      </c>
      <c r="E12" s="11">
        <v>567153.21</v>
      </c>
      <c r="G12" t="s">
        <v>134</v>
      </c>
      <c r="H12" s="11">
        <v>800449.41999999981</v>
      </c>
      <c r="J12" t="s">
        <v>1786</v>
      </c>
      <c r="K12" s="11">
        <v>435920.88</v>
      </c>
      <c r="V12" t="s">
        <v>762</v>
      </c>
      <c r="W12" s="11">
        <v>70489.440000000002</v>
      </c>
    </row>
    <row r="13" spans="1:30">
      <c r="D13" t="s">
        <v>1771</v>
      </c>
      <c r="E13" s="11">
        <v>6160151.9100000011</v>
      </c>
      <c r="G13" t="s">
        <v>1758</v>
      </c>
      <c r="H13" s="11">
        <v>50865.14</v>
      </c>
      <c r="J13" t="s">
        <v>1787</v>
      </c>
      <c r="K13" s="11">
        <v>564496.56000000006</v>
      </c>
      <c r="V13" t="s">
        <v>708</v>
      </c>
      <c r="W13" s="11">
        <v>64828.12000000001</v>
      </c>
    </row>
    <row r="14" spans="1:30">
      <c r="G14" t="s">
        <v>1771</v>
      </c>
      <c r="H14" s="11">
        <v>10926608.33</v>
      </c>
      <c r="J14" t="s">
        <v>1788</v>
      </c>
      <c r="K14" s="11">
        <v>486779.57</v>
      </c>
      <c r="V14" t="s">
        <v>78</v>
      </c>
      <c r="W14" s="11">
        <v>62010</v>
      </c>
    </row>
    <row r="15" spans="1:30">
      <c r="J15" t="s">
        <v>1771</v>
      </c>
      <c r="K15" s="11">
        <v>10926608.33</v>
      </c>
      <c r="V15" t="s">
        <v>741</v>
      </c>
      <c r="W15" s="11">
        <v>61764.12</v>
      </c>
    </row>
    <row r="16" spans="1:30">
      <c r="V16" t="s">
        <v>454</v>
      </c>
      <c r="W16" s="11">
        <v>61309.049999999996</v>
      </c>
    </row>
    <row r="17" spans="22:23">
      <c r="V17" t="s">
        <v>115</v>
      </c>
      <c r="W17" s="11">
        <v>60889.030000000006</v>
      </c>
    </row>
    <row r="18" spans="22:23">
      <c r="V18" t="s">
        <v>230</v>
      </c>
      <c r="W18" s="11">
        <v>60825.25</v>
      </c>
    </row>
    <row r="19" spans="22:23">
      <c r="V19" t="s">
        <v>112</v>
      </c>
      <c r="W19" s="11">
        <v>59951.409999999996</v>
      </c>
    </row>
    <row r="20" spans="22:23">
      <c r="V20" t="s">
        <v>205</v>
      </c>
      <c r="W20" s="11">
        <v>59325.19</v>
      </c>
    </row>
    <row r="21" spans="22:23">
      <c r="V21" t="s">
        <v>1195</v>
      </c>
      <c r="W21" s="11">
        <v>57841.770000000004</v>
      </c>
    </row>
    <row r="22" spans="22:23">
      <c r="V22" t="s">
        <v>422</v>
      </c>
      <c r="W22" s="11">
        <v>57520.450000000004</v>
      </c>
    </row>
    <row r="23" spans="22:23">
      <c r="V23" t="s">
        <v>447</v>
      </c>
      <c r="W23" s="11">
        <v>56911.229999999996</v>
      </c>
    </row>
    <row r="24" spans="22:23">
      <c r="V24" t="s">
        <v>152</v>
      </c>
      <c r="W24" s="11">
        <v>53944.850000000006</v>
      </c>
    </row>
    <row r="25" spans="22:23">
      <c r="V25" t="s">
        <v>273</v>
      </c>
      <c r="W25" s="11">
        <v>53490.990000000005</v>
      </c>
    </row>
    <row r="26" spans="22:23">
      <c r="V26" t="s">
        <v>166</v>
      </c>
      <c r="W26" s="11">
        <v>52722.34</v>
      </c>
    </row>
    <row r="27" spans="22:23">
      <c r="V27" t="s">
        <v>1093</v>
      </c>
      <c r="W27" s="11">
        <v>52595.09</v>
      </c>
    </row>
    <row r="28" spans="22:23">
      <c r="V28" t="s">
        <v>927</v>
      </c>
      <c r="W28" s="11">
        <v>52153.59</v>
      </c>
    </row>
    <row r="29" spans="22:23">
      <c r="V29" t="s">
        <v>1190</v>
      </c>
      <c r="W29" s="11">
        <v>51975.32</v>
      </c>
    </row>
    <row r="30" spans="22:23">
      <c r="V30" t="s">
        <v>144</v>
      </c>
      <c r="W30" s="11">
        <v>51429.94</v>
      </c>
    </row>
    <row r="31" spans="22:23">
      <c r="V31" t="s">
        <v>110</v>
      </c>
      <c r="W31" s="11">
        <v>51350.47</v>
      </c>
    </row>
    <row r="32" spans="22:23">
      <c r="V32" t="s">
        <v>948</v>
      </c>
      <c r="W32" s="11">
        <v>51266.47</v>
      </c>
    </row>
    <row r="33" spans="22:23">
      <c r="V33" t="s">
        <v>150</v>
      </c>
      <c r="W33" s="11">
        <v>50620.08</v>
      </c>
    </row>
    <row r="34" spans="22:23">
      <c r="V34" t="s">
        <v>164</v>
      </c>
      <c r="W34" s="11">
        <v>50496.53</v>
      </c>
    </row>
    <row r="35" spans="22:23">
      <c r="V35" t="s">
        <v>121</v>
      </c>
      <c r="W35" s="11">
        <v>49894.83</v>
      </c>
    </row>
    <row r="36" spans="22:23">
      <c r="V36" t="s">
        <v>133</v>
      </c>
      <c r="W36" s="11">
        <v>49773.62</v>
      </c>
    </row>
    <row r="37" spans="22:23">
      <c r="V37" t="s">
        <v>292</v>
      </c>
      <c r="W37" s="11">
        <v>49523.1</v>
      </c>
    </row>
    <row r="38" spans="22:23">
      <c r="V38" t="s">
        <v>401</v>
      </c>
      <c r="W38" s="11">
        <v>49330.740000000005</v>
      </c>
    </row>
    <row r="39" spans="22:23">
      <c r="V39" t="s">
        <v>241</v>
      </c>
      <c r="W39" s="11">
        <v>48723.44</v>
      </c>
    </row>
    <row r="40" spans="22:23">
      <c r="V40" t="s">
        <v>179</v>
      </c>
      <c r="W40" s="11">
        <v>47939.74</v>
      </c>
    </row>
    <row r="41" spans="22:23">
      <c r="V41" t="s">
        <v>296</v>
      </c>
      <c r="W41" s="11">
        <v>47648.69</v>
      </c>
    </row>
    <row r="42" spans="22:23">
      <c r="V42" t="s">
        <v>638</v>
      </c>
      <c r="W42" s="11">
        <v>46035.07</v>
      </c>
    </row>
    <row r="43" spans="22:23">
      <c r="V43" t="s">
        <v>859</v>
      </c>
      <c r="W43" s="11">
        <v>45894.45</v>
      </c>
    </row>
    <row r="44" spans="22:23">
      <c r="V44" t="s">
        <v>248</v>
      </c>
      <c r="W44" s="11">
        <v>44680.75</v>
      </c>
    </row>
    <row r="45" spans="22:23">
      <c r="V45" t="s">
        <v>288</v>
      </c>
      <c r="W45" s="11">
        <v>44548.55</v>
      </c>
    </row>
    <row r="46" spans="22:23">
      <c r="V46" t="s">
        <v>547</v>
      </c>
      <c r="W46" s="11">
        <v>43877.72</v>
      </c>
    </row>
    <row r="47" spans="22:23">
      <c r="V47" t="s">
        <v>427</v>
      </c>
      <c r="W47" s="11">
        <v>43591.6</v>
      </c>
    </row>
    <row r="48" spans="22:23">
      <c r="V48" t="s">
        <v>1592</v>
      </c>
      <c r="W48" s="11">
        <v>42195.56</v>
      </c>
    </row>
    <row r="49" spans="22:23">
      <c r="V49" t="s">
        <v>613</v>
      </c>
      <c r="W49" s="11">
        <v>42093.55</v>
      </c>
    </row>
    <row r="50" spans="22:23">
      <c r="V50" t="s">
        <v>267</v>
      </c>
      <c r="W50" s="11">
        <v>41903.51</v>
      </c>
    </row>
    <row r="51" spans="22:23">
      <c r="V51" t="s">
        <v>259</v>
      </c>
      <c r="W51" s="11">
        <v>41435.599999999999</v>
      </c>
    </row>
    <row r="52" spans="22:23">
      <c r="V52" t="s">
        <v>1069</v>
      </c>
      <c r="W52" s="11">
        <v>41095.930000000008</v>
      </c>
    </row>
    <row r="53" spans="22:23">
      <c r="V53" t="s">
        <v>140</v>
      </c>
      <c r="W53" s="11">
        <v>40959.380000000005</v>
      </c>
    </row>
    <row r="54" spans="22:23">
      <c r="V54" t="s">
        <v>464</v>
      </c>
      <c r="W54" s="11">
        <v>40664.910000000003</v>
      </c>
    </row>
    <row r="55" spans="22:23">
      <c r="V55" t="s">
        <v>335</v>
      </c>
      <c r="W55" s="11">
        <v>40446.340000000004</v>
      </c>
    </row>
    <row r="56" spans="22:23">
      <c r="V56" t="s">
        <v>540</v>
      </c>
      <c r="W56" s="11">
        <v>39934.61</v>
      </c>
    </row>
    <row r="57" spans="22:23">
      <c r="V57" t="s">
        <v>387</v>
      </c>
      <c r="W57" s="11">
        <v>39546.310000000005</v>
      </c>
    </row>
    <row r="58" spans="22:23">
      <c r="V58" t="s">
        <v>815</v>
      </c>
      <c r="W58" s="11">
        <v>39501.22</v>
      </c>
    </row>
    <row r="59" spans="22:23">
      <c r="V59" t="s">
        <v>142</v>
      </c>
      <c r="W59" s="11">
        <v>39372.160000000003</v>
      </c>
    </row>
    <row r="60" spans="22:23">
      <c r="V60" t="s">
        <v>441</v>
      </c>
      <c r="W60" s="11">
        <v>39127.86</v>
      </c>
    </row>
    <row r="61" spans="22:23">
      <c r="V61" t="s">
        <v>94</v>
      </c>
      <c r="W61" s="11">
        <v>38998.800000000003</v>
      </c>
    </row>
    <row r="62" spans="22:23">
      <c r="V62" t="s">
        <v>536</v>
      </c>
      <c r="W62" s="11">
        <v>38734.68</v>
      </c>
    </row>
    <row r="63" spans="22:23">
      <c r="V63" t="s">
        <v>195</v>
      </c>
      <c r="W63" s="11">
        <v>38695.699999999997</v>
      </c>
    </row>
    <row r="64" spans="22:23">
      <c r="V64" t="s">
        <v>316</v>
      </c>
      <c r="W64" s="11">
        <v>38561.56</v>
      </c>
    </row>
    <row r="65" spans="22:23">
      <c r="V65" t="s">
        <v>159</v>
      </c>
      <c r="W65" s="11">
        <v>38544.85</v>
      </c>
    </row>
    <row r="66" spans="22:23">
      <c r="V66" t="s">
        <v>215</v>
      </c>
      <c r="W66" s="11">
        <v>38421.020000000004</v>
      </c>
    </row>
    <row r="67" spans="22:23">
      <c r="V67" t="s">
        <v>888</v>
      </c>
      <c r="W67" s="11">
        <v>38353.07</v>
      </c>
    </row>
    <row r="68" spans="22:23">
      <c r="V68" t="s">
        <v>420</v>
      </c>
      <c r="W68" s="11">
        <v>37961.240000000005</v>
      </c>
    </row>
    <row r="69" spans="22:23">
      <c r="V69" t="s">
        <v>550</v>
      </c>
      <c r="W69" s="11">
        <v>37115.020000000004</v>
      </c>
    </row>
    <row r="70" spans="22:23">
      <c r="V70" t="s">
        <v>360</v>
      </c>
      <c r="W70" s="11">
        <v>36780.43</v>
      </c>
    </row>
    <row r="71" spans="22:23">
      <c r="V71" t="s">
        <v>648</v>
      </c>
      <c r="W71" s="11">
        <v>36640.33</v>
      </c>
    </row>
    <row r="72" spans="22:23">
      <c r="V72" t="s">
        <v>449</v>
      </c>
      <c r="W72" s="11">
        <v>36541.370000000003</v>
      </c>
    </row>
    <row r="73" spans="22:23">
      <c r="V73" t="s">
        <v>682</v>
      </c>
      <c r="W73" s="11">
        <v>36452.14</v>
      </c>
    </row>
    <row r="74" spans="22:23">
      <c r="V74" t="s">
        <v>727</v>
      </c>
      <c r="W74" s="11">
        <v>36310.93</v>
      </c>
    </row>
    <row r="75" spans="22:23">
      <c r="V75" t="s">
        <v>655</v>
      </c>
      <c r="W75" s="11">
        <v>36269.370000000003</v>
      </c>
    </row>
    <row r="76" spans="22:23">
      <c r="V76" t="s">
        <v>412</v>
      </c>
      <c r="W76" s="11">
        <v>35960.43</v>
      </c>
    </row>
    <row r="77" spans="22:23">
      <c r="V77" t="s">
        <v>80</v>
      </c>
      <c r="W77" s="11">
        <v>35793.39</v>
      </c>
    </row>
    <row r="78" spans="22:23">
      <c r="V78" t="s">
        <v>374</v>
      </c>
      <c r="W78" s="11">
        <v>35759.17</v>
      </c>
    </row>
    <row r="79" spans="22:23">
      <c r="V79" t="s">
        <v>209</v>
      </c>
      <c r="W79" s="11">
        <v>35566.07</v>
      </c>
    </row>
    <row r="80" spans="22:23">
      <c r="V80" t="s">
        <v>1231</v>
      </c>
      <c r="W80" s="11">
        <v>35433.72</v>
      </c>
    </row>
    <row r="81" spans="22:23">
      <c r="V81" t="s">
        <v>712</v>
      </c>
      <c r="W81" s="11">
        <v>35309.17</v>
      </c>
    </row>
    <row r="82" spans="22:23">
      <c r="V82" t="s">
        <v>521</v>
      </c>
      <c r="W82" s="11">
        <v>35220.729999999996</v>
      </c>
    </row>
    <row r="83" spans="22:23">
      <c r="V83" t="s">
        <v>628</v>
      </c>
      <c r="W83" s="11">
        <v>34999.960000000006</v>
      </c>
    </row>
    <row r="84" spans="22:23">
      <c r="V84" t="s">
        <v>676</v>
      </c>
      <c r="W84" s="11">
        <v>34891.919999999998</v>
      </c>
    </row>
    <row r="85" spans="22:23">
      <c r="V85" t="s">
        <v>970</v>
      </c>
      <c r="W85" s="11">
        <v>34879.42</v>
      </c>
    </row>
    <row r="86" spans="22:23">
      <c r="V86" t="s">
        <v>55</v>
      </c>
      <c r="W86" s="11">
        <v>34842.28</v>
      </c>
    </row>
    <row r="87" spans="22:23">
      <c r="V87" t="s">
        <v>397</v>
      </c>
      <c r="W87" s="11">
        <v>34445.97</v>
      </c>
    </row>
    <row r="88" spans="22:23">
      <c r="V88" t="s">
        <v>350</v>
      </c>
      <c r="W88" s="11">
        <v>34331.5</v>
      </c>
    </row>
    <row r="89" spans="22:23">
      <c r="V89" t="s">
        <v>482</v>
      </c>
      <c r="W89" s="11">
        <v>34321.199999999997</v>
      </c>
    </row>
    <row r="90" spans="22:23">
      <c r="V90" t="s">
        <v>127</v>
      </c>
      <c r="W90" s="11">
        <v>34112.46</v>
      </c>
    </row>
    <row r="91" spans="22:23">
      <c r="V91" t="s">
        <v>302</v>
      </c>
      <c r="W91" s="11">
        <v>34065.78</v>
      </c>
    </row>
    <row r="92" spans="22:23">
      <c r="V92" t="s">
        <v>901</v>
      </c>
      <c r="W92" s="11">
        <v>33650.550000000003</v>
      </c>
    </row>
    <row r="93" spans="22:23">
      <c r="V93" t="s">
        <v>1058</v>
      </c>
      <c r="W93" s="11">
        <v>33555.06</v>
      </c>
    </row>
    <row r="94" spans="22:23">
      <c r="V94" t="s">
        <v>83</v>
      </c>
      <c r="W94" s="11">
        <v>33249.159999999996</v>
      </c>
    </row>
    <row r="95" spans="22:23">
      <c r="V95" t="s">
        <v>1368</v>
      </c>
      <c r="W95" s="11">
        <v>33194.959999999999</v>
      </c>
    </row>
    <row r="96" spans="22:23">
      <c r="V96" t="s">
        <v>590</v>
      </c>
      <c r="W96" s="11">
        <v>33187.240000000005</v>
      </c>
    </row>
    <row r="97" spans="22:23">
      <c r="V97" t="s">
        <v>843</v>
      </c>
      <c r="W97" s="11">
        <v>32844.93</v>
      </c>
    </row>
    <row r="98" spans="22:23">
      <c r="V98" t="s">
        <v>346</v>
      </c>
      <c r="W98" s="11">
        <v>32820.160000000003</v>
      </c>
    </row>
    <row r="99" spans="22:23">
      <c r="V99" t="s">
        <v>294</v>
      </c>
      <c r="W99" s="11">
        <v>32618.409999999996</v>
      </c>
    </row>
    <row r="100" spans="22:23">
      <c r="V100" t="s">
        <v>366</v>
      </c>
      <c r="W100" s="11">
        <v>32313.33</v>
      </c>
    </row>
    <row r="101" spans="22:23">
      <c r="V101" t="s">
        <v>674</v>
      </c>
      <c r="W101" s="11">
        <v>32243.96</v>
      </c>
    </row>
    <row r="102" spans="22:23">
      <c r="V102" t="s">
        <v>1519</v>
      </c>
      <c r="W102" s="11">
        <v>32120.68</v>
      </c>
    </row>
    <row r="103" spans="22:23">
      <c r="V103" t="s">
        <v>640</v>
      </c>
      <c r="W103" s="11">
        <v>32042.42</v>
      </c>
    </row>
    <row r="104" spans="22:23">
      <c r="V104" t="s">
        <v>466</v>
      </c>
      <c r="W104" s="11">
        <v>32023.14</v>
      </c>
    </row>
    <row r="105" spans="22:23">
      <c r="V105" t="s">
        <v>186</v>
      </c>
      <c r="W105" s="11">
        <v>31926.010000000002</v>
      </c>
    </row>
    <row r="106" spans="22:23">
      <c r="V106" t="s">
        <v>173</v>
      </c>
      <c r="W106" s="11">
        <v>31864.35</v>
      </c>
    </row>
    <row r="107" spans="22:23">
      <c r="V107" t="s">
        <v>73</v>
      </c>
      <c r="W107" s="11">
        <v>31665.87</v>
      </c>
    </row>
    <row r="108" spans="22:23">
      <c r="V108" t="s">
        <v>477</v>
      </c>
      <c r="W108" s="11">
        <v>31641.200000000001</v>
      </c>
    </row>
    <row r="109" spans="22:23">
      <c r="V109" t="s">
        <v>799</v>
      </c>
      <c r="W109" s="11">
        <v>31479.3</v>
      </c>
    </row>
    <row r="110" spans="22:23">
      <c r="V110" t="s">
        <v>988</v>
      </c>
      <c r="W110" s="11">
        <v>31357.14</v>
      </c>
    </row>
    <row r="111" spans="22:23">
      <c r="V111" t="s">
        <v>1472</v>
      </c>
      <c r="W111" s="11">
        <v>31313.45</v>
      </c>
    </row>
    <row r="112" spans="22:23">
      <c r="V112" t="s">
        <v>193</v>
      </c>
      <c r="W112" s="11">
        <v>31085.32</v>
      </c>
    </row>
    <row r="113" spans="22:23">
      <c r="V113" t="s">
        <v>197</v>
      </c>
      <c r="W113" s="11">
        <v>30966.739999999998</v>
      </c>
    </row>
    <row r="114" spans="22:23">
      <c r="V114" t="s">
        <v>523</v>
      </c>
      <c r="W114" s="11">
        <v>30965.409999999996</v>
      </c>
    </row>
    <row r="115" spans="22:23">
      <c r="V115" t="s">
        <v>743</v>
      </c>
      <c r="W115" s="11">
        <v>30932.14</v>
      </c>
    </row>
    <row r="116" spans="22:23">
      <c r="V116" t="s">
        <v>808</v>
      </c>
      <c r="W116" s="11">
        <v>30833.72</v>
      </c>
    </row>
    <row r="117" spans="22:23">
      <c r="V117" t="s">
        <v>300</v>
      </c>
      <c r="W117" s="11">
        <v>30813.95</v>
      </c>
    </row>
    <row r="118" spans="22:23">
      <c r="V118" t="s">
        <v>372</v>
      </c>
      <c r="W118" s="11">
        <v>30687.83</v>
      </c>
    </row>
    <row r="119" spans="22:23">
      <c r="V119" t="s">
        <v>768</v>
      </c>
      <c r="W119" s="11">
        <v>30523.960000000003</v>
      </c>
    </row>
    <row r="120" spans="22:23">
      <c r="V120" t="s">
        <v>1201</v>
      </c>
      <c r="W120" s="11">
        <v>30336.379999999997</v>
      </c>
    </row>
    <row r="121" spans="22:23">
      <c r="V121" t="s">
        <v>1741</v>
      </c>
      <c r="W121" s="11">
        <v>30258.720000000001</v>
      </c>
    </row>
    <row r="122" spans="22:23">
      <c r="V122" t="s">
        <v>184</v>
      </c>
      <c r="W122" s="11">
        <v>30210.09</v>
      </c>
    </row>
    <row r="123" spans="22:23">
      <c r="V123" t="s">
        <v>39</v>
      </c>
      <c r="W123" s="11">
        <v>29946.350000000002</v>
      </c>
    </row>
    <row r="124" spans="22:23">
      <c r="V124" t="s">
        <v>672</v>
      </c>
      <c r="W124" s="11">
        <v>29896.09</v>
      </c>
    </row>
    <row r="125" spans="22:23">
      <c r="V125" t="s">
        <v>914</v>
      </c>
      <c r="W125" s="11">
        <v>29818.86</v>
      </c>
    </row>
    <row r="126" spans="22:23">
      <c r="V126" t="s">
        <v>484</v>
      </c>
      <c r="W126" s="11">
        <v>29796.749999999996</v>
      </c>
    </row>
    <row r="127" spans="22:23">
      <c r="V127" t="s">
        <v>555</v>
      </c>
      <c r="W127" s="11">
        <v>29702.42</v>
      </c>
    </row>
    <row r="128" spans="22:23">
      <c r="V128" t="s">
        <v>598</v>
      </c>
      <c r="W128" s="11">
        <v>29674.71</v>
      </c>
    </row>
    <row r="129" spans="22:23">
      <c r="V129" t="s">
        <v>754</v>
      </c>
      <c r="W129" s="11">
        <v>29457.229999999996</v>
      </c>
    </row>
    <row r="130" spans="22:23">
      <c r="V130" t="s">
        <v>138</v>
      </c>
      <c r="W130" s="11">
        <v>29271.58</v>
      </c>
    </row>
    <row r="131" spans="22:23">
      <c r="V131" t="s">
        <v>737</v>
      </c>
      <c r="W131" s="11">
        <v>29269.21</v>
      </c>
    </row>
    <row r="132" spans="22:23">
      <c r="V132" t="s">
        <v>429</v>
      </c>
      <c r="W132" s="11">
        <v>29240.68</v>
      </c>
    </row>
    <row r="133" spans="22:23">
      <c r="V133" t="s">
        <v>148</v>
      </c>
      <c r="W133" s="11">
        <v>29166.42</v>
      </c>
    </row>
    <row r="134" spans="22:23">
      <c r="V134" t="s">
        <v>328</v>
      </c>
      <c r="W134" s="11">
        <v>29043.1</v>
      </c>
    </row>
    <row r="135" spans="22:23">
      <c r="V135" t="s">
        <v>243</v>
      </c>
      <c r="W135" s="11">
        <v>28842.989999999998</v>
      </c>
    </row>
    <row r="136" spans="22:23">
      <c r="V136" t="s">
        <v>577</v>
      </c>
      <c r="W136" s="11">
        <v>28815.21</v>
      </c>
    </row>
    <row r="137" spans="22:23">
      <c r="V137" t="s">
        <v>1085</v>
      </c>
      <c r="W137" s="11">
        <v>28674.63</v>
      </c>
    </row>
    <row r="138" spans="22:23">
      <c r="V138" t="s">
        <v>228</v>
      </c>
      <c r="W138" s="11">
        <v>28444.55</v>
      </c>
    </row>
    <row r="139" spans="22:23">
      <c r="V139" t="s">
        <v>980</v>
      </c>
      <c r="W139" s="11">
        <v>28384.639999999999</v>
      </c>
    </row>
    <row r="140" spans="22:23">
      <c r="V140" t="s">
        <v>461</v>
      </c>
      <c r="W140" s="11">
        <v>28371.97</v>
      </c>
    </row>
    <row r="141" spans="22:23">
      <c r="V141" t="s">
        <v>600</v>
      </c>
      <c r="W141" s="11">
        <v>28215.259999999995</v>
      </c>
    </row>
    <row r="142" spans="22:23">
      <c r="V142" t="s">
        <v>281</v>
      </c>
      <c r="W142" s="11">
        <v>28181.41</v>
      </c>
    </row>
    <row r="143" spans="22:23">
      <c r="V143" t="s">
        <v>1048</v>
      </c>
      <c r="W143" s="11">
        <v>28140.190000000002</v>
      </c>
    </row>
    <row r="144" spans="22:23">
      <c r="V144" t="s">
        <v>897</v>
      </c>
      <c r="W144" s="11">
        <v>27962.5</v>
      </c>
    </row>
    <row r="145" spans="22:23">
      <c r="V145" t="s">
        <v>688</v>
      </c>
      <c r="W145" s="11">
        <v>27714.81</v>
      </c>
    </row>
    <row r="146" spans="22:23">
      <c r="V146" t="s">
        <v>382</v>
      </c>
      <c r="W146" s="11">
        <v>27653.279999999999</v>
      </c>
    </row>
    <row r="147" spans="22:23">
      <c r="V147" t="s">
        <v>222</v>
      </c>
      <c r="W147" s="11">
        <v>27635.19</v>
      </c>
    </row>
    <row r="148" spans="22:23">
      <c r="V148" t="s">
        <v>1071</v>
      </c>
      <c r="W148" s="11">
        <v>27629.67</v>
      </c>
    </row>
    <row r="149" spans="22:23">
      <c r="V149" t="s">
        <v>352</v>
      </c>
      <c r="W149" s="11">
        <v>27524.87</v>
      </c>
    </row>
    <row r="150" spans="22:23">
      <c r="V150" t="s">
        <v>414</v>
      </c>
      <c r="W150" s="11">
        <v>27458.48</v>
      </c>
    </row>
    <row r="151" spans="22:23">
      <c r="V151" t="s">
        <v>46</v>
      </c>
      <c r="W151" s="11">
        <v>27438.010000000002</v>
      </c>
    </row>
    <row r="152" spans="22:23">
      <c r="V152" t="s">
        <v>665</v>
      </c>
      <c r="W152" s="11">
        <v>27330.720000000001</v>
      </c>
    </row>
    <row r="153" spans="22:23">
      <c r="V153" t="s">
        <v>304</v>
      </c>
      <c r="W153" s="11">
        <v>27323.45</v>
      </c>
    </row>
    <row r="154" spans="22:23">
      <c r="V154" t="s">
        <v>439</v>
      </c>
      <c r="W154" s="11">
        <v>27300.82</v>
      </c>
    </row>
    <row r="155" spans="22:23">
      <c r="V155" t="s">
        <v>1088</v>
      </c>
      <c r="W155" s="11">
        <v>27293.51</v>
      </c>
    </row>
    <row r="156" spans="22:23">
      <c r="V156" t="s">
        <v>1073</v>
      </c>
      <c r="W156" s="11">
        <v>27219.52</v>
      </c>
    </row>
    <row r="157" spans="22:23">
      <c r="V157" t="s">
        <v>199</v>
      </c>
      <c r="W157" s="11">
        <v>27214.559999999998</v>
      </c>
    </row>
    <row r="158" spans="22:23">
      <c r="V158" t="s">
        <v>117</v>
      </c>
      <c r="W158" s="11">
        <v>27128.14</v>
      </c>
    </row>
    <row r="159" spans="22:23">
      <c r="V159" t="s">
        <v>312</v>
      </c>
      <c r="W159" s="11">
        <v>27111.670000000002</v>
      </c>
    </row>
    <row r="160" spans="22:23">
      <c r="V160" t="s">
        <v>714</v>
      </c>
      <c r="W160" s="11">
        <v>26740.07</v>
      </c>
    </row>
    <row r="161" spans="22:23">
      <c r="V161" t="s">
        <v>864</v>
      </c>
      <c r="W161" s="11">
        <v>26721.11</v>
      </c>
    </row>
    <row r="162" spans="22:23">
      <c r="V162" t="s">
        <v>493</v>
      </c>
      <c r="W162" s="11">
        <v>26575.309999999998</v>
      </c>
    </row>
    <row r="163" spans="22:23">
      <c r="V163" t="s">
        <v>468</v>
      </c>
      <c r="W163" s="11">
        <v>26396.94</v>
      </c>
    </row>
    <row r="164" spans="22:23">
      <c r="V164" t="s">
        <v>542</v>
      </c>
      <c r="W164" s="11">
        <v>26390.05</v>
      </c>
    </row>
    <row r="165" spans="22:23">
      <c r="V165" t="s">
        <v>98</v>
      </c>
      <c r="W165" s="11">
        <v>26222.18</v>
      </c>
    </row>
    <row r="166" spans="22:23">
      <c r="V166" t="s">
        <v>279</v>
      </c>
      <c r="W166" s="11">
        <v>26208.85</v>
      </c>
    </row>
    <row r="167" spans="22:23">
      <c r="V167" t="s">
        <v>857</v>
      </c>
      <c r="W167" s="11">
        <v>26186.28</v>
      </c>
    </row>
    <row r="168" spans="22:23">
      <c r="V168" t="s">
        <v>1030</v>
      </c>
      <c r="W168" s="11">
        <v>26142.6</v>
      </c>
    </row>
    <row r="169" spans="22:23">
      <c r="V169" t="s">
        <v>978</v>
      </c>
      <c r="W169" s="11">
        <v>26124.27</v>
      </c>
    </row>
    <row r="170" spans="22:23">
      <c r="V170" t="s">
        <v>748</v>
      </c>
      <c r="W170" s="11">
        <v>26040.379999999997</v>
      </c>
    </row>
    <row r="171" spans="22:23">
      <c r="V171" t="s">
        <v>1060</v>
      </c>
      <c r="W171" s="11">
        <v>25938.34</v>
      </c>
    </row>
    <row r="172" spans="22:23">
      <c r="V172" t="s">
        <v>533</v>
      </c>
      <c r="W172" s="11">
        <v>25890.639999999999</v>
      </c>
    </row>
    <row r="173" spans="22:23">
      <c r="V173" t="s">
        <v>829</v>
      </c>
      <c r="W173" s="11">
        <v>25885.18</v>
      </c>
    </row>
    <row r="174" spans="22:23">
      <c r="V174" t="s">
        <v>1103</v>
      </c>
      <c r="W174" s="11">
        <v>25702.37</v>
      </c>
    </row>
    <row r="175" spans="22:23">
      <c r="V175" t="s">
        <v>1032</v>
      </c>
      <c r="W175" s="11">
        <v>25688.989999999998</v>
      </c>
    </row>
    <row r="176" spans="22:23">
      <c r="V176" t="s">
        <v>1513</v>
      </c>
      <c r="W176" s="11">
        <v>25676.26</v>
      </c>
    </row>
    <row r="177" spans="22:23">
      <c r="V177" t="s">
        <v>1303</v>
      </c>
      <c r="W177" s="11">
        <v>25591.02</v>
      </c>
    </row>
    <row r="178" spans="22:23">
      <c r="V178" t="s">
        <v>1338</v>
      </c>
      <c r="W178" s="11">
        <v>25539.62</v>
      </c>
    </row>
    <row r="179" spans="22:23">
      <c r="V179" t="s">
        <v>786</v>
      </c>
      <c r="W179" s="11">
        <v>25514.400000000001</v>
      </c>
    </row>
    <row r="180" spans="22:23">
      <c r="V180" t="s">
        <v>835</v>
      </c>
      <c r="W180" s="11">
        <v>25356.41</v>
      </c>
    </row>
    <row r="181" spans="22:23">
      <c r="V181" t="s">
        <v>157</v>
      </c>
      <c r="W181" s="11">
        <v>25343.11</v>
      </c>
    </row>
    <row r="182" spans="22:23">
      <c r="V182" t="s">
        <v>557</v>
      </c>
      <c r="W182" s="11">
        <v>25042.010000000002</v>
      </c>
    </row>
    <row r="183" spans="22:23">
      <c r="V183" t="s">
        <v>437</v>
      </c>
      <c r="W183" s="11">
        <v>25012.07</v>
      </c>
    </row>
    <row r="184" spans="22:23">
      <c r="V184" t="s">
        <v>604</v>
      </c>
      <c r="W184" s="11">
        <v>24976.809999999998</v>
      </c>
    </row>
    <row r="185" spans="22:23">
      <c r="V185" t="s">
        <v>632</v>
      </c>
      <c r="W185" s="11">
        <v>24948.690000000002</v>
      </c>
    </row>
    <row r="186" spans="22:23">
      <c r="V186" t="s">
        <v>1000</v>
      </c>
      <c r="W186" s="11">
        <v>24909</v>
      </c>
    </row>
    <row r="187" spans="22:23">
      <c r="V187" t="s">
        <v>545</v>
      </c>
      <c r="W187" s="11">
        <v>24840.630000000005</v>
      </c>
    </row>
    <row r="188" spans="22:23">
      <c r="V188" t="s">
        <v>661</v>
      </c>
      <c r="W188" s="11">
        <v>24830.629999999997</v>
      </c>
    </row>
    <row r="189" spans="22:23">
      <c r="V189" t="s">
        <v>1134</v>
      </c>
      <c r="W189" s="11">
        <v>24779.73</v>
      </c>
    </row>
    <row r="190" spans="22:23">
      <c r="V190" t="s">
        <v>232</v>
      </c>
      <c r="W190" s="11">
        <v>24655.53</v>
      </c>
    </row>
    <row r="191" spans="22:23">
      <c r="V191" t="s">
        <v>818</v>
      </c>
      <c r="W191" s="11">
        <v>24642.95</v>
      </c>
    </row>
    <row r="192" spans="22:23">
      <c r="V192" t="s">
        <v>213</v>
      </c>
      <c r="W192" s="11">
        <v>24511.89</v>
      </c>
    </row>
    <row r="193" spans="22:23">
      <c r="V193" t="s">
        <v>871</v>
      </c>
      <c r="W193" s="11">
        <v>24422.47</v>
      </c>
    </row>
    <row r="194" spans="22:23">
      <c r="V194" t="s">
        <v>322</v>
      </c>
      <c r="W194" s="11">
        <v>24413.229999999996</v>
      </c>
    </row>
    <row r="195" spans="22:23">
      <c r="V195" t="s">
        <v>739</v>
      </c>
      <c r="W195" s="11">
        <v>24336.94</v>
      </c>
    </row>
    <row r="196" spans="22:23">
      <c r="V196" t="s">
        <v>250</v>
      </c>
      <c r="W196" s="11">
        <v>24292.77</v>
      </c>
    </row>
    <row r="197" spans="22:23">
      <c r="V197" t="s">
        <v>181</v>
      </c>
      <c r="W197" s="11">
        <v>24259.13</v>
      </c>
    </row>
    <row r="198" spans="22:23">
      <c r="V198" t="s">
        <v>722</v>
      </c>
      <c r="W198" s="11">
        <v>24228.639999999999</v>
      </c>
    </row>
    <row r="199" spans="22:23">
      <c r="V199" t="s">
        <v>644</v>
      </c>
      <c r="W199" s="11">
        <v>24224.550000000003</v>
      </c>
    </row>
    <row r="200" spans="22:23">
      <c r="V200" t="s">
        <v>773</v>
      </c>
      <c r="W200" s="11">
        <v>24210.69</v>
      </c>
    </row>
    <row r="201" spans="22:23">
      <c r="V201" t="s">
        <v>290</v>
      </c>
      <c r="W201" s="11">
        <v>23939.73</v>
      </c>
    </row>
    <row r="202" spans="22:23">
      <c r="V202" t="s">
        <v>1054</v>
      </c>
      <c r="W202" s="11">
        <v>23916.54</v>
      </c>
    </row>
    <row r="203" spans="22:23">
      <c r="V203" t="s">
        <v>175</v>
      </c>
      <c r="W203" s="11">
        <v>23864.100000000002</v>
      </c>
    </row>
    <row r="204" spans="22:23">
      <c r="V204" t="s">
        <v>1392</v>
      </c>
      <c r="W204" s="11">
        <v>23859.14</v>
      </c>
    </row>
    <row r="205" spans="22:23">
      <c r="V205" t="s">
        <v>393</v>
      </c>
      <c r="W205" s="11">
        <v>23815.440000000002</v>
      </c>
    </row>
    <row r="206" spans="22:23">
      <c r="V206" t="s">
        <v>531</v>
      </c>
      <c r="W206" s="11">
        <v>23812.38</v>
      </c>
    </row>
    <row r="207" spans="22:23">
      <c r="V207" t="s">
        <v>596</v>
      </c>
      <c r="W207" s="11">
        <v>23710.339999999997</v>
      </c>
    </row>
    <row r="208" spans="22:23">
      <c r="V208" t="s">
        <v>123</v>
      </c>
      <c r="W208" s="11">
        <v>23386.02</v>
      </c>
    </row>
    <row r="209" spans="22:23">
      <c r="V209" t="s">
        <v>161</v>
      </c>
      <c r="W209" s="11">
        <v>23372.17</v>
      </c>
    </row>
    <row r="210" spans="22:23">
      <c r="V210" t="s">
        <v>766</v>
      </c>
      <c r="W210" s="11">
        <v>23347.39</v>
      </c>
    </row>
    <row r="211" spans="22:23">
      <c r="V211" t="s">
        <v>344</v>
      </c>
      <c r="W211" s="11">
        <v>23216.93</v>
      </c>
    </row>
    <row r="212" spans="22:23">
      <c r="V212" t="s">
        <v>234</v>
      </c>
      <c r="W212" s="11">
        <v>23168.65</v>
      </c>
    </row>
    <row r="213" spans="22:23">
      <c r="V213" t="s">
        <v>486</v>
      </c>
      <c r="W213" s="11">
        <v>23054.629999999997</v>
      </c>
    </row>
    <row r="214" spans="22:23">
      <c r="V214" t="s">
        <v>1401</v>
      </c>
      <c r="W214" s="11">
        <v>23053.68</v>
      </c>
    </row>
    <row r="215" spans="22:23">
      <c r="V215" t="s">
        <v>459</v>
      </c>
      <c r="W215" s="11">
        <v>22924.03</v>
      </c>
    </row>
    <row r="216" spans="22:23">
      <c r="V216" t="s">
        <v>191</v>
      </c>
      <c r="W216" s="11">
        <v>22898.85</v>
      </c>
    </row>
    <row r="217" spans="22:23">
      <c r="V217" t="s">
        <v>170</v>
      </c>
      <c r="W217" s="11">
        <v>22758.15</v>
      </c>
    </row>
    <row r="218" spans="22:23">
      <c r="V218" t="s">
        <v>1499</v>
      </c>
      <c r="W218" s="11">
        <v>22687.43</v>
      </c>
    </row>
    <row r="219" spans="22:23">
      <c r="V219" t="s">
        <v>1309</v>
      </c>
      <c r="W219" s="11">
        <v>22631.95</v>
      </c>
    </row>
    <row r="220" spans="22:23">
      <c r="V220" t="s">
        <v>108</v>
      </c>
      <c r="W220" s="11">
        <v>22588.75</v>
      </c>
    </row>
    <row r="221" spans="22:23">
      <c r="V221" t="s">
        <v>1282</v>
      </c>
      <c r="W221" s="11">
        <v>22397.5</v>
      </c>
    </row>
    <row r="222" spans="22:23">
      <c r="V222" t="s">
        <v>445</v>
      </c>
      <c r="W222" s="11">
        <v>22374.620000000003</v>
      </c>
    </row>
    <row r="223" spans="22:23">
      <c r="V223" t="s">
        <v>136</v>
      </c>
      <c r="W223" s="11">
        <v>22320.22</v>
      </c>
    </row>
    <row r="224" spans="22:23">
      <c r="V224" t="s">
        <v>1376</v>
      </c>
      <c r="W224" s="11">
        <v>22310.059999999998</v>
      </c>
    </row>
    <row r="225" spans="22:23">
      <c r="V225" t="s">
        <v>1364</v>
      </c>
      <c r="W225" s="11">
        <v>22249.54</v>
      </c>
    </row>
    <row r="226" spans="22:23">
      <c r="V226" t="s">
        <v>369</v>
      </c>
      <c r="W226" s="11">
        <v>22246.52</v>
      </c>
    </row>
    <row r="227" spans="22:23">
      <c r="V227" t="s">
        <v>507</v>
      </c>
      <c r="W227" s="11">
        <v>22096.82</v>
      </c>
    </row>
    <row r="228" spans="22:23">
      <c r="V228" t="s">
        <v>101</v>
      </c>
      <c r="W228" s="11">
        <v>22072.82</v>
      </c>
    </row>
    <row r="229" spans="22:23">
      <c r="V229" t="s">
        <v>306</v>
      </c>
      <c r="W229" s="11">
        <v>22034.6</v>
      </c>
    </row>
    <row r="230" spans="22:23">
      <c r="V230" t="s">
        <v>619</v>
      </c>
      <c r="W230" s="11">
        <v>21990.22</v>
      </c>
    </row>
    <row r="231" spans="22:23">
      <c r="V231" t="s">
        <v>378</v>
      </c>
      <c r="W231" s="11">
        <v>21987.059999999998</v>
      </c>
    </row>
    <row r="232" spans="22:23">
      <c r="V232" t="s">
        <v>472</v>
      </c>
      <c r="W232" s="11">
        <v>21948.379999999997</v>
      </c>
    </row>
    <row r="233" spans="22:23">
      <c r="V233" t="s">
        <v>703</v>
      </c>
      <c r="W233" s="11">
        <v>21891.8</v>
      </c>
    </row>
    <row r="234" spans="22:23">
      <c r="V234" t="s">
        <v>452</v>
      </c>
      <c r="W234" s="11">
        <v>21792.080000000002</v>
      </c>
    </row>
    <row r="235" spans="22:23">
      <c r="V235" t="s">
        <v>625</v>
      </c>
      <c r="W235" s="11">
        <v>21735.46</v>
      </c>
    </row>
    <row r="236" spans="22:23">
      <c r="V236" t="s">
        <v>271</v>
      </c>
      <c r="W236" s="11">
        <v>21596.46</v>
      </c>
    </row>
    <row r="237" spans="22:23">
      <c r="V237" t="s">
        <v>1267</v>
      </c>
      <c r="W237" s="11">
        <v>21255.78</v>
      </c>
    </row>
    <row r="238" spans="22:23">
      <c r="V238" t="s">
        <v>679</v>
      </c>
      <c r="W238" s="11">
        <v>21117.9</v>
      </c>
    </row>
    <row r="239" spans="22:23">
      <c r="V239" t="s">
        <v>731</v>
      </c>
      <c r="W239" s="11">
        <v>21110.959999999999</v>
      </c>
    </row>
    <row r="240" spans="22:23">
      <c r="V240" t="s">
        <v>433</v>
      </c>
      <c r="W240" s="11">
        <v>20979.38</v>
      </c>
    </row>
    <row r="241" spans="22:23">
      <c r="V241" t="s">
        <v>561</v>
      </c>
      <c r="W241" s="11">
        <v>20929.48</v>
      </c>
    </row>
    <row r="242" spans="22:23">
      <c r="V242" t="s">
        <v>1625</v>
      </c>
      <c r="W242" s="11">
        <v>20903.25</v>
      </c>
    </row>
    <row r="243" spans="22:23">
      <c r="V243" t="s">
        <v>690</v>
      </c>
      <c r="W243" s="11">
        <v>20705.2</v>
      </c>
    </row>
    <row r="244" spans="22:23">
      <c r="V244" t="s">
        <v>1127</v>
      </c>
      <c r="W244" s="11">
        <v>20654.88</v>
      </c>
    </row>
    <row r="245" spans="22:23">
      <c r="V245" t="s">
        <v>104</v>
      </c>
      <c r="W245" s="11">
        <v>20526.22</v>
      </c>
    </row>
    <row r="246" spans="22:23">
      <c r="V246" t="s">
        <v>1219</v>
      </c>
      <c r="W246" s="11">
        <v>20489.97</v>
      </c>
    </row>
    <row r="247" spans="22:23">
      <c r="V247" t="s">
        <v>1167</v>
      </c>
      <c r="W247" s="11">
        <v>20411.73</v>
      </c>
    </row>
    <row r="248" spans="22:23">
      <c r="V248" t="s">
        <v>286</v>
      </c>
      <c r="W248" s="11">
        <v>20381.43</v>
      </c>
    </row>
    <row r="249" spans="22:23">
      <c r="V249" t="s">
        <v>497</v>
      </c>
      <c r="W249" s="11">
        <v>20342.849999999999</v>
      </c>
    </row>
    <row r="250" spans="22:23">
      <c r="V250" t="s">
        <v>931</v>
      </c>
      <c r="W250" s="11">
        <v>20209.310000000001</v>
      </c>
    </row>
    <row r="251" spans="22:23">
      <c r="V251" t="s">
        <v>1366</v>
      </c>
      <c r="W251" s="11">
        <v>20106.900000000001</v>
      </c>
    </row>
    <row r="252" spans="22:23">
      <c r="V252" t="s">
        <v>245</v>
      </c>
      <c r="W252" s="11">
        <v>19941.690000000002</v>
      </c>
    </row>
    <row r="253" spans="22:23">
      <c r="V253" t="s">
        <v>734</v>
      </c>
      <c r="W253" s="11">
        <v>19898.79</v>
      </c>
    </row>
    <row r="254" spans="22:23">
      <c r="V254" t="s">
        <v>76</v>
      </c>
      <c r="W254" s="11">
        <v>19845.689999999999</v>
      </c>
    </row>
    <row r="255" spans="22:23">
      <c r="V255" t="s">
        <v>573</v>
      </c>
      <c r="W255" s="11">
        <v>19762.580000000002</v>
      </c>
    </row>
    <row r="256" spans="22:23">
      <c r="V256" t="s">
        <v>363</v>
      </c>
      <c r="W256" s="11">
        <v>19736.21</v>
      </c>
    </row>
    <row r="257" spans="22:23">
      <c r="V257" t="s">
        <v>621</v>
      </c>
      <c r="W257" s="11">
        <v>19680.739999999998</v>
      </c>
    </row>
    <row r="258" spans="22:23">
      <c r="V258" t="s">
        <v>651</v>
      </c>
      <c r="W258" s="11">
        <v>19506.46</v>
      </c>
    </row>
    <row r="259" spans="22:23">
      <c r="V259" t="s">
        <v>607</v>
      </c>
      <c r="W259" s="11">
        <v>19375.990000000002</v>
      </c>
    </row>
    <row r="260" spans="22:23">
      <c r="V260" t="s">
        <v>833</v>
      </c>
      <c r="W260" s="11">
        <v>19357.879999999997</v>
      </c>
    </row>
    <row r="261" spans="22:23">
      <c r="V261" t="s">
        <v>1066</v>
      </c>
      <c r="W261" s="11">
        <v>19320.39</v>
      </c>
    </row>
    <row r="262" spans="22:23">
      <c r="V262" t="s">
        <v>1170</v>
      </c>
      <c r="W262" s="11">
        <v>19025.440000000002</v>
      </c>
    </row>
    <row r="263" spans="22:23">
      <c r="V263" t="s">
        <v>553</v>
      </c>
      <c r="W263" s="11">
        <v>18905.78</v>
      </c>
    </row>
    <row r="264" spans="22:23">
      <c r="V264" t="s">
        <v>1002</v>
      </c>
      <c r="W264" s="11">
        <v>18868.099999999999</v>
      </c>
    </row>
    <row r="265" spans="22:23">
      <c r="V265" t="s">
        <v>1412</v>
      </c>
      <c r="W265" s="11">
        <v>18833.68</v>
      </c>
    </row>
    <row r="266" spans="22:23">
      <c r="V266" t="s">
        <v>527</v>
      </c>
      <c r="W266" s="11">
        <v>18770.97</v>
      </c>
    </row>
    <row r="267" spans="22:23">
      <c r="V267" t="s">
        <v>822</v>
      </c>
      <c r="W267" s="11">
        <v>18507.740000000002</v>
      </c>
    </row>
    <row r="268" spans="22:23">
      <c r="V268" t="s">
        <v>418</v>
      </c>
      <c r="W268" s="11">
        <v>18476.64</v>
      </c>
    </row>
    <row r="269" spans="22:23">
      <c r="V269" t="s">
        <v>220</v>
      </c>
      <c r="W269" s="11">
        <v>18462.39</v>
      </c>
    </row>
    <row r="270" spans="22:23">
      <c r="V270" t="s">
        <v>775</v>
      </c>
      <c r="W270" s="11">
        <v>18405.22</v>
      </c>
    </row>
    <row r="271" spans="22:23">
      <c r="V271" t="s">
        <v>1121</v>
      </c>
      <c r="W271" s="11">
        <v>18403</v>
      </c>
    </row>
    <row r="272" spans="22:23">
      <c r="V272" t="s">
        <v>824</v>
      </c>
      <c r="W272" s="11">
        <v>18381.599999999999</v>
      </c>
    </row>
    <row r="273" spans="22:23">
      <c r="V273" t="s">
        <v>408</v>
      </c>
      <c r="W273" s="11">
        <v>18176.439999999999</v>
      </c>
    </row>
    <row r="274" spans="22:23">
      <c r="V274" t="s">
        <v>642</v>
      </c>
      <c r="W274" s="11">
        <v>18157.75</v>
      </c>
    </row>
    <row r="275" spans="22:23">
      <c r="V275" t="s">
        <v>750</v>
      </c>
      <c r="W275" s="11">
        <v>17999.489999999998</v>
      </c>
    </row>
    <row r="276" spans="22:23">
      <c r="V276" t="s">
        <v>1270</v>
      </c>
      <c r="W276" s="11">
        <v>17994.91</v>
      </c>
    </row>
    <row r="277" spans="22:23">
      <c r="V277" t="s">
        <v>515</v>
      </c>
      <c r="W277" s="11">
        <v>17761.07</v>
      </c>
    </row>
    <row r="278" spans="22:23">
      <c r="V278" t="s">
        <v>685</v>
      </c>
      <c r="W278" s="11">
        <v>17624.97</v>
      </c>
    </row>
    <row r="279" spans="22:23">
      <c r="V279" t="s">
        <v>695</v>
      </c>
      <c r="W279" s="11">
        <v>17571.68</v>
      </c>
    </row>
    <row r="280" spans="22:23">
      <c r="V280" t="s">
        <v>88</v>
      </c>
      <c r="W280" s="11">
        <v>17306.41</v>
      </c>
    </row>
    <row r="281" spans="22:23">
      <c r="V281" t="s">
        <v>376</v>
      </c>
      <c r="W281" s="11">
        <v>17130.239999999998</v>
      </c>
    </row>
    <row r="282" spans="22:23">
      <c r="V282" t="s">
        <v>69</v>
      </c>
      <c r="W282" s="11">
        <v>17091.48</v>
      </c>
    </row>
    <row r="283" spans="22:23">
      <c r="V283" t="s">
        <v>1010</v>
      </c>
      <c r="W283" s="11">
        <v>17058.830000000002</v>
      </c>
    </row>
    <row r="284" spans="22:23">
      <c r="V284" t="s">
        <v>1475</v>
      </c>
      <c r="W284" s="11">
        <v>17052.72</v>
      </c>
    </row>
    <row r="285" spans="22:23">
      <c r="V285" t="s">
        <v>1214</v>
      </c>
      <c r="W285" s="11">
        <v>17014.54</v>
      </c>
    </row>
    <row r="286" spans="22:23">
      <c r="V286" t="s">
        <v>1453</v>
      </c>
      <c r="W286" s="11">
        <v>16915.93</v>
      </c>
    </row>
    <row r="287" spans="22:23">
      <c r="V287" t="s">
        <v>1354</v>
      </c>
      <c r="W287" s="11">
        <v>16891.900000000001</v>
      </c>
    </row>
    <row r="288" spans="22:23">
      <c r="V288" t="s">
        <v>1501</v>
      </c>
      <c r="W288" s="11">
        <v>16871.400000000001</v>
      </c>
    </row>
    <row r="289" spans="22:23">
      <c r="V289" t="s">
        <v>499</v>
      </c>
      <c r="W289" s="11">
        <v>16790.989999999998</v>
      </c>
    </row>
    <row r="290" spans="22:23">
      <c r="V290" t="s">
        <v>405</v>
      </c>
      <c r="W290" s="11">
        <v>16681.060000000001</v>
      </c>
    </row>
    <row r="291" spans="22:23">
      <c r="V291" t="s">
        <v>511</v>
      </c>
      <c r="W291" s="11">
        <v>16542.809999999998</v>
      </c>
    </row>
    <row r="292" spans="22:23">
      <c r="V292" t="s">
        <v>1210</v>
      </c>
      <c r="W292" s="11">
        <v>16532.259999999998</v>
      </c>
    </row>
    <row r="293" spans="22:23">
      <c r="V293" t="s">
        <v>470</v>
      </c>
      <c r="W293" s="11">
        <v>16527.169999999998</v>
      </c>
    </row>
    <row r="294" spans="22:23">
      <c r="V294" t="s">
        <v>431</v>
      </c>
      <c r="W294" s="11">
        <v>16347.86</v>
      </c>
    </row>
    <row r="295" spans="22:23">
      <c r="V295" t="s">
        <v>936</v>
      </c>
      <c r="W295" s="11">
        <v>16256.23</v>
      </c>
    </row>
    <row r="296" spans="22:23">
      <c r="V296" t="s">
        <v>575</v>
      </c>
      <c r="W296" s="11">
        <v>16230.06</v>
      </c>
    </row>
    <row r="297" spans="22:23">
      <c r="V297" t="s">
        <v>217</v>
      </c>
      <c r="W297" s="11">
        <v>16179.930000000002</v>
      </c>
    </row>
    <row r="298" spans="22:23">
      <c r="V298" t="s">
        <v>986</v>
      </c>
      <c r="W298" s="11">
        <v>15842.84</v>
      </c>
    </row>
    <row r="299" spans="22:23">
      <c r="V299" t="s">
        <v>308</v>
      </c>
      <c r="W299" s="11">
        <v>15830.43</v>
      </c>
    </row>
    <row r="300" spans="22:23">
      <c r="V300" t="s">
        <v>519</v>
      </c>
      <c r="W300" s="11">
        <v>15497</v>
      </c>
    </row>
    <row r="301" spans="22:23">
      <c r="V301" t="s">
        <v>480</v>
      </c>
      <c r="W301" s="11">
        <v>15451.25</v>
      </c>
    </row>
    <row r="302" spans="22:23">
      <c r="V302" t="s">
        <v>1052</v>
      </c>
      <c r="W302" s="11">
        <v>15391.17</v>
      </c>
    </row>
    <row r="303" spans="22:23">
      <c r="V303" t="s">
        <v>1083</v>
      </c>
      <c r="W303" s="11">
        <v>15012.310000000001</v>
      </c>
    </row>
    <row r="304" spans="22:23">
      <c r="V304" t="s">
        <v>1007</v>
      </c>
      <c r="W304" s="11">
        <v>14785.34</v>
      </c>
    </row>
    <row r="305" spans="22:23">
      <c r="V305" t="s">
        <v>634</v>
      </c>
      <c r="W305" s="11">
        <v>14649.57</v>
      </c>
    </row>
    <row r="306" spans="22:23">
      <c r="V306" t="s">
        <v>579</v>
      </c>
      <c r="W306" s="11">
        <v>14637.95</v>
      </c>
    </row>
    <row r="307" spans="22:23">
      <c r="V307" t="s">
        <v>443</v>
      </c>
      <c r="W307" s="11">
        <v>14479.41</v>
      </c>
    </row>
    <row r="308" spans="22:23">
      <c r="V308" t="s">
        <v>1034</v>
      </c>
      <c r="W308" s="11">
        <v>14461</v>
      </c>
    </row>
    <row r="309" spans="22:23">
      <c r="V309" t="s">
        <v>1738</v>
      </c>
      <c r="W309" s="11">
        <v>14399.8</v>
      </c>
    </row>
    <row r="310" spans="22:23">
      <c r="V310" t="s">
        <v>254</v>
      </c>
      <c r="W310" s="11">
        <v>14385.65</v>
      </c>
    </row>
    <row r="311" spans="22:23">
      <c r="V311" t="s">
        <v>538</v>
      </c>
      <c r="W311" s="11">
        <v>14358.930000000002</v>
      </c>
    </row>
    <row r="312" spans="22:23">
      <c r="V312" t="s">
        <v>207</v>
      </c>
      <c r="W312" s="11">
        <v>14347.480000000001</v>
      </c>
    </row>
    <row r="313" spans="22:23">
      <c r="V313" t="s">
        <v>885</v>
      </c>
      <c r="W313" s="11">
        <v>14342.24</v>
      </c>
    </row>
    <row r="314" spans="22:23">
      <c r="V314" t="s">
        <v>146</v>
      </c>
      <c r="W314" s="11">
        <v>14301.95</v>
      </c>
    </row>
    <row r="315" spans="22:23">
      <c r="V315" t="s">
        <v>923</v>
      </c>
      <c r="W315" s="11">
        <v>14162.88</v>
      </c>
    </row>
    <row r="316" spans="22:23">
      <c r="V316" t="s">
        <v>203</v>
      </c>
      <c r="W316" s="11">
        <v>14162.1</v>
      </c>
    </row>
    <row r="317" spans="22:23">
      <c r="V317" t="s">
        <v>729</v>
      </c>
      <c r="W317" s="11">
        <v>14151.11</v>
      </c>
    </row>
    <row r="318" spans="22:23">
      <c r="V318" t="s">
        <v>939</v>
      </c>
      <c r="W318" s="11">
        <v>14120.98</v>
      </c>
    </row>
    <row r="319" spans="22:23">
      <c r="V319" t="s">
        <v>1187</v>
      </c>
      <c r="W319" s="11">
        <v>14064.9</v>
      </c>
    </row>
    <row r="320" spans="22:23">
      <c r="V320" t="s">
        <v>1658</v>
      </c>
      <c r="W320" s="11">
        <v>13980.2</v>
      </c>
    </row>
    <row r="321" spans="22:23">
      <c r="V321" t="s">
        <v>236</v>
      </c>
      <c r="W321" s="11">
        <v>13967.1</v>
      </c>
    </row>
    <row r="322" spans="22:23">
      <c r="V322" t="s">
        <v>276</v>
      </c>
      <c r="W322" s="11">
        <v>13933.44</v>
      </c>
    </row>
    <row r="323" spans="22:23">
      <c r="V323" t="s">
        <v>806</v>
      </c>
      <c r="W323" s="11">
        <v>13867.64</v>
      </c>
    </row>
    <row r="324" spans="22:23">
      <c r="V324" t="s">
        <v>670</v>
      </c>
      <c r="W324" s="11">
        <v>13852.710000000001</v>
      </c>
    </row>
    <row r="325" spans="22:23">
      <c r="V325" t="s">
        <v>348</v>
      </c>
      <c r="W325" s="11">
        <v>13833.060000000001</v>
      </c>
    </row>
    <row r="326" spans="22:23">
      <c r="V326" t="s">
        <v>1016</v>
      </c>
      <c r="W326" s="11">
        <v>13772.939999999999</v>
      </c>
    </row>
    <row r="327" spans="22:23">
      <c r="V327" t="s">
        <v>326</v>
      </c>
      <c r="W327" s="11">
        <v>13726.1</v>
      </c>
    </row>
    <row r="328" spans="22:23">
      <c r="V328" t="s">
        <v>1243</v>
      </c>
      <c r="W328" s="11">
        <v>13701.869999999999</v>
      </c>
    </row>
    <row r="329" spans="22:23">
      <c r="V329" t="s">
        <v>1301</v>
      </c>
      <c r="W329" s="11">
        <v>13696.62</v>
      </c>
    </row>
    <row r="330" spans="22:23">
      <c r="V330" t="s">
        <v>399</v>
      </c>
      <c r="W330" s="11">
        <v>13672.15</v>
      </c>
    </row>
    <row r="331" spans="22:23">
      <c r="V331" t="s">
        <v>934</v>
      </c>
      <c r="W331" s="11">
        <v>13619.11</v>
      </c>
    </row>
    <row r="332" spans="22:23">
      <c r="V332" t="s">
        <v>941</v>
      </c>
      <c r="W332" s="11">
        <v>13615.89</v>
      </c>
    </row>
    <row r="333" spans="22:23">
      <c r="V333" t="s">
        <v>504</v>
      </c>
      <c r="W333" s="11">
        <v>13561.1</v>
      </c>
    </row>
    <row r="334" spans="22:23">
      <c r="V334" t="s">
        <v>718</v>
      </c>
      <c r="W334" s="11">
        <v>13546.4</v>
      </c>
    </row>
    <row r="335" spans="22:23">
      <c r="V335" t="s">
        <v>337</v>
      </c>
      <c r="W335" s="11">
        <v>13542</v>
      </c>
    </row>
    <row r="336" spans="22:23">
      <c r="V336" t="s">
        <v>954</v>
      </c>
      <c r="W336" s="11">
        <v>13506.76</v>
      </c>
    </row>
    <row r="337" spans="22:23">
      <c r="V337" t="s">
        <v>256</v>
      </c>
      <c r="W337" s="11">
        <v>13485.61</v>
      </c>
    </row>
    <row r="338" spans="22:23">
      <c r="V338" t="s">
        <v>330</v>
      </c>
      <c r="W338" s="11">
        <v>13368.95</v>
      </c>
    </row>
    <row r="339" spans="22:23">
      <c r="V339" t="s">
        <v>716</v>
      </c>
      <c r="W339" s="11">
        <v>13114.509999999998</v>
      </c>
    </row>
    <row r="340" spans="22:23">
      <c r="V340" t="s">
        <v>435</v>
      </c>
      <c r="W340" s="11">
        <v>12990.16</v>
      </c>
    </row>
    <row r="341" spans="22:23">
      <c r="V341" t="s">
        <v>389</v>
      </c>
      <c r="W341" s="11">
        <v>12921.57</v>
      </c>
    </row>
    <row r="342" spans="22:23">
      <c r="V342" t="s">
        <v>1752</v>
      </c>
      <c r="W342" s="11">
        <v>12902.6</v>
      </c>
    </row>
    <row r="343" spans="22:23">
      <c r="V343" t="s">
        <v>517</v>
      </c>
      <c r="W343" s="11">
        <v>12746</v>
      </c>
    </row>
    <row r="344" spans="22:23">
      <c r="V344" t="s">
        <v>943</v>
      </c>
      <c r="W344" s="11">
        <v>12502.35</v>
      </c>
    </row>
    <row r="345" spans="22:23">
      <c r="V345" t="s">
        <v>269</v>
      </c>
      <c r="W345" s="11">
        <v>12369.470000000001</v>
      </c>
    </row>
    <row r="346" spans="22:23">
      <c r="V346" t="s">
        <v>909</v>
      </c>
      <c r="W346" s="11">
        <v>12311.779999999999</v>
      </c>
    </row>
    <row r="347" spans="22:23">
      <c r="V347" t="s">
        <v>602</v>
      </c>
      <c r="W347" s="11">
        <v>12274.970000000001</v>
      </c>
    </row>
    <row r="348" spans="22:23">
      <c r="V348" t="s">
        <v>1313</v>
      </c>
      <c r="W348" s="11">
        <v>12232.43</v>
      </c>
    </row>
    <row r="349" spans="22:23">
      <c r="V349" t="s">
        <v>314</v>
      </c>
      <c r="W349" s="11">
        <v>12216.2</v>
      </c>
    </row>
    <row r="350" spans="22:23">
      <c r="V350" t="s">
        <v>1380</v>
      </c>
      <c r="W350" s="11">
        <v>12205.22</v>
      </c>
    </row>
    <row r="351" spans="22:23">
      <c r="V351" t="s">
        <v>611</v>
      </c>
      <c r="W351" s="11">
        <v>11973.27</v>
      </c>
    </row>
    <row r="352" spans="22:23">
      <c r="V352" t="s">
        <v>659</v>
      </c>
      <c r="W352" s="11">
        <v>11945.65</v>
      </c>
    </row>
    <row r="353" spans="22:23">
      <c r="V353" t="s">
        <v>509</v>
      </c>
      <c r="W353" s="11">
        <v>11943.18</v>
      </c>
    </row>
    <row r="354" spans="22:23">
      <c r="V354" t="s">
        <v>692</v>
      </c>
      <c r="W354" s="11">
        <v>11882.57</v>
      </c>
    </row>
    <row r="355" spans="22:23">
      <c r="V355" t="s">
        <v>489</v>
      </c>
      <c r="W355" s="11">
        <v>11657.79</v>
      </c>
    </row>
    <row r="356" spans="22:23">
      <c r="V356" t="s">
        <v>239</v>
      </c>
      <c r="W356" s="11">
        <v>11550.15</v>
      </c>
    </row>
    <row r="357" spans="22:23">
      <c r="V357" t="s">
        <v>354</v>
      </c>
      <c r="W357" s="11">
        <v>11531.5</v>
      </c>
    </row>
    <row r="358" spans="22:23">
      <c r="V358" t="s">
        <v>252</v>
      </c>
      <c r="W358" s="11">
        <v>11471.06</v>
      </c>
    </row>
    <row r="359" spans="22:23">
      <c r="V359" t="s">
        <v>802</v>
      </c>
      <c r="W359" s="11">
        <v>11424.28</v>
      </c>
    </row>
    <row r="360" spans="22:23">
      <c r="V360" t="s">
        <v>385</v>
      </c>
      <c r="W360" s="11">
        <v>11326.66</v>
      </c>
    </row>
    <row r="361" spans="22:23">
      <c r="V361" t="s">
        <v>564</v>
      </c>
      <c r="W361" s="11">
        <v>11271.33</v>
      </c>
    </row>
    <row r="362" spans="22:23">
      <c r="V362" t="s">
        <v>962</v>
      </c>
      <c r="W362" s="11">
        <v>11265.23</v>
      </c>
    </row>
    <row r="363" spans="22:23">
      <c r="V363" t="s">
        <v>646</v>
      </c>
      <c r="W363" s="11">
        <v>11249.69</v>
      </c>
    </row>
    <row r="364" spans="22:23">
      <c r="V364" t="s">
        <v>1671</v>
      </c>
      <c r="W364" s="11">
        <v>11224.8</v>
      </c>
    </row>
    <row r="365" spans="22:23">
      <c r="V365" t="s">
        <v>332</v>
      </c>
      <c r="W365" s="11">
        <v>11170.849999999999</v>
      </c>
    </row>
    <row r="366" spans="22:23">
      <c r="V366" t="s">
        <v>837</v>
      </c>
      <c r="W366" s="11">
        <v>11137.029999999999</v>
      </c>
    </row>
    <row r="367" spans="22:23">
      <c r="V367" t="s">
        <v>1184</v>
      </c>
      <c r="W367" s="11">
        <v>11086.07</v>
      </c>
    </row>
    <row r="368" spans="22:23">
      <c r="V368" t="s">
        <v>502</v>
      </c>
      <c r="W368" s="11">
        <v>10946.79</v>
      </c>
    </row>
    <row r="369" spans="22:23">
      <c r="V369" t="s">
        <v>667</v>
      </c>
      <c r="W369" s="11">
        <v>10881.99</v>
      </c>
    </row>
    <row r="370" spans="22:23">
      <c r="V370" t="s">
        <v>1410</v>
      </c>
      <c r="W370" s="11">
        <v>10751.26</v>
      </c>
    </row>
    <row r="371" spans="22:23">
      <c r="V371" t="s">
        <v>155</v>
      </c>
      <c r="W371" s="11">
        <v>10709.39</v>
      </c>
    </row>
    <row r="372" spans="22:23">
      <c r="V372" t="s">
        <v>630</v>
      </c>
      <c r="W372" s="11">
        <v>10648.84</v>
      </c>
    </row>
    <row r="373" spans="22:23">
      <c r="V373" t="s">
        <v>1438</v>
      </c>
      <c r="W373" s="11">
        <v>10564.19</v>
      </c>
    </row>
    <row r="374" spans="22:23">
      <c r="V374" t="s">
        <v>65</v>
      </c>
      <c r="W374" s="11">
        <v>10515.57</v>
      </c>
    </row>
    <row r="375" spans="22:23">
      <c r="V375" t="s">
        <v>91</v>
      </c>
      <c r="W375" s="11">
        <v>10391.870000000001</v>
      </c>
    </row>
    <row r="376" spans="22:23">
      <c r="V376" t="s">
        <v>1250</v>
      </c>
      <c r="W376" s="11">
        <v>10352.61</v>
      </c>
    </row>
    <row r="377" spans="22:23">
      <c r="V377" t="s">
        <v>261</v>
      </c>
      <c r="W377" s="11">
        <v>10305.41</v>
      </c>
    </row>
    <row r="378" spans="22:23">
      <c r="V378" t="s">
        <v>1360</v>
      </c>
      <c r="W378" s="11">
        <v>10105.01</v>
      </c>
    </row>
    <row r="379" spans="22:23">
      <c r="V379" t="s">
        <v>990</v>
      </c>
      <c r="W379" s="11">
        <v>10073.48</v>
      </c>
    </row>
    <row r="380" spans="22:23">
      <c r="V380" t="s">
        <v>226</v>
      </c>
      <c r="W380" s="11">
        <v>9962.4699999999993</v>
      </c>
    </row>
    <row r="381" spans="22:23">
      <c r="V381" t="s">
        <v>1421</v>
      </c>
      <c r="W381" s="11">
        <v>9891.92</v>
      </c>
    </row>
    <row r="382" spans="22:23">
      <c r="V382" t="s">
        <v>1383</v>
      </c>
      <c r="W382" s="11">
        <v>9864.5999999999985</v>
      </c>
    </row>
    <row r="383" spans="22:23">
      <c r="V383" t="s">
        <v>1040</v>
      </c>
      <c r="W383" s="11">
        <v>9554.2199999999993</v>
      </c>
    </row>
    <row r="384" spans="22:23">
      <c r="V384" t="s">
        <v>756</v>
      </c>
      <c r="W384" s="11">
        <v>9465.18</v>
      </c>
    </row>
    <row r="385" spans="22:23">
      <c r="V385" t="s">
        <v>31</v>
      </c>
      <c r="W385" s="11">
        <v>9392.15</v>
      </c>
    </row>
    <row r="386" spans="22:23">
      <c r="V386" t="s">
        <v>764</v>
      </c>
      <c r="W386" s="11">
        <v>9312.6200000000008</v>
      </c>
    </row>
    <row r="387" spans="22:23">
      <c r="V387" t="s">
        <v>974</v>
      </c>
      <c r="W387" s="11">
        <v>9290.0499999999993</v>
      </c>
    </row>
    <row r="388" spans="22:23">
      <c r="V388" t="s">
        <v>1725</v>
      </c>
      <c r="W388" s="11">
        <v>9219.5400000000009</v>
      </c>
    </row>
    <row r="389" spans="22:23">
      <c r="V389" t="s">
        <v>1633</v>
      </c>
      <c r="W389" s="11">
        <v>9139.1</v>
      </c>
    </row>
    <row r="390" spans="22:23">
      <c r="V390" t="s">
        <v>1718</v>
      </c>
      <c r="W390" s="11">
        <v>9120.8700000000008</v>
      </c>
    </row>
    <row r="391" spans="22:23">
      <c r="V391" t="s">
        <v>784</v>
      </c>
      <c r="W391" s="11">
        <v>8980.24</v>
      </c>
    </row>
    <row r="392" spans="22:23">
      <c r="V392" t="s">
        <v>588</v>
      </c>
      <c r="W392" s="11">
        <v>8608.16</v>
      </c>
    </row>
    <row r="393" spans="22:23">
      <c r="V393" t="s">
        <v>1542</v>
      </c>
      <c r="W393" s="11">
        <v>8607.3799999999992</v>
      </c>
    </row>
    <row r="394" spans="22:23">
      <c r="V394" t="s">
        <v>1521</v>
      </c>
      <c r="W394" s="11">
        <v>8601.2199999999993</v>
      </c>
    </row>
    <row r="395" spans="22:23">
      <c r="V395" t="s">
        <v>791</v>
      </c>
      <c r="W395" s="11">
        <v>8591.7200000000012</v>
      </c>
    </row>
    <row r="396" spans="22:23">
      <c r="V396" t="s">
        <v>1486</v>
      </c>
      <c r="W396" s="11">
        <v>8579.81</v>
      </c>
    </row>
    <row r="397" spans="22:23">
      <c r="V397" t="s">
        <v>1342</v>
      </c>
      <c r="W397" s="11">
        <v>8564.69</v>
      </c>
    </row>
    <row r="398" spans="22:23">
      <c r="V398" t="s">
        <v>1357</v>
      </c>
      <c r="W398" s="11">
        <v>8456.25</v>
      </c>
    </row>
    <row r="399" spans="22:23">
      <c r="V399" t="s">
        <v>998</v>
      </c>
      <c r="W399" s="11">
        <v>8406.7000000000007</v>
      </c>
    </row>
    <row r="400" spans="22:23">
      <c r="V400" t="s">
        <v>1203</v>
      </c>
      <c r="W400" s="11">
        <v>8373.33</v>
      </c>
    </row>
    <row r="401" spans="22:23">
      <c r="V401" t="s">
        <v>758</v>
      </c>
      <c r="W401" s="11">
        <v>8348.02</v>
      </c>
    </row>
    <row r="402" spans="22:23">
      <c r="V402" t="s">
        <v>1432</v>
      </c>
      <c r="W402" s="11">
        <v>8347.19</v>
      </c>
    </row>
    <row r="403" spans="22:23">
      <c r="V403" t="s">
        <v>1297</v>
      </c>
      <c r="W403" s="11">
        <v>8292.33</v>
      </c>
    </row>
    <row r="404" spans="22:23">
      <c r="V404" t="s">
        <v>657</v>
      </c>
      <c r="W404" s="11">
        <v>8229.74</v>
      </c>
    </row>
    <row r="405" spans="22:23">
      <c r="V405" t="s">
        <v>1544</v>
      </c>
      <c r="W405" s="11">
        <v>8188.99</v>
      </c>
    </row>
    <row r="406" spans="22:23">
      <c r="V406" t="s">
        <v>320</v>
      </c>
      <c r="W406" s="11">
        <v>8097.01</v>
      </c>
    </row>
    <row r="407" spans="22:23">
      <c r="V407" t="s">
        <v>956</v>
      </c>
      <c r="W407" s="11">
        <v>8058.7199999999993</v>
      </c>
    </row>
    <row r="408" spans="22:23">
      <c r="V408" t="s">
        <v>1461</v>
      </c>
      <c r="W408" s="11">
        <v>7784.37</v>
      </c>
    </row>
    <row r="409" spans="22:23">
      <c r="V409" t="s">
        <v>1478</v>
      </c>
      <c r="W409" s="11">
        <v>7671.73</v>
      </c>
    </row>
    <row r="410" spans="22:23">
      <c r="V410" t="s">
        <v>1129</v>
      </c>
      <c r="W410" s="11">
        <v>7581.95</v>
      </c>
    </row>
    <row r="411" spans="22:23">
      <c r="V411" t="s">
        <v>1577</v>
      </c>
      <c r="W411" s="11">
        <v>7529.44</v>
      </c>
    </row>
    <row r="412" spans="22:23">
      <c r="V412" t="s">
        <v>424</v>
      </c>
      <c r="W412" s="11">
        <v>7327.08</v>
      </c>
    </row>
    <row r="413" spans="22:23">
      <c r="V413" t="s">
        <v>168</v>
      </c>
      <c r="W413" s="11">
        <v>7307.62</v>
      </c>
    </row>
    <row r="414" spans="22:23">
      <c r="V414" t="s">
        <v>839</v>
      </c>
      <c r="W414" s="11">
        <v>7297.63</v>
      </c>
    </row>
    <row r="415" spans="22:23">
      <c r="V415" t="s">
        <v>1131</v>
      </c>
      <c r="W415" s="11">
        <v>7120.06</v>
      </c>
    </row>
    <row r="416" spans="22:23">
      <c r="V416" t="s">
        <v>1332</v>
      </c>
      <c r="W416" s="11">
        <v>7084.74</v>
      </c>
    </row>
    <row r="417" spans="22:23">
      <c r="V417" t="s">
        <v>849</v>
      </c>
      <c r="W417" s="11">
        <v>6942.25</v>
      </c>
    </row>
    <row r="418" spans="22:23">
      <c r="V418" t="s">
        <v>964</v>
      </c>
      <c r="W418" s="11">
        <v>6767.64</v>
      </c>
    </row>
    <row r="419" spans="22:23">
      <c r="V419" t="s">
        <v>1116</v>
      </c>
      <c r="W419" s="11">
        <v>6704.81</v>
      </c>
    </row>
    <row r="420" spans="22:23">
      <c r="V420" t="s">
        <v>903</v>
      </c>
      <c r="W420" s="11">
        <v>6697.8799999999992</v>
      </c>
    </row>
    <row r="421" spans="22:23">
      <c r="V421" t="s">
        <v>1239</v>
      </c>
      <c r="W421" s="11">
        <v>6682.38</v>
      </c>
    </row>
    <row r="422" spans="22:23">
      <c r="V422" t="s">
        <v>339</v>
      </c>
      <c r="W422" s="11">
        <v>6636.46</v>
      </c>
    </row>
    <row r="423" spans="22:23">
      <c r="V423" t="s">
        <v>569</v>
      </c>
      <c r="W423" s="11">
        <v>6632.23</v>
      </c>
    </row>
    <row r="424" spans="22:23">
      <c r="V424" t="s">
        <v>1176</v>
      </c>
      <c r="W424" s="11">
        <v>6493.82</v>
      </c>
    </row>
    <row r="425" spans="22:23">
      <c r="V425" t="s">
        <v>106</v>
      </c>
      <c r="W425" s="11">
        <v>6432.71</v>
      </c>
    </row>
    <row r="426" spans="22:23">
      <c r="V426" t="s">
        <v>224</v>
      </c>
      <c r="W426" s="11">
        <v>6386.3</v>
      </c>
    </row>
    <row r="427" spans="22:23">
      <c r="V427" t="s">
        <v>1557</v>
      </c>
      <c r="W427" s="11">
        <v>6347.9</v>
      </c>
    </row>
    <row r="428" spans="22:23">
      <c r="V428" t="s">
        <v>1319</v>
      </c>
      <c r="W428" s="11">
        <v>6224.5</v>
      </c>
    </row>
    <row r="429" spans="22:23">
      <c r="V429" t="s">
        <v>1430</v>
      </c>
      <c r="W429" s="11">
        <v>6171.84</v>
      </c>
    </row>
    <row r="430" spans="22:23">
      <c r="V430" t="s">
        <v>771</v>
      </c>
      <c r="W430" s="11">
        <v>6049.2800000000007</v>
      </c>
    </row>
    <row r="431" spans="22:23">
      <c r="V431" t="s">
        <v>710</v>
      </c>
      <c r="W431" s="11">
        <v>6023.56</v>
      </c>
    </row>
    <row r="432" spans="22:23">
      <c r="V432" t="s">
        <v>310</v>
      </c>
      <c r="W432" s="11">
        <v>5740.88</v>
      </c>
    </row>
    <row r="433" spans="22:23">
      <c r="V433" t="s">
        <v>616</v>
      </c>
      <c r="W433" s="11">
        <v>5632.64</v>
      </c>
    </row>
    <row r="434" spans="22:23">
      <c r="V434" t="s">
        <v>1157</v>
      </c>
      <c r="W434" s="11">
        <v>5512.27</v>
      </c>
    </row>
    <row r="435" spans="22:23">
      <c r="V435" t="s">
        <v>1464</v>
      </c>
      <c r="W435" s="11">
        <v>5382.45</v>
      </c>
    </row>
    <row r="436" spans="22:23">
      <c r="V436" t="s">
        <v>318</v>
      </c>
      <c r="W436" s="11">
        <v>5354.6100000000006</v>
      </c>
    </row>
    <row r="437" spans="22:23">
      <c r="V437" t="s">
        <v>623</v>
      </c>
      <c r="W437" s="11">
        <v>5099.8500000000004</v>
      </c>
    </row>
    <row r="438" spans="22:23">
      <c r="V438" t="s">
        <v>894</v>
      </c>
      <c r="W438" s="11">
        <v>4947.03</v>
      </c>
    </row>
    <row r="439" spans="22:23">
      <c r="V439" t="s">
        <v>284</v>
      </c>
      <c r="W439" s="11">
        <v>4899.2700000000004</v>
      </c>
    </row>
    <row r="440" spans="22:23">
      <c r="V440" t="s">
        <v>1602</v>
      </c>
      <c r="W440" s="11">
        <v>4799.63</v>
      </c>
    </row>
    <row r="441" spans="22:23">
      <c r="V441" t="s">
        <v>1307</v>
      </c>
      <c r="W441" s="11">
        <v>4740.7</v>
      </c>
    </row>
    <row r="442" spans="22:23">
      <c r="V442" t="s">
        <v>967</v>
      </c>
      <c r="W442" s="11">
        <v>4633.07</v>
      </c>
    </row>
    <row r="443" spans="22:23">
      <c r="V443" t="s">
        <v>1285</v>
      </c>
      <c r="W443" s="11">
        <v>4532.99</v>
      </c>
    </row>
    <row r="444" spans="22:23">
      <c r="V444" t="s">
        <v>188</v>
      </c>
      <c r="W444" s="11">
        <v>4532.2299999999996</v>
      </c>
    </row>
    <row r="445" spans="22:23">
      <c r="V445" t="s">
        <v>1373</v>
      </c>
      <c r="W445" s="11">
        <v>4254.0200000000004</v>
      </c>
    </row>
    <row r="446" spans="22:23">
      <c r="V446" t="s">
        <v>1731</v>
      </c>
      <c r="W446" s="11">
        <v>4249.75</v>
      </c>
    </row>
    <row r="447" spans="22:23">
      <c r="V447" t="s">
        <v>1290</v>
      </c>
      <c r="W447" s="11">
        <v>4207.58</v>
      </c>
    </row>
    <row r="448" spans="22:23">
      <c r="V448" t="s">
        <v>582</v>
      </c>
      <c r="W448" s="11">
        <v>4200.7</v>
      </c>
    </row>
    <row r="449" spans="22:23">
      <c r="V449" t="s">
        <v>1494</v>
      </c>
      <c r="W449" s="11">
        <v>3841.34</v>
      </c>
    </row>
    <row r="450" spans="22:23">
      <c r="V450" t="s">
        <v>1334</v>
      </c>
      <c r="W450" s="11">
        <v>3828.22</v>
      </c>
    </row>
    <row r="451" spans="22:23">
      <c r="V451" t="s">
        <v>1139</v>
      </c>
      <c r="W451" s="11">
        <v>3822.18</v>
      </c>
    </row>
    <row r="452" spans="22:23">
      <c r="V452" t="s">
        <v>594</v>
      </c>
      <c r="W452" s="11">
        <v>3717.36</v>
      </c>
    </row>
    <row r="453" spans="22:23">
      <c r="V453" t="s">
        <v>1701</v>
      </c>
      <c r="W453" s="11">
        <v>3574.2</v>
      </c>
    </row>
    <row r="454" spans="22:23">
      <c r="V454" t="s">
        <v>1262</v>
      </c>
      <c r="W454" s="11">
        <v>3561.34</v>
      </c>
    </row>
    <row r="455" spans="22:23">
      <c r="V455" t="s">
        <v>1710</v>
      </c>
      <c r="W455" s="11">
        <v>3533.33</v>
      </c>
    </row>
    <row r="456" spans="22:23">
      <c r="V456" t="s">
        <v>86</v>
      </c>
      <c r="W456" s="11">
        <v>3510.97</v>
      </c>
    </row>
    <row r="457" spans="22:23">
      <c r="V457" t="s">
        <v>529</v>
      </c>
      <c r="W457" s="11">
        <v>3395.6</v>
      </c>
    </row>
    <row r="458" spans="22:23">
      <c r="V458" t="s">
        <v>1146</v>
      </c>
      <c r="W458" s="11">
        <v>3337.43</v>
      </c>
    </row>
    <row r="459" spans="22:23">
      <c r="V459" t="s">
        <v>1389</v>
      </c>
      <c r="W459" s="11">
        <v>3222.02</v>
      </c>
    </row>
    <row r="460" spans="22:23">
      <c r="V460" t="s">
        <v>1573</v>
      </c>
      <c r="W460" s="11">
        <v>3144.79</v>
      </c>
    </row>
    <row r="461" spans="22:23">
      <c r="V461" t="s">
        <v>264</v>
      </c>
      <c r="W461" s="11">
        <v>3131.72</v>
      </c>
    </row>
    <row r="462" spans="22:23">
      <c r="V462" t="s">
        <v>1042</v>
      </c>
      <c r="W462" s="11">
        <v>3080.38</v>
      </c>
    </row>
    <row r="463" spans="22:23">
      <c r="V463" t="s">
        <v>456</v>
      </c>
      <c r="W463" s="11">
        <v>3071.31</v>
      </c>
    </row>
    <row r="464" spans="22:23">
      <c r="V464" t="s">
        <v>1677</v>
      </c>
      <c r="W464" s="11">
        <v>2874.7</v>
      </c>
    </row>
    <row r="465" spans="22:23">
      <c r="V465" t="s">
        <v>851</v>
      </c>
      <c r="W465" s="11">
        <v>2667.57</v>
      </c>
    </row>
    <row r="466" spans="22:23">
      <c r="V466" t="s">
        <v>1757</v>
      </c>
      <c r="W466" s="11">
        <v>2601.3000000000002</v>
      </c>
    </row>
    <row r="467" spans="22:23">
      <c r="V467" t="s">
        <v>1680</v>
      </c>
      <c r="W467" s="11">
        <v>2561.2199999999998</v>
      </c>
    </row>
    <row r="468" spans="22:23">
      <c r="V468" t="s">
        <v>663</v>
      </c>
      <c r="W468" s="11">
        <v>2210.08</v>
      </c>
    </row>
    <row r="469" spans="22:23">
      <c r="V469" t="s">
        <v>1112</v>
      </c>
      <c r="W469" s="11">
        <v>2104.38</v>
      </c>
    </row>
    <row r="470" spans="22:23">
      <c r="V470" t="s">
        <v>1179</v>
      </c>
      <c r="W470" s="11">
        <v>1906.97</v>
      </c>
    </row>
    <row r="471" spans="22:23">
      <c r="V471" t="s">
        <v>826</v>
      </c>
      <c r="W471" s="11">
        <v>1792.73</v>
      </c>
    </row>
    <row r="472" spans="22:23">
      <c r="V472" t="s">
        <v>201</v>
      </c>
      <c r="W472" s="11">
        <v>1490.09</v>
      </c>
    </row>
    <row r="473" spans="22:23">
      <c r="V473" t="s">
        <v>1584</v>
      </c>
      <c r="W473" s="11">
        <v>1367.82</v>
      </c>
    </row>
    <row r="474" spans="22:23">
      <c r="V474" t="s">
        <v>358</v>
      </c>
      <c r="W474" s="11">
        <v>1229.81</v>
      </c>
    </row>
    <row r="475" spans="22:23">
      <c r="V475" t="s">
        <v>1163</v>
      </c>
      <c r="W475" s="11">
        <v>1210.25</v>
      </c>
    </row>
    <row r="476" spans="22:23">
      <c r="V476" t="s">
        <v>1100</v>
      </c>
      <c r="W476" s="11">
        <v>1133.32</v>
      </c>
    </row>
    <row r="477" spans="22:23">
      <c r="V477" t="s">
        <v>1660</v>
      </c>
      <c r="W477" s="11">
        <v>987.2</v>
      </c>
    </row>
    <row r="478" spans="22:23">
      <c r="V478" t="s">
        <v>1141</v>
      </c>
      <c r="W478" s="11">
        <v>682.15</v>
      </c>
    </row>
    <row r="479" spans="22:23">
      <c r="V479" t="s">
        <v>513</v>
      </c>
      <c r="W479" s="11">
        <v>408.51</v>
      </c>
    </row>
    <row r="480" spans="22:23">
      <c r="V480" t="s">
        <v>706</v>
      </c>
      <c r="W480" s="11">
        <v>357.2</v>
      </c>
    </row>
    <row r="481" spans="22:23">
      <c r="V481" t="s">
        <v>1771</v>
      </c>
      <c r="W481" s="11">
        <v>10926608.330000004</v>
      </c>
    </row>
  </sheetData>
  <mergeCells count="10">
    <mergeCell ref="S1:T1"/>
    <mergeCell ref="V1:W1"/>
    <mergeCell ref="Y1:Z1"/>
    <mergeCell ref="AB1:AC1"/>
    <mergeCell ref="A1:B1"/>
    <mergeCell ref="D1:E1"/>
    <mergeCell ref="G1:H1"/>
    <mergeCell ref="J1:K1"/>
    <mergeCell ref="M1:N1"/>
    <mergeCell ref="P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7D2B-52CA-4C1C-9752-4A7F5D8433EE}">
  <dimension ref="A1:R52"/>
  <sheetViews>
    <sheetView showGridLines="0" tabSelected="1" zoomScale="70" zoomScaleNormal="70" workbookViewId="0">
      <selection activeCell="AH19" sqref="AH19"/>
    </sheetView>
  </sheetViews>
  <sheetFormatPr defaultColWidth="9" defaultRowHeight="14.25"/>
  <cols>
    <col min="1" max="18" width="9" customWidth="1"/>
  </cols>
  <sheetData>
    <row r="1" spans="1:18" ht="14.25" customHeight="1">
      <c r="A1" s="29" t="s">
        <v>1800</v>
      </c>
      <c r="B1" s="29"/>
      <c r="C1" s="29"/>
      <c r="D1" s="29"/>
      <c r="E1" s="29"/>
      <c r="F1" s="29"/>
      <c r="G1" s="29"/>
      <c r="H1" s="29"/>
      <c r="I1" s="29"/>
      <c r="J1" s="29"/>
      <c r="K1" s="29"/>
      <c r="L1" s="29"/>
      <c r="M1" s="29"/>
      <c r="N1" s="29"/>
    </row>
    <row r="2" spans="1:18">
      <c r="A2" s="29"/>
      <c r="B2" s="29"/>
      <c r="C2" s="29"/>
      <c r="D2" s="29"/>
      <c r="E2" s="29"/>
      <c r="F2" s="29"/>
      <c r="G2" s="29"/>
      <c r="H2" s="29"/>
      <c r="I2" s="29"/>
      <c r="J2" s="29"/>
      <c r="K2" s="29"/>
      <c r="L2" s="29"/>
      <c r="M2" s="29"/>
      <c r="N2" s="29"/>
    </row>
    <row r="4" spans="1:18">
      <c r="A4" s="32" t="s">
        <v>1764</v>
      </c>
      <c r="B4" s="32"/>
      <c r="C4" s="32"/>
      <c r="D4" s="32" t="s">
        <v>1765</v>
      </c>
      <c r="E4" s="32"/>
      <c r="F4" s="32"/>
      <c r="G4" s="32" t="s">
        <v>1766</v>
      </c>
      <c r="H4" s="32"/>
      <c r="I4" s="32"/>
      <c r="J4" s="32" t="s">
        <v>1769</v>
      </c>
      <c r="K4" s="32"/>
      <c r="L4" s="32"/>
      <c r="M4" s="32" t="s">
        <v>1770</v>
      </c>
      <c r="N4" s="32"/>
      <c r="O4" s="30"/>
      <c r="P4" s="30"/>
      <c r="Q4" s="30"/>
      <c r="R4" s="30"/>
    </row>
    <row r="5" spans="1:18">
      <c r="A5" s="32"/>
      <c r="B5" s="32"/>
      <c r="C5" s="32"/>
      <c r="D5" s="32"/>
      <c r="E5" s="32"/>
      <c r="F5" s="32"/>
      <c r="G5" s="32"/>
      <c r="H5" s="32"/>
      <c r="I5" s="32"/>
      <c r="J5" s="32"/>
      <c r="K5" s="32"/>
      <c r="L5" s="32"/>
      <c r="M5" s="32"/>
      <c r="N5" s="32"/>
      <c r="O5" s="30"/>
      <c r="P5" s="30"/>
      <c r="Q5" s="30"/>
      <c r="R5" s="30"/>
    </row>
    <row r="6" spans="1:18">
      <c r="A6" s="32"/>
      <c r="B6" s="32"/>
      <c r="C6" s="32"/>
      <c r="D6" s="32"/>
      <c r="E6" s="32"/>
      <c r="F6" s="32"/>
      <c r="G6" s="32"/>
      <c r="H6" s="32"/>
      <c r="I6" s="32"/>
      <c r="J6" s="32"/>
      <c r="K6" s="32"/>
      <c r="L6" s="32"/>
      <c r="M6" s="32"/>
      <c r="N6" s="32"/>
      <c r="O6" s="30"/>
      <c r="P6" s="30"/>
      <c r="Q6" s="30"/>
      <c r="R6" s="30"/>
    </row>
    <row r="7" spans="1:18">
      <c r="A7" s="31">
        <f>Analysis!B2</f>
        <v>10926608.330000022</v>
      </c>
      <c r="B7" s="31"/>
      <c r="C7" s="31"/>
      <c r="D7" s="33">
        <f>Analysis!B3</f>
        <v>1200</v>
      </c>
      <c r="E7" s="33"/>
      <c r="F7" s="33"/>
      <c r="G7" s="31">
        <f>Analysis!B4</f>
        <v>9105.5069416666847</v>
      </c>
      <c r="H7" s="31"/>
      <c r="I7" s="31"/>
      <c r="J7" s="31">
        <f>Analysis!B7</f>
        <v>3275893.3699999955</v>
      </c>
      <c r="K7" s="31"/>
      <c r="L7" s="31"/>
      <c r="M7" s="38">
        <f>Analysis!B8</f>
        <v>0.29980880352466965</v>
      </c>
      <c r="N7" s="38"/>
      <c r="O7" s="30"/>
      <c r="P7" s="30"/>
      <c r="Q7" s="30"/>
      <c r="R7" s="30"/>
    </row>
    <row r="8" spans="1:18">
      <c r="A8" s="31"/>
      <c r="B8" s="31"/>
      <c r="C8" s="31"/>
      <c r="D8" s="33"/>
      <c r="E8" s="33"/>
      <c r="F8" s="33"/>
      <c r="G8" s="31"/>
      <c r="H8" s="31"/>
      <c r="I8" s="31"/>
      <c r="J8" s="31"/>
      <c r="K8" s="31"/>
      <c r="L8" s="31"/>
      <c r="M8" s="38"/>
      <c r="N8" s="38"/>
      <c r="O8" s="35"/>
      <c r="P8" s="35"/>
      <c r="Q8" s="35"/>
      <c r="R8" s="35"/>
    </row>
    <row r="9" spans="1:18">
      <c r="O9" s="30"/>
      <c r="P9" s="30"/>
      <c r="Q9" s="30"/>
      <c r="R9" s="30"/>
    </row>
    <row r="10" spans="1:18">
      <c r="A10" s="30"/>
      <c r="B10" s="30"/>
      <c r="C10" s="30"/>
      <c r="D10" s="30"/>
      <c r="E10" s="30"/>
      <c r="F10" s="30"/>
      <c r="G10" s="30"/>
      <c r="H10" s="30"/>
      <c r="I10" s="30"/>
      <c r="J10" s="30"/>
      <c r="K10" s="30"/>
      <c r="L10" s="30"/>
      <c r="M10" s="30"/>
      <c r="N10" s="30"/>
      <c r="O10" s="30"/>
      <c r="P10" s="30"/>
      <c r="Q10" s="30"/>
      <c r="R10" s="30"/>
    </row>
    <row r="11" spans="1:18">
      <c r="A11" s="30"/>
      <c r="B11" s="30"/>
      <c r="C11" s="30"/>
      <c r="D11" s="30"/>
      <c r="E11" s="30"/>
      <c r="F11" s="30"/>
      <c r="G11" s="30"/>
      <c r="H11" s="30"/>
      <c r="I11" s="30"/>
      <c r="J11" s="30"/>
      <c r="K11" s="30"/>
      <c r="L11" s="30"/>
      <c r="M11" s="30"/>
      <c r="N11" s="30"/>
      <c r="O11" s="30"/>
      <c r="P11" s="30"/>
      <c r="Q11" s="30"/>
      <c r="R11" s="30"/>
    </row>
    <row r="12" spans="1:18">
      <c r="A12" s="30"/>
      <c r="B12" s="30"/>
      <c r="C12" s="30"/>
      <c r="D12" s="30"/>
      <c r="E12" s="30"/>
      <c r="F12" s="30"/>
      <c r="G12" s="30"/>
      <c r="H12" s="30"/>
      <c r="I12" s="30"/>
      <c r="J12" s="30"/>
      <c r="K12" s="30"/>
      <c r="L12" s="30"/>
      <c r="M12" s="30"/>
      <c r="N12" s="30"/>
      <c r="O12" s="30"/>
      <c r="P12" s="30"/>
      <c r="Q12" s="30"/>
      <c r="R12" s="30"/>
    </row>
    <row r="13" spans="1:18">
      <c r="A13" s="30"/>
      <c r="B13" s="30"/>
      <c r="C13" s="30"/>
      <c r="D13" s="30"/>
      <c r="E13" s="30"/>
      <c r="F13" s="30"/>
      <c r="G13" s="30"/>
      <c r="H13" s="30"/>
      <c r="I13" s="30"/>
      <c r="J13" s="30"/>
      <c r="K13" s="30"/>
      <c r="L13" s="30"/>
      <c r="M13" s="30"/>
      <c r="N13" s="30"/>
      <c r="O13" s="35"/>
      <c r="P13" s="35"/>
      <c r="Q13" s="35"/>
      <c r="R13" s="35"/>
    </row>
    <row r="14" spans="1:18">
      <c r="A14" s="30"/>
      <c r="B14" s="30"/>
      <c r="C14" s="30"/>
      <c r="D14" s="30"/>
      <c r="E14" s="30"/>
      <c r="F14" s="30"/>
      <c r="G14" s="30"/>
      <c r="H14" s="30"/>
      <c r="I14" s="30"/>
      <c r="J14" s="30"/>
      <c r="K14" s="30"/>
      <c r="L14" s="30"/>
      <c r="M14" s="30"/>
      <c r="N14" s="30"/>
      <c r="O14" s="30"/>
      <c r="P14" s="30"/>
      <c r="Q14" s="30"/>
      <c r="R14" s="30"/>
    </row>
    <row r="15" spans="1:18">
      <c r="A15" s="30"/>
      <c r="B15" s="30"/>
      <c r="C15" s="30"/>
      <c r="D15" s="30"/>
      <c r="E15" s="30"/>
      <c r="F15" s="30"/>
      <c r="G15" s="30"/>
      <c r="H15" s="30"/>
      <c r="I15" s="30"/>
      <c r="J15" s="30"/>
      <c r="K15" s="30"/>
      <c r="L15" s="30"/>
      <c r="M15" s="30"/>
      <c r="N15" s="30"/>
      <c r="O15" s="30"/>
      <c r="P15" s="30"/>
      <c r="Q15" s="30"/>
      <c r="R15" s="30"/>
    </row>
    <row r="16" spans="1:18">
      <c r="A16" s="30"/>
      <c r="B16" s="30"/>
      <c r="C16" s="30"/>
      <c r="D16" s="30"/>
      <c r="E16" s="30"/>
      <c r="F16" s="30"/>
      <c r="G16" s="30"/>
      <c r="H16" s="30"/>
      <c r="I16" s="30"/>
      <c r="J16" s="30"/>
      <c r="K16" s="30"/>
      <c r="L16" s="30"/>
      <c r="M16" s="30"/>
      <c r="N16" s="30"/>
      <c r="O16" s="30"/>
      <c r="P16" s="30"/>
      <c r="Q16" s="30"/>
      <c r="R16" s="30"/>
    </row>
    <row r="17" spans="1:18">
      <c r="A17" s="30"/>
      <c r="B17" s="30"/>
      <c r="C17" s="30"/>
      <c r="D17" s="30"/>
      <c r="E17" s="30"/>
      <c r="F17" s="30"/>
      <c r="G17" s="30"/>
      <c r="H17" s="30"/>
      <c r="I17" s="30"/>
      <c r="J17" s="30"/>
      <c r="K17" s="30"/>
      <c r="L17" s="30"/>
      <c r="M17" s="30"/>
      <c r="N17" s="30"/>
      <c r="O17" s="30"/>
      <c r="P17" s="30"/>
      <c r="Q17" s="30"/>
      <c r="R17" s="30"/>
    </row>
    <row r="18" spans="1:18">
      <c r="A18" s="30"/>
      <c r="B18" s="30"/>
      <c r="C18" s="30"/>
      <c r="D18" s="30"/>
      <c r="E18" s="30"/>
      <c r="F18" s="30"/>
      <c r="G18" s="30"/>
      <c r="H18" s="30"/>
      <c r="I18" s="30"/>
      <c r="J18" s="30"/>
      <c r="K18" s="30"/>
      <c r="L18" s="30"/>
      <c r="M18" s="30"/>
      <c r="N18" s="30"/>
      <c r="O18" s="35"/>
      <c r="P18" s="35"/>
      <c r="Q18" s="35"/>
      <c r="R18" s="35"/>
    </row>
    <row r="19" spans="1:18">
      <c r="A19" s="30"/>
      <c r="B19" s="30"/>
      <c r="C19" s="30"/>
      <c r="D19" s="30"/>
      <c r="E19" s="30"/>
      <c r="F19" s="30"/>
      <c r="G19" s="30"/>
      <c r="H19" s="30"/>
      <c r="I19" s="30"/>
      <c r="J19" s="30"/>
      <c r="K19" s="30"/>
      <c r="L19" s="30"/>
      <c r="M19" s="30"/>
      <c r="N19" s="30"/>
      <c r="O19" s="30"/>
      <c r="P19" s="30"/>
      <c r="Q19" s="30"/>
      <c r="R19" s="30"/>
    </row>
    <row r="20" spans="1:18">
      <c r="A20" s="30"/>
      <c r="B20" s="30"/>
      <c r="C20" s="30"/>
      <c r="D20" s="30"/>
      <c r="E20" s="30"/>
      <c r="F20" s="30"/>
      <c r="G20" s="30"/>
      <c r="H20" s="30"/>
      <c r="I20" s="30"/>
      <c r="J20" s="30"/>
      <c r="K20" s="30"/>
      <c r="L20" s="30"/>
      <c r="M20" s="30"/>
      <c r="N20" s="30"/>
      <c r="O20" s="30"/>
      <c r="P20" s="30"/>
      <c r="Q20" s="30"/>
      <c r="R20" s="30"/>
    </row>
    <row r="21" spans="1:18">
      <c r="A21" s="30"/>
      <c r="B21" s="30"/>
      <c r="C21" s="30"/>
      <c r="D21" s="30"/>
      <c r="E21" s="30"/>
      <c r="F21" s="30"/>
      <c r="G21" s="30"/>
      <c r="H21" s="30"/>
      <c r="I21" s="30"/>
      <c r="J21" s="30"/>
      <c r="K21" s="30"/>
      <c r="L21" s="30"/>
      <c r="M21" s="30"/>
      <c r="N21" s="30"/>
      <c r="O21" s="30"/>
      <c r="P21" s="30"/>
      <c r="Q21" s="30"/>
      <c r="R21" s="30"/>
    </row>
    <row r="22" spans="1:18">
      <c r="A22" s="30"/>
      <c r="B22" s="30"/>
      <c r="C22" s="30"/>
      <c r="D22" s="30"/>
      <c r="E22" s="30"/>
      <c r="F22" s="30"/>
      <c r="G22" s="30"/>
      <c r="H22" s="30"/>
      <c r="I22" s="30"/>
      <c r="J22" s="30"/>
      <c r="K22" s="30"/>
      <c r="L22" s="30"/>
      <c r="M22" s="30"/>
      <c r="N22" s="30"/>
      <c r="O22" s="30"/>
      <c r="P22" s="30"/>
      <c r="Q22" s="30"/>
      <c r="R22" s="30"/>
    </row>
    <row r="24" spans="1:18">
      <c r="A24" s="30"/>
      <c r="B24" s="30"/>
      <c r="C24" s="30"/>
      <c r="D24" s="30"/>
      <c r="E24" s="30"/>
      <c r="F24" s="30"/>
      <c r="G24" s="30"/>
      <c r="H24" s="30"/>
      <c r="I24" s="30"/>
      <c r="J24" s="30"/>
      <c r="K24" s="30"/>
      <c r="L24" s="30"/>
      <c r="M24" s="30"/>
      <c r="N24" s="30"/>
    </row>
    <row r="25" spans="1:18">
      <c r="A25" s="30"/>
      <c r="B25" s="30"/>
      <c r="C25" s="30"/>
      <c r="D25" s="30"/>
      <c r="E25" s="30"/>
      <c r="F25" s="30"/>
      <c r="G25" s="30"/>
      <c r="H25" s="30"/>
      <c r="I25" s="30"/>
      <c r="J25" s="30"/>
      <c r="K25" s="30"/>
      <c r="L25" s="30"/>
      <c r="M25" s="30"/>
      <c r="N25" s="30"/>
    </row>
    <row r="26" spans="1:18">
      <c r="A26" s="30"/>
      <c r="B26" s="30"/>
      <c r="C26" s="30"/>
      <c r="D26" s="30"/>
      <c r="E26" s="30"/>
      <c r="F26" s="30"/>
      <c r="G26" s="30"/>
      <c r="H26" s="30"/>
      <c r="I26" s="30"/>
      <c r="J26" s="30"/>
      <c r="K26" s="30"/>
      <c r="L26" s="30"/>
      <c r="M26" s="30"/>
      <c r="N26" s="30"/>
    </row>
    <row r="27" spans="1:18">
      <c r="A27" s="30"/>
      <c r="B27" s="30"/>
      <c r="C27" s="30"/>
      <c r="D27" s="30"/>
      <c r="E27" s="30"/>
      <c r="F27" s="30"/>
      <c r="G27" s="30"/>
      <c r="H27" s="30"/>
      <c r="I27" s="30"/>
      <c r="J27" s="30"/>
      <c r="K27" s="30"/>
      <c r="L27" s="30"/>
      <c r="M27" s="30"/>
      <c r="N27" s="30"/>
    </row>
    <row r="28" spans="1:18">
      <c r="A28" s="30"/>
      <c r="B28" s="30"/>
      <c r="C28" s="30"/>
      <c r="D28" s="30"/>
      <c r="E28" s="30"/>
      <c r="F28" s="30"/>
      <c r="G28" s="30"/>
      <c r="H28" s="30"/>
      <c r="I28" s="30"/>
      <c r="J28" s="30"/>
      <c r="K28" s="30"/>
      <c r="L28" s="30"/>
      <c r="M28" s="30"/>
      <c r="N28" s="30"/>
    </row>
    <row r="29" spans="1:18">
      <c r="A29" s="30"/>
      <c r="B29" s="30"/>
      <c r="C29" s="30"/>
      <c r="D29" s="30"/>
      <c r="E29" s="30"/>
      <c r="F29" s="30"/>
      <c r="G29" s="30"/>
      <c r="H29" s="30"/>
      <c r="I29" s="30"/>
      <c r="J29" s="30"/>
      <c r="K29" s="30"/>
      <c r="L29" s="30"/>
      <c r="M29" s="30"/>
      <c r="N29" s="30"/>
    </row>
    <row r="30" spans="1:18">
      <c r="A30" s="30"/>
      <c r="B30" s="30"/>
      <c r="C30" s="30"/>
      <c r="D30" s="30"/>
      <c r="E30" s="30"/>
      <c r="F30" s="30"/>
      <c r="G30" s="30"/>
      <c r="H30" s="30"/>
      <c r="I30" s="30"/>
      <c r="J30" s="30"/>
      <c r="K30" s="30"/>
      <c r="L30" s="30"/>
      <c r="M30" s="30"/>
      <c r="N30" s="30"/>
    </row>
    <row r="31" spans="1:18">
      <c r="A31" s="30"/>
      <c r="B31" s="30"/>
      <c r="C31" s="30"/>
      <c r="D31" s="30"/>
      <c r="E31" s="30"/>
      <c r="F31" s="30"/>
      <c r="G31" s="30"/>
      <c r="H31" s="30"/>
      <c r="I31" s="30"/>
      <c r="J31" s="30"/>
      <c r="K31" s="30"/>
      <c r="L31" s="30"/>
      <c r="M31" s="30"/>
      <c r="N31" s="30"/>
    </row>
    <row r="32" spans="1:18">
      <c r="A32" s="30"/>
      <c r="B32" s="30"/>
      <c r="C32" s="30"/>
      <c r="D32" s="30"/>
      <c r="E32" s="30"/>
      <c r="F32" s="30"/>
      <c r="G32" s="30"/>
      <c r="H32" s="30"/>
      <c r="I32" s="30"/>
      <c r="J32" s="30"/>
      <c r="K32" s="30"/>
      <c r="L32" s="30"/>
      <c r="M32" s="30"/>
      <c r="N32" s="30"/>
    </row>
    <row r="33" spans="1:14">
      <c r="A33" s="30"/>
      <c r="B33" s="30"/>
      <c r="C33" s="30"/>
      <c r="D33" s="30"/>
      <c r="E33" s="30"/>
      <c r="F33" s="30"/>
      <c r="G33" s="30"/>
      <c r="H33" s="30"/>
      <c r="I33" s="30"/>
      <c r="J33" s="30"/>
      <c r="K33" s="30"/>
      <c r="L33" s="30"/>
      <c r="M33" s="30"/>
      <c r="N33" s="30"/>
    </row>
    <row r="34" spans="1:14">
      <c r="A34" s="30"/>
      <c r="B34" s="30"/>
      <c r="C34" s="30"/>
      <c r="D34" s="30"/>
      <c r="E34" s="30"/>
      <c r="F34" s="30"/>
      <c r="G34" s="30"/>
      <c r="H34" s="30"/>
      <c r="I34" s="30"/>
      <c r="J34" s="30"/>
      <c r="K34" s="30"/>
      <c r="L34" s="30"/>
      <c r="M34" s="30"/>
      <c r="N34" s="30"/>
    </row>
    <row r="35" spans="1:14">
      <c r="A35" s="30"/>
      <c r="B35" s="30"/>
      <c r="C35" s="30"/>
      <c r="D35" s="30"/>
      <c r="E35" s="30"/>
      <c r="F35" s="30"/>
      <c r="G35" s="30"/>
      <c r="H35" s="30"/>
      <c r="I35" s="30"/>
      <c r="J35" s="30"/>
      <c r="K35" s="30"/>
      <c r="L35" s="30"/>
      <c r="M35" s="30"/>
      <c r="N35" s="30"/>
    </row>
    <row r="36" spans="1:14">
      <c r="A36" s="30"/>
      <c r="B36" s="30"/>
      <c r="C36" s="30"/>
      <c r="D36" s="30"/>
      <c r="E36" s="30"/>
      <c r="F36" s="30"/>
      <c r="G36" s="30"/>
      <c r="H36" s="30"/>
      <c r="I36" s="30"/>
      <c r="J36" s="30"/>
      <c r="K36" s="30"/>
      <c r="L36" s="30"/>
      <c r="M36" s="30"/>
      <c r="N36" s="30"/>
    </row>
    <row r="37" spans="1:14">
      <c r="A37" s="30"/>
      <c r="B37" s="30"/>
      <c r="C37" s="30"/>
      <c r="D37" s="30"/>
      <c r="E37" s="30"/>
      <c r="F37" s="30"/>
      <c r="G37" s="30"/>
      <c r="H37" s="30"/>
      <c r="I37" s="30"/>
      <c r="J37" s="30"/>
      <c r="K37" s="30"/>
      <c r="L37" s="30"/>
      <c r="M37" s="30"/>
      <c r="N37" s="30"/>
    </row>
    <row r="38" spans="1:14">
      <c r="A38" s="30"/>
      <c r="B38" s="30"/>
      <c r="C38" s="30"/>
      <c r="D38" s="30"/>
      <c r="E38" s="30"/>
      <c r="F38" s="30"/>
      <c r="G38" s="30"/>
      <c r="H38" s="30"/>
      <c r="I38" s="30"/>
      <c r="J38" s="30"/>
      <c r="K38" s="30"/>
      <c r="L38" s="30"/>
      <c r="M38" s="30"/>
      <c r="N38" s="30"/>
    </row>
    <row r="40" spans="1:14">
      <c r="A40" s="30"/>
      <c r="B40" s="30"/>
      <c r="C40" s="30"/>
      <c r="D40" s="30"/>
      <c r="E40" s="30"/>
      <c r="F40" s="30"/>
      <c r="G40" s="30"/>
      <c r="H40" s="30"/>
      <c r="I40" s="30"/>
      <c r="J40" s="30"/>
      <c r="K40" s="30"/>
      <c r="L40" s="30"/>
      <c r="M40" s="30"/>
      <c r="N40" s="30"/>
    </row>
    <row r="41" spans="1:14">
      <c r="A41" s="30"/>
      <c r="B41" s="30"/>
      <c r="C41" s="30"/>
      <c r="D41" s="30"/>
      <c r="E41" s="30"/>
      <c r="F41" s="30"/>
      <c r="G41" s="30"/>
      <c r="H41" s="30"/>
      <c r="I41" s="30"/>
      <c r="J41" s="30"/>
      <c r="K41" s="30"/>
      <c r="L41" s="30"/>
      <c r="M41" s="30"/>
      <c r="N41" s="30"/>
    </row>
    <row r="42" spans="1:14">
      <c r="A42" s="30"/>
      <c r="B42" s="30"/>
      <c r="C42" s="30"/>
      <c r="D42" s="30"/>
      <c r="E42" s="30"/>
      <c r="F42" s="30"/>
      <c r="G42" s="30"/>
      <c r="H42" s="30"/>
      <c r="I42" s="30"/>
      <c r="J42" s="30"/>
      <c r="K42" s="30"/>
      <c r="L42" s="30"/>
      <c r="M42" s="30"/>
      <c r="N42" s="30"/>
    </row>
    <row r="43" spans="1:14">
      <c r="A43" s="30"/>
      <c r="B43" s="30"/>
      <c r="C43" s="30"/>
      <c r="D43" s="30"/>
      <c r="E43" s="30"/>
      <c r="F43" s="30"/>
      <c r="G43" s="30"/>
      <c r="H43" s="30"/>
      <c r="I43" s="30"/>
      <c r="J43" s="30"/>
      <c r="K43" s="30"/>
      <c r="L43" s="30"/>
      <c r="M43" s="30"/>
      <c r="N43" s="30"/>
    </row>
    <row r="44" spans="1:14">
      <c r="A44" s="30"/>
      <c r="B44" s="30"/>
      <c r="C44" s="30"/>
      <c r="D44" s="30"/>
      <c r="E44" s="30"/>
      <c r="F44" s="30"/>
      <c r="G44" s="30"/>
      <c r="H44" s="30"/>
      <c r="I44" s="30"/>
      <c r="J44" s="30"/>
      <c r="K44" s="30"/>
      <c r="L44" s="30"/>
      <c r="M44" s="30"/>
      <c r="N44" s="30"/>
    </row>
    <row r="45" spans="1:14">
      <c r="A45" s="30"/>
      <c r="B45" s="30"/>
      <c r="C45" s="30"/>
      <c r="D45" s="30"/>
      <c r="E45" s="30"/>
      <c r="F45" s="30"/>
      <c r="G45" s="30"/>
      <c r="H45" s="30"/>
      <c r="I45" s="30"/>
      <c r="J45" s="30"/>
      <c r="K45" s="30"/>
      <c r="L45" s="30"/>
      <c r="M45" s="30"/>
      <c r="N45" s="30"/>
    </row>
    <row r="46" spans="1:14">
      <c r="A46" s="30"/>
      <c r="B46" s="30"/>
      <c r="C46" s="30"/>
      <c r="D46" s="30"/>
      <c r="E46" s="30"/>
      <c r="F46" s="30"/>
      <c r="G46" s="30"/>
      <c r="H46" s="30"/>
      <c r="I46" s="30"/>
      <c r="J46" s="30"/>
      <c r="K46" s="30"/>
      <c r="L46" s="30"/>
      <c r="M46" s="30"/>
      <c r="N46" s="30"/>
    </row>
    <row r="47" spans="1:14">
      <c r="A47" s="30"/>
      <c r="B47" s="30"/>
      <c r="C47" s="30"/>
      <c r="D47" s="30"/>
      <c r="E47" s="30"/>
      <c r="F47" s="30"/>
      <c r="G47" s="30"/>
      <c r="H47" s="30"/>
      <c r="I47" s="30"/>
      <c r="J47" s="30"/>
      <c r="K47" s="30"/>
      <c r="L47" s="30"/>
      <c r="M47" s="30"/>
      <c r="N47" s="30"/>
    </row>
    <row r="48" spans="1:14">
      <c r="A48" s="30"/>
      <c r="B48" s="30"/>
      <c r="C48" s="30"/>
      <c r="D48" s="30"/>
      <c r="E48" s="30"/>
      <c r="F48" s="30"/>
      <c r="G48" s="30"/>
      <c r="H48" s="30"/>
      <c r="I48" s="30"/>
      <c r="J48" s="30"/>
      <c r="K48" s="30"/>
      <c r="L48" s="30"/>
      <c r="M48" s="30"/>
      <c r="N48" s="30"/>
    </row>
    <row r="49" spans="1:14">
      <c r="A49" s="30"/>
      <c r="B49" s="30"/>
      <c r="C49" s="30"/>
      <c r="D49" s="30"/>
      <c r="E49" s="30"/>
      <c r="F49" s="30"/>
      <c r="G49" s="30"/>
      <c r="H49" s="30"/>
      <c r="I49" s="30"/>
      <c r="J49" s="30"/>
      <c r="K49" s="30"/>
      <c r="L49" s="30"/>
      <c r="M49" s="30"/>
      <c r="N49" s="30"/>
    </row>
    <row r="50" spans="1:14">
      <c r="A50" s="30"/>
      <c r="B50" s="30"/>
      <c r="C50" s="30"/>
      <c r="D50" s="30"/>
      <c r="E50" s="30"/>
      <c r="F50" s="30"/>
      <c r="G50" s="30"/>
      <c r="H50" s="30"/>
      <c r="I50" s="30"/>
      <c r="J50" s="30"/>
      <c r="K50" s="30"/>
      <c r="L50" s="30"/>
      <c r="M50" s="30"/>
      <c r="N50" s="30"/>
    </row>
    <row r="51" spans="1:14">
      <c r="A51" s="30"/>
      <c r="B51" s="30"/>
      <c r="C51" s="30"/>
      <c r="D51" s="30"/>
      <c r="E51" s="30"/>
      <c r="F51" s="30"/>
      <c r="G51" s="30"/>
      <c r="H51" s="30"/>
      <c r="I51" s="30"/>
      <c r="J51" s="30"/>
      <c r="K51" s="30"/>
      <c r="L51" s="30"/>
      <c r="M51" s="30"/>
      <c r="N51" s="30"/>
    </row>
    <row r="52" spans="1:14">
      <c r="A52" s="30"/>
      <c r="B52" s="30"/>
      <c r="C52" s="30"/>
      <c r="D52" s="30"/>
      <c r="E52" s="30"/>
      <c r="F52" s="30"/>
      <c r="G52" s="30"/>
      <c r="H52" s="30"/>
      <c r="I52" s="30"/>
      <c r="J52" s="30"/>
      <c r="K52" s="30"/>
      <c r="L52" s="30"/>
      <c r="M52" s="30"/>
      <c r="N52" s="30"/>
    </row>
  </sheetData>
  <mergeCells count="21">
    <mergeCell ref="A40:F52"/>
    <mergeCell ref="G40:N52"/>
    <mergeCell ref="O4:R7"/>
    <mergeCell ref="O9:R12"/>
    <mergeCell ref="O14:R17"/>
    <mergeCell ref="O19:R22"/>
    <mergeCell ref="A10:G22"/>
    <mergeCell ref="H10:N22"/>
    <mergeCell ref="A24:G38"/>
    <mergeCell ref="H24:N38"/>
    <mergeCell ref="A1:N2"/>
    <mergeCell ref="A4:C6"/>
    <mergeCell ref="A7:C8"/>
    <mergeCell ref="D4:F6"/>
    <mergeCell ref="D7:F8"/>
    <mergeCell ref="G4:I6"/>
    <mergeCell ref="G7:I8"/>
    <mergeCell ref="J4:L6"/>
    <mergeCell ref="J7:L8"/>
    <mergeCell ref="M4:N6"/>
    <mergeCell ref="M7:N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Retail_Raw</vt:lpstr>
      <vt:lpstr>Clean_Data</vt:lpstr>
      <vt:lpstr>Analysis</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ezekiel</dc:creator>
  <cp:lastModifiedBy>simon ezekiel</cp:lastModifiedBy>
  <dcterms:modified xsi:type="dcterms:W3CDTF">2026-10-03T21:18:32Z</dcterms:modified>
</cp:coreProperties>
</file>